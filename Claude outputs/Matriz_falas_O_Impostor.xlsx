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ia-me" sheetId="1" state="visible" r:id="rId1"/>
    <sheet xmlns:r="http://schemas.openxmlformats.org/officeDocument/2006/relationships" name="Resumo" sheetId="2" state="visible" r:id="rId2"/>
    <sheet xmlns:r="http://schemas.openxmlformats.org/officeDocument/2006/relationships" name="Dúvidas" sheetId="3" state="visible" r:id="rId3"/>
    <sheet xmlns:r="http://schemas.openxmlformats.org/officeDocument/2006/relationships" name="Cap 1" sheetId="4" state="visible" r:id="rId4"/>
    <sheet xmlns:r="http://schemas.openxmlformats.org/officeDocument/2006/relationships" name="Cap 2" sheetId="5" state="visible" r:id="rId5"/>
    <sheet xmlns:r="http://schemas.openxmlformats.org/officeDocument/2006/relationships" name="Cap 3" sheetId="6" state="visible" r:id="rId6"/>
    <sheet xmlns:r="http://schemas.openxmlformats.org/officeDocument/2006/relationships" name="Cap 4" sheetId="7" state="visible" r:id="rId7"/>
    <sheet xmlns:r="http://schemas.openxmlformats.org/officeDocument/2006/relationships" name="Cap 5" sheetId="8" state="visible" r:id="rId8"/>
    <sheet xmlns:r="http://schemas.openxmlformats.org/officeDocument/2006/relationships" name="Cap 6" sheetId="9" state="visible" r:id="rId9"/>
    <sheet xmlns:r="http://schemas.openxmlformats.org/officeDocument/2006/relationships" name="Final" sheetId="10" state="visible" r:id="rId10"/>
    <sheet xmlns:r="http://schemas.openxmlformats.org/officeDocument/2006/relationships" name="Partidas Cap 1-2" sheetId="11" state="visible" r:id="rId11"/>
    <sheet xmlns:r="http://schemas.openxmlformats.org/officeDocument/2006/relationships" name="Partidas Cap 3-4" sheetId="12" state="visible" r:id="rId12"/>
    <sheet xmlns:r="http://schemas.openxmlformats.org/officeDocument/2006/relationships" name="Partidas Cap 5" sheetId="13" state="visible" r:id="rId13"/>
    <sheet xmlns:r="http://schemas.openxmlformats.org/officeDocument/2006/relationships" name="Partidas Cap 6" sheetId="14" state="visible" r:id="rId14"/>
    <sheet xmlns:r="http://schemas.openxmlformats.org/officeDocument/2006/relationships" name="Pendentes" sheetId="15" state="visible" r:id="rId15"/>
  </sheets>
  <definedNames>
    <definedName name="_xlnm._FilterDatabase" localSheetId="3" hidden="1">'Cap 1'!$A$1:$Y$49</definedName>
    <definedName name="_xlnm._FilterDatabase" localSheetId="4" hidden="1">'Cap 2'!$A$1:$Y$43</definedName>
    <definedName name="_xlnm._FilterDatabase" localSheetId="5" hidden="1">'Cap 3'!$A$1:$Y$32</definedName>
    <definedName name="_xlnm._FilterDatabase" localSheetId="6" hidden="1">'Cap 4'!$A$1:$Y$28</definedName>
    <definedName name="_xlnm._FilterDatabase" localSheetId="7" hidden="1">'Cap 5'!$A$1:$Y$18</definedName>
    <definedName name="_xlnm._FilterDatabase" localSheetId="8" hidden="1">'Cap 6'!$A$1:$Y$26</definedName>
    <definedName name="_xlnm._FilterDatabase" localSheetId="9" hidden="1">'Final'!$A$1:$Y$5</definedName>
    <definedName name="_xlnm._FilterDatabase" localSheetId="10" hidden="1">'Partidas Cap 1-2'!$A$1:$Z$55</definedName>
    <definedName name="_xlnm._FilterDatabase" localSheetId="11" hidden="1">'Partidas Cap 3-4'!$A$1:$Z$90</definedName>
    <definedName name="_xlnm._FilterDatabase" localSheetId="12" hidden="1">'Partidas Cap 5'!$A$1:$Z$39</definedName>
    <definedName name="_xlnm._FilterDatabase" localSheetId="13" hidden="1">'Partidas Cap 6'!$A$1:$Z$131</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3B2A1E"/>
        <bgColor rgb="FF333300"/>
      </patternFill>
    </fill>
    <fill>
      <patternFill patternType="solid">
        <fgColor rgb="FFFFF8E1"/>
        <bgColor rgb="FFFFFFFF"/>
      </patternFill>
    </fill>
  </fills>
  <borders count="2">
    <border>
      <left/>
      <right/>
      <top/>
      <bottom/>
      <diagonal/>
    </border>
    <border>
      <left style="thin">
        <color rgb="FFD0C8B8"/>
      </left>
      <right style="thin">
        <color rgb="FFD0C8B8"/>
      </right>
      <top style="thin">
        <color rgb="FFD0C8B8"/>
      </top>
      <bottom style="thin">
        <color rgb="FFD0C8B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4"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5"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3B2A1E"/>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8B8"/>
      <rgbColor rgb="FF808080"/>
      <rgbColor rgb="FF9999FF"/>
      <rgbColor rgb="FF993366"/>
      <rgbColor rgb="FFFFF8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6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2A1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7" min="1" max="1"/>
    <col width="90" customWidth="1" style="7" min="2" max="2"/>
    <col width="60" customWidth="1" style="7" min="7" max="7"/>
  </cols>
  <sheetData>
    <row r="1" ht="79.84999999999999" customHeight="1" s="8">
      <c r="A1" s="9" t="inlineStr">
        <is>
          <t>O Impostor · Matriz de falas por personalidade</t>
        </is>
      </c>
      <c r="B1" s="10" t="n"/>
      <c r="C1" s="10" t="n"/>
      <c r="D1" s="10" t="n"/>
      <c r="E1" s="10" t="n"/>
      <c r="F1" s="10" t="n"/>
      <c r="G1" s="10" t="n"/>
    </row>
    <row r="2" ht="15" customHeight="1" s="8">
      <c r="A2" s="10" t="n"/>
      <c r="B2" s="10" t="n"/>
      <c r="C2" s="10" t="n"/>
      <c r="D2" s="10" t="n"/>
      <c r="E2" s="10" t="n"/>
      <c r="F2" s="10" t="n"/>
      <c r="G2" s="10" t="n"/>
    </row>
    <row r="3" ht="35.05" customHeight="1" s="8">
      <c r="A3" s="11" t="inlineStr">
        <is>
          <t>O que é</t>
        </is>
      </c>
      <c r="B3" s="10" t="inlineStr">
        <is>
          <t>Cada linha é uma fala de personagem (ou da voz, ou do Faroleiro). As 6 colunas de tipo dizem a MESMA informação; só muda a forma de escrever. O tipo de cada personagem é sorteado pela semente da partida e nunca aparece para o jogador.</t>
        </is>
      </c>
      <c r="C3" s="10" t="n"/>
      <c r="D3" s="10" t="n"/>
      <c r="E3" s="10" t="n"/>
      <c r="F3" s="10" t="n"/>
      <c r="G3" s="10" t="n"/>
    </row>
    <row r="4" ht="35.05" customHeight="1" s="8">
      <c r="A4" s="11" t="inlineStr">
        <is>
          <t>Abas</t>
        </is>
      </c>
      <c r="B4" s="10" t="inlineStr">
        <is>
          <t>Cap 1 a Final: tronco comum (falas que se repetem em toda partida). Partidas Cap 1-2 a Partidas Cap 6: falas próprias de cada partida (coluna Partida). Resumo: contagem. Dúvidas: o que precisa de decisão sua. Pendentes: o que a etapa 1 listou para a etapa 2.</t>
        </is>
      </c>
      <c r="C4" s="10" t="n"/>
      <c r="D4" s="10" t="n"/>
      <c r="E4" s="10" t="n"/>
      <c r="F4" s="10" t="n"/>
      <c r="G4" s="10" t="n"/>
    </row>
    <row r="5" ht="15" customHeight="1" s="8">
      <c r="A5" s="11" t="inlineStr">
        <is>
          <t>Onde editar</t>
        </is>
      </c>
      <c r="B5" s="10" t="inlineStr">
        <is>
          <t>Só as 6 colunas de tipo (fundo creme) e, se precisar, os Itens. Não mexa em ID nem em Fala original.</t>
        </is>
      </c>
      <c r="C5" s="10" t="n"/>
      <c r="D5" s="10" t="n"/>
      <c r="E5" s="10" t="n"/>
      <c r="F5" s="10" t="n"/>
      <c r="G5" s="10" t="n"/>
    </row>
    <row r="6" ht="35.05" customHeight="1" s="8">
      <c r="A6" s="11" t="inlineStr">
        <is>
          <t>Itens</t>
        </is>
      </c>
      <c r="B6" s="10" t="inlineStr">
        <is>
          <t>Palavras que carregam a informação (nas falas de partida, são as pistas: segundos, clarões, lugares, cores). Precisam aparecer em todas as 6 versões. A coluna Faltam conta quantos itens sumiram nas 6 versões (ignora maiúscula, mas não acento) e fica vermelha se for maior que zero.</t>
        </is>
      </c>
      <c r="C6" s="10" t="n"/>
      <c r="D6" s="10" t="n"/>
      <c r="E6" s="10" t="n"/>
      <c r="F6" s="10" t="n"/>
      <c r="G6" s="10" t="n"/>
    </row>
    <row r="7" ht="35.05" customHeight="1" s="8">
      <c r="A7" s="11" t="inlineStr">
        <is>
          <t>Fichas</t>
        </is>
      </c>
      <c r="B7" s="10" t="inlineStr">
        <is>
          <t>{Inv}/{inv} = O/o Investigador (ou "você", se for o personagem do jogador); {de:pol} = do Policial; {a:pol} = ao Policial. Aliases: inv, her, res, jor, pol, obs, tab, gov, adv, jar, che, ele, med (o Médico, 13º personagem, só com 12 humanos).</t>
        </is>
      </c>
      <c r="C7" s="10" t="n"/>
      <c r="D7" s="10" t="n"/>
      <c r="E7" s="10" t="n"/>
      <c r="F7" s="10" t="n"/>
      <c r="G7" s="10" t="n"/>
    </row>
    <row r="8" ht="15" customHeight="1" s="8">
      <c r="A8" s="11" t="inlineStr">
        <is>
          <t>Grosseria</t>
        </is>
      </c>
      <c r="B8" s="10" t="inlineStr">
        <is>
          <t>Nível médio: ofensa ao personagem sim, palavrão não (decisão do Mario, 02/10/2026).</t>
        </is>
      </c>
      <c r="C8" s="10" t="n"/>
      <c r="D8" s="10" t="n"/>
      <c r="E8" s="10" t="n"/>
      <c r="F8" s="10" t="n"/>
      <c r="G8" s="10" t="n"/>
    </row>
    <row r="9" ht="23.85" customHeight="1" s="8">
      <c r="A9" s="11" t="inlineStr">
        <is>
          <t>Evasivo</t>
        </is>
      </c>
      <c r="B9" s="10" t="inlineStr">
        <is>
          <t>As digressões usam só assunto neutro (chuva, frio, umidade, cansaço, estrada, demora). Nunca vento: o cânone diz que a chuva cai reta, sem vento.</t>
        </is>
      </c>
      <c r="C9" s="10" t="n"/>
      <c r="D9" s="10" t="n"/>
      <c r="E9" s="10" t="n"/>
      <c r="F9" s="10" t="n"/>
      <c r="G9" s="10" t="n"/>
    </row>
    <row r="10" ht="15" customHeight="1" s="8">
      <c r="A10" s="10" t="n"/>
      <c r="B10" s="10" t="n"/>
      <c r="C10" s="10" t="n"/>
      <c r="D10" s="10" t="n"/>
      <c r="E10" s="10" t="n"/>
      <c r="F10" s="10" t="n"/>
      <c r="G10" s="10" t="n"/>
    </row>
    <row r="11" ht="23.85" customHeight="1" s="8">
      <c r="A11" s="12" t="inlineStr">
        <is>
          <t>Tipo</t>
        </is>
      </c>
      <c r="B11" s="12" t="inlineStr">
        <is>
          <t>Reatividade</t>
        </is>
      </c>
      <c r="C11" s="12" t="inlineStr">
        <is>
          <t>Confiança</t>
        </is>
      </c>
      <c r="D11" s="12" t="inlineStr">
        <is>
          <t>Filtro</t>
        </is>
      </c>
      <c r="E11" s="12" t="inlineStr">
        <is>
          <t>Lealdade</t>
        </is>
      </c>
      <c r="F11" s="12" t="inlineStr">
        <is>
          <t>Esfriamento</t>
        </is>
      </c>
      <c r="G11" s="12" t="inlineStr">
        <is>
          <t>Como escreve</t>
        </is>
      </c>
    </row>
    <row r="12" ht="15" customHeight="1" s="8">
      <c r="A12" s="10" t="inlineStr">
        <is>
          <t>Explosivo</t>
        </is>
      </c>
      <c r="B12" s="10" t="n">
        <v>0.9</v>
      </c>
      <c r="C12" s="10" t="n">
        <v>0.3</v>
      </c>
      <c r="D12" s="10" t="n">
        <v>0.1</v>
      </c>
      <c r="E12" s="10" t="n">
        <v>0.2</v>
      </c>
      <c r="F12" s="10" t="n">
        <v>0.5</v>
      </c>
      <c r="G12" s="10" t="inlineStr">
        <is>
          <t>Exclamações, acusa pelo tom, impaciente; ofende sem palavrão.</t>
        </is>
      </c>
    </row>
    <row r="13" ht="15" customHeight="1" s="8">
      <c r="A13" s="10" t="inlineStr">
        <is>
          <t>Calmo opaco</t>
        </is>
      </c>
      <c r="B13" s="10" t="n">
        <v>0.2</v>
      </c>
      <c r="C13" s="10" t="n">
        <v>0.2</v>
      </c>
      <c r="D13" s="10" t="n">
        <v>0.8</v>
      </c>
      <c r="E13" s="10" t="n">
        <v>0.3</v>
      </c>
      <c r="F13" s="10" t="n">
        <v>0.85</v>
      </c>
      <c r="G13" s="10" t="inlineStr">
        <is>
          <t>Voz baixa, frases curtas e partidas; diz tudo, aos pedaços.</t>
        </is>
      </c>
    </row>
    <row r="14" ht="23.85" customHeight="1" s="8">
      <c r="A14" s="10" t="inlineStr">
        <is>
          <t>Ingênuo</t>
        </is>
      </c>
      <c r="B14" s="10" t="n">
        <v>0.4</v>
      </c>
      <c r="C14" s="10" t="n">
        <v>0.9</v>
      </c>
      <c r="D14" s="10" t="n">
        <v>0.1</v>
      </c>
      <c r="E14" s="10" t="n">
        <v>0.2</v>
      </c>
      <c r="F14" s="10" t="n">
        <v>0.8</v>
      </c>
      <c r="G14" s="10" t="inlineStr">
        <is>
          <t>Hesita, pede confirmação, acredita; nas pistas, sem "acho que" antes do fato.</t>
        </is>
      </c>
    </row>
    <row r="15" ht="23.85" customHeight="1" s="8">
      <c r="A15" s="10" t="inlineStr">
        <is>
          <t>Leal cego</t>
        </is>
      </c>
      <c r="B15" s="10" t="n">
        <v>0.5</v>
      </c>
      <c r="C15" s="10" t="n">
        <v>0.4</v>
      </c>
      <c r="D15" s="10" t="n">
        <v>0.6</v>
      </c>
      <c r="E15" s="10" t="n">
        <v>0.95</v>
      </c>
      <c r="F15" s="10" t="n">
        <v>0.7</v>
      </c>
      <c r="G15" s="10" t="inlineStr">
        <is>
          <t>Fala em defesa de alguém; padrão: lealdade a ele (o proprietário) ou à casa.</t>
        </is>
      </c>
    </row>
    <row r="16" ht="15" customHeight="1" s="8">
      <c r="A16" s="10" t="inlineStr">
        <is>
          <t>Evasivo</t>
        </is>
      </c>
      <c r="B16" s="10" t="n">
        <v>0.3</v>
      </c>
      <c r="C16" s="10" t="n">
        <v>0.3</v>
      </c>
      <c r="D16" s="10" t="n">
        <v>0.9</v>
      </c>
      <c r="E16" s="10" t="n">
        <v>0.2</v>
      </c>
      <c r="F16" s="10" t="n">
        <v>0.75</v>
      </c>
      <c r="G16" s="10" t="inlineStr">
        <is>
          <t>Rodeia com assunto neutro e solta a informação no meio.</t>
        </is>
      </c>
    </row>
    <row r="17" ht="15" customHeight="1" s="8">
      <c r="A17" s="10" t="inlineStr">
        <is>
          <t>Burocrata</t>
        </is>
      </c>
      <c r="B17" s="10" t="n">
        <v>0.2</v>
      </c>
      <c r="C17" s="10" t="n">
        <v>0.2</v>
      </c>
      <c r="D17" s="10" t="n">
        <v>0.7</v>
      </c>
      <c r="E17" s="10" t="n">
        <v>0.1</v>
      </c>
      <c r="F17" s="10" t="n">
        <v>0.9</v>
      </c>
      <c r="G17" s="10" t="inlineStr">
        <is>
          <t>Formato de registro: consta, registre, itens em sequência.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7" min="1" max="1"/>
    <col width="10" customWidth="1" style="7" min="2" max="2"/>
    <col width="20" customWidth="1" style="7" min="3" max="3"/>
    <col width="24" customWidth="1" style="7" min="4" max="4"/>
  </cols>
  <sheetData>
    <row r="1" ht="15" customHeight="1" s="8">
      <c r="A1" s="12" t="inlineStr">
        <is>
          <t>Aba</t>
        </is>
      </c>
      <c r="B1" s="12" t="inlineStr">
        <is>
          <t>Falas</t>
        </is>
      </c>
      <c r="C1" s="12" t="inlineStr">
        <is>
          <t>Células (falas × 6)</t>
        </is>
      </c>
      <c r="D1" s="12" t="inlineStr">
        <is>
          <t>Linhas com item faltando</t>
        </is>
      </c>
    </row>
    <row r="2" ht="15" customHeight="1" s="8">
      <c r="A2" s="10" t="inlineStr">
        <is>
          <t>Cap 1</t>
        </is>
      </c>
      <c r="B2" s="10">
        <f>COUNTA('Cap 1'!A2:A49)</f>
        <v/>
      </c>
      <c r="C2" s="10">
        <f>B2*6</f>
        <v/>
      </c>
      <c r="D2" s="10">
        <f>COUNTIF('Cap 1'!X2:X49,"&gt;0")</f>
        <v/>
      </c>
    </row>
    <row r="3" ht="15" customHeight="1" s="8">
      <c r="A3" s="10" t="inlineStr">
        <is>
          <t>Cap 2</t>
        </is>
      </c>
      <c r="B3" s="10">
        <f>COUNTA('Cap 2'!A2:A43)</f>
        <v/>
      </c>
      <c r="C3" s="10">
        <f>B3*6</f>
        <v/>
      </c>
      <c r="D3" s="10">
        <f>COUNTIF('Cap 2'!X2:X43,"&gt;0")</f>
        <v/>
      </c>
    </row>
    <row r="4" ht="15" customHeight="1" s="8">
      <c r="A4" s="10" t="inlineStr">
        <is>
          <t>Cap 3</t>
        </is>
      </c>
      <c r="B4" s="10">
        <f>COUNTA('Cap 3'!A2:A32)</f>
        <v/>
      </c>
      <c r="C4" s="10">
        <f>B4*6</f>
        <v/>
      </c>
      <c r="D4" s="10">
        <f>COUNTIF('Cap 3'!X2:X32,"&gt;0")</f>
        <v/>
      </c>
    </row>
    <row r="5" ht="15" customHeight="1" s="8">
      <c r="A5" s="10" t="inlineStr">
        <is>
          <t>Cap 4</t>
        </is>
      </c>
      <c r="B5" s="10">
        <f>COUNTA('Cap 4'!A2:A28)</f>
        <v/>
      </c>
      <c r="C5" s="10">
        <f>B5*6</f>
        <v/>
      </c>
      <c r="D5" s="10">
        <f>COUNTIF('Cap 4'!X2:X28,"&gt;0")</f>
        <v/>
      </c>
    </row>
    <row r="6" ht="15" customHeight="1" s="8">
      <c r="A6" s="10" t="inlineStr">
        <is>
          <t>Cap 5</t>
        </is>
      </c>
      <c r="B6" s="10">
        <f>COUNTA('Cap 5'!A2:A18)</f>
        <v/>
      </c>
      <c r="C6" s="10">
        <f>B6*6</f>
        <v/>
      </c>
      <c r="D6" s="10">
        <f>COUNTIF('Cap 5'!X2:X18,"&gt;0")</f>
        <v/>
      </c>
    </row>
    <row r="7" ht="15" customHeight="1" s="8">
      <c r="A7" s="10" t="inlineStr">
        <is>
          <t>Cap 6</t>
        </is>
      </c>
      <c r="B7" s="10">
        <f>COUNTA('Cap 6'!A2:A26)</f>
        <v/>
      </c>
      <c r="C7" s="10">
        <f>B7*6</f>
        <v/>
      </c>
      <c r="D7" s="10">
        <f>COUNTIF('Cap 6'!X2:X26,"&gt;0")</f>
        <v/>
      </c>
    </row>
    <row r="8" ht="15" customHeight="1" s="8">
      <c r="A8" s="10" t="inlineStr">
        <is>
          <t>Final</t>
        </is>
      </c>
      <c r="B8" s="10">
        <f>COUNTA(Final!A2:A5)</f>
        <v/>
      </c>
      <c r="C8" s="10">
        <f>B8*6</f>
        <v/>
      </c>
      <c r="D8" s="10">
        <f>COUNTIF(Final!X2:X5,"&gt;0")</f>
        <v/>
      </c>
    </row>
    <row r="9" ht="15" customHeight="1" s="8">
      <c r="A9" s="10" t="inlineStr">
        <is>
          <t>Partidas Cap 1-2</t>
        </is>
      </c>
      <c r="B9" s="10">
        <f>COUNTA('Partidas Cap 1-2'!A2:A55)</f>
        <v/>
      </c>
      <c r="C9" s="10">
        <f>B9*6</f>
        <v/>
      </c>
      <c r="D9" s="10">
        <f>COUNTIF('Partidas Cap 1-2'!Y2:Y55,"&gt;0")</f>
        <v/>
      </c>
    </row>
    <row r="10" ht="15" customHeight="1" s="8">
      <c r="A10" s="10" t="inlineStr">
        <is>
          <t>Partidas Cap 3-4</t>
        </is>
      </c>
      <c r="B10" s="10">
        <f>COUNTA('Partidas Cap 3-4'!A2:A90)</f>
        <v/>
      </c>
      <c r="C10" s="10">
        <f>B10*6</f>
        <v/>
      </c>
      <c r="D10" s="10">
        <f>COUNTIF('Partidas Cap 3-4'!Y2:Y90,"&gt;0")</f>
        <v/>
      </c>
    </row>
    <row r="11" ht="15" customHeight="1" s="8">
      <c r="A11" s="10" t="inlineStr">
        <is>
          <t>Partidas Cap 5</t>
        </is>
      </c>
      <c r="B11" s="10">
        <f>COUNTA('Partidas Cap 5'!A2:A39)</f>
        <v/>
      </c>
      <c r="C11" s="10">
        <f>B11*6</f>
        <v/>
      </c>
      <c r="D11" s="10">
        <f>COUNTIF('Partidas Cap 5'!Y2:Y39,"&gt;0")</f>
        <v/>
      </c>
    </row>
    <row r="12" ht="15" customHeight="1" s="8">
      <c r="A12" s="10" t="inlineStr">
        <is>
          <t>Partidas Cap 6</t>
        </is>
      </c>
      <c r="B12" s="10">
        <f>COUNTA('Partidas Cap 6'!A2:A131)</f>
        <v/>
      </c>
      <c r="C12" s="10">
        <f>B12*6</f>
        <v/>
      </c>
      <c r="D12" s="10">
        <f>COUNTIF('Partidas Cap 6'!Y2:Y131,"&gt;0")</f>
        <v/>
      </c>
    </row>
    <row r="13" ht="15" customHeight="1" s="8">
      <c r="A13" s="11" t="inlineStr">
        <is>
          <t>Total</t>
        </is>
      </c>
      <c r="B13" s="11">
        <f>SUM(B2:B12)</f>
        <v/>
      </c>
      <c r="C13" s="11">
        <f>SUM(C2:C12)</f>
        <v/>
      </c>
      <c r="D13" s="11">
        <f>SUM(D2:D12)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7" min="1" max="1"/>
    <col width="120" customWidth="1" style="7" min="2" max="2"/>
  </cols>
  <sheetData>
    <row r="1" ht="15" customHeight="1" s="8">
      <c r="A1" s="12" t="inlineStr">
        <is>
          <t>Tema</t>
        </is>
      </c>
      <c r="B1" s="12" t="inlineStr">
        <is>
          <t>Dúvida ou decisão</t>
        </is>
      </c>
    </row>
    <row r="2" ht="23.85" customHeight="1" s="8">
      <c r="A2" s="10" t="inlineStr">
        <is>
          <t>Resolvido 02/10</t>
        </is>
      </c>
      <c r="B2" s="10" t="inlineStr">
        <is>
          <t>Passada 2 aplicada (chamada de uma palavra, sem vento, deslizes, fin-04, voz com uma função por momento, Ingênuo sem hesitar antes do fato, Explosivo sem acusar, Leal só onde cabe, Burocrata que anota, falas curtas sem muleta).</t>
        </is>
      </c>
    </row>
    <row r="3" ht="15" customHeight="1" s="8">
      <c r="A3" s="10" t="inlineStr">
        <is>
          <t>Resolvido 02/10</t>
        </is>
      </c>
      <c r="B3" s="10" t="inlineStr">
        <is>
          <t>Deslizes de quem voltou (P2 e P10) reescritos com "terça passada" no código.</t>
        </is>
      </c>
    </row>
    <row r="4" ht="15" customHeight="1" s="8">
      <c r="A4" s="10" t="inlineStr">
        <is>
          <t>Resolvido 02/10</t>
        </is>
      </c>
      <c r="B4" s="10" t="inlineStr">
        <is>
          <t>P15: o Faroleiro diz "vulto amarelo" (o farol só vê vultos). Mudou também no Cap. 6 e no livro do farol.</t>
        </is>
      </c>
    </row>
    <row r="5" ht="15" customHeight="1" s="8">
      <c r="A5" s="10" t="inlineStr">
        <is>
          <t>Resolvido 02/10</t>
        </is>
      </c>
      <c r="B5" s="10" t="inlineStr">
        <is>
          <t>Segundos da mensagem no escuro: Leal cego +20, Ingênuo +36, Evasivo +60, Explosivo +90, Calmo opaco +100, Burocrata +106.</t>
        </is>
      </c>
    </row>
    <row r="6" ht="23.85" customHeight="1" s="8">
      <c r="A6" s="10" t="inlineStr">
        <is>
          <t>Resolvido 02/10</t>
        </is>
      </c>
      <c r="B6" s="10" t="inlineStr">
        <is>
          <t>Falantes deduzidos confirmados: "De despensa." (Chefe), "O senhor escreveu isso…" (Investigador), "Tem barro vermelho…" (Observadora), "Tirou o blazer no frio?" (Jornalista).</t>
        </is>
      </c>
    </row>
    <row r="7" ht="23.85" customHeight="1" s="8">
      <c r="A7" s="10" t="inlineStr">
        <is>
          <t>Resolvido 02/10</t>
        </is>
      </c>
      <c r="B7" s="10" t="inlineStr">
        <is>
          <t>Rádio: o Faroleiro passava na casa antes do turno (Cap. 4: o gato do Jardineiro, as terças da Governanta); o ajudante do Eletricista confirma a tomada (Cap. 6). Falas c4-25 a c4-27 e c6-24. Toda mensagem de rádio toca a estática.</t>
        </is>
      </c>
    </row>
    <row r="8" ht="15" customHeight="1" s="8">
      <c r="A8" s="10" t="inlineStr">
        <is>
          <t>Cânone</t>
        </is>
      </c>
      <c r="B8" s="10" t="inlineStr">
        <is>
          <t>P13 "estava lúcido": pista falsa intencional; as seis mantêm "lúcido".</t>
        </is>
      </c>
    </row>
    <row r="9" ht="15" customHeight="1" s="8">
      <c r="A9" s="10" t="inlineStr">
        <is>
          <t>Cânone</t>
        </is>
      </c>
      <c r="B9" s="10" t="inlineStr">
        <is>
          <t>"Quarto dos fundos", "quarto do fundo" e "quarto de serviço" tratados como o mesmo cômodo; na matriz o nome nunca varia entre tipos.</t>
        </is>
      </c>
    </row>
    <row r="10" ht="15" customHeight="1" s="8">
      <c r="A10" s="10" t="inlineStr">
        <is>
          <t>Código</t>
        </is>
      </c>
      <c r="B10" s="10" t="inlineStr">
        <is>
          <t>Quando o narrador fala pelo personagem do jogador, usa o tipo sorteado.</t>
        </is>
      </c>
    </row>
    <row r="11" ht="23.85" customHeight="1" s="8">
      <c r="A11" s="10" t="inlineStr">
        <is>
          <t>Código</t>
        </is>
      </c>
      <c r="B11" s="10" t="inlineStr">
        <is>
          <t>Textos por extenso que deveriam ser ficha (P2 Cap. 5 "o Policial"; P12 Cap. 6 "respondi ao Policial", "à Governanta"; Cap. 2 a Herdeira em "É o número do seu pai?"): corrigir quando a matriz entrar no jogo.</t>
        </is>
      </c>
    </row>
    <row r="12" ht="15" customHeight="1" s="8">
      <c r="A12" s="10" t="inlineStr">
        <is>
          <t>Código</t>
        </is>
      </c>
      <c r="B12" s="10" t="inlineStr">
        <is>
          <t>O livro do farol usa o texto base da linha do Faroleiro, sem tipo.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Y50"/>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1"/>
    <col width="24" customWidth="1" style="7" min="2" max="2"/>
    <col width="12" customWidth="1" style="7" min="3" max="3"/>
    <col width="18" customWidth="1" style="7" min="4" max="4"/>
    <col width="12" customWidth="1" style="7" min="5" max="5"/>
    <col width="14" customWidth="1" style="7" min="6" max="6"/>
    <col width="12" customWidth="1" style="7" min="7" max="16"/>
    <col width="40" customWidth="1" style="7" min="17" max="17"/>
    <col width="38" customWidth="1" style="7" min="18" max="23"/>
    <col width="8" customWidth="1" style="7" min="24" max="24"/>
    <col width="34" customWidth="1" style="7" min="25" max="25"/>
  </cols>
  <sheetData>
    <row r="1" ht="15" customHeight="1" s="8">
      <c r="A1" s="12" t="inlineStr">
        <is>
          <t>ID</t>
        </is>
      </c>
      <c r="B1" s="12" t="inlineStr">
        <is>
          <t>Cena</t>
        </is>
      </c>
      <c r="C1" s="12" t="inlineStr">
        <is>
          <t>Momento</t>
        </is>
      </c>
      <c r="D1" s="12" t="inlineStr">
        <is>
          <t>Quem fala</t>
        </is>
      </c>
      <c r="E1" s="12" t="inlineStr">
        <is>
          <t>Com quem</t>
        </is>
      </c>
      <c r="F1" s="12" t="inlineStr">
        <is>
          <t>Condição</t>
        </is>
      </c>
      <c r="G1" s="12" t="inlineStr">
        <is>
          <t>Item 1</t>
        </is>
      </c>
      <c r="H1" s="12" t="inlineStr">
        <is>
          <t>Item 2</t>
        </is>
      </c>
      <c r="I1" s="12" t="inlineStr">
        <is>
          <t>Item 3</t>
        </is>
      </c>
      <c r="J1" s="12" t="inlineStr">
        <is>
          <t>Item 4</t>
        </is>
      </c>
      <c r="K1" s="12" t="inlineStr">
        <is>
          <t>Item 5</t>
        </is>
      </c>
      <c r="L1" s="12" t="inlineStr">
        <is>
          <t>Item 6</t>
        </is>
      </c>
      <c r="M1" s="12" t="inlineStr">
        <is>
          <t>Item 7</t>
        </is>
      </c>
      <c r="N1" s="12" t="inlineStr">
        <is>
          <t>Item 8</t>
        </is>
      </c>
      <c r="O1" s="12" t="inlineStr">
        <is>
          <t>Item 9</t>
        </is>
      </c>
      <c r="P1" s="12" t="inlineStr">
        <is>
          <t>Item 10</t>
        </is>
      </c>
      <c r="Q1" s="12" t="inlineStr">
        <is>
          <t>Fala original</t>
        </is>
      </c>
      <c r="R1" s="12" t="inlineStr">
        <is>
          <t>Explosivo</t>
        </is>
      </c>
      <c r="S1" s="12" t="inlineStr">
        <is>
          <t>Calmo opaco</t>
        </is>
      </c>
      <c r="T1" s="12" t="inlineStr">
        <is>
          <t>Ingênuo</t>
        </is>
      </c>
      <c r="U1" s="12" t="inlineStr">
        <is>
          <t>Leal cego</t>
        </is>
      </c>
      <c r="V1" s="12" t="inlineStr">
        <is>
          <t>Evasivo</t>
        </is>
      </c>
      <c r="W1" s="12" t="inlineStr">
        <is>
          <t>Burocrata</t>
        </is>
      </c>
      <c r="X1" s="12" t="inlineStr">
        <is>
          <t>Faltam</t>
        </is>
      </c>
      <c r="Y1" s="12" t="inlineStr">
        <is>
          <t>Nota</t>
        </is>
      </c>
    </row>
    <row r="2" ht="35.05" customHeight="1" s="8">
      <c r="A2" s="10" t="inlineStr">
        <is>
          <t>c1-01</t>
        </is>
      </c>
      <c r="B2" s="10" t="inlineStr">
        <is>
          <t>chegada: a contagem e os lacres</t>
        </is>
      </c>
      <c r="C2" s="10" t="inlineStr">
        <is>
          <t>roteiro</t>
        </is>
      </c>
      <c r="D2" s="10" t="inlineStr">
        <is>
          <t>tabeliao | policial (cond: o Tabelião se estiver na casa)</t>
        </is>
      </c>
      <c r="E2" s="10" t="inlineStr">
        <is>
          <t>grupo (citado na narração)</t>
        </is>
      </c>
      <c r="F2" s="10" t="n"/>
      <c r="G2" s="10" t="inlineStr">
        <is>
          <t>leitura</t>
        </is>
      </c>
      <c r="H2" s="10" t="inlineStr">
        <is>
          <t>nada sai do lugar</t>
        </is>
      </c>
      <c r="I2" s="10" t="inlineStr">
        <is>
          <t>nem vocês</t>
        </is>
      </c>
      <c r="J2" s="10" t="n"/>
      <c r="K2" s="10" t="n"/>
      <c r="L2" s="10" t="n"/>
      <c r="M2" s="10" t="n"/>
      <c r="N2" s="10" t="n"/>
      <c r="O2" s="10" t="n"/>
      <c r="P2" s="10" t="n"/>
      <c r="Q2" s="10" t="inlineStr">
        <is>
          <t>Até a leitura, nada sai do lugar. Nem vocês.</t>
        </is>
      </c>
      <c r="R2" s="13" t="inlineStr">
        <is>
          <t>Nada sai do lugar até a leitura! Nem vocês, e não quero discussão.</t>
        </is>
      </c>
      <c r="S2" s="13" t="inlineStr">
        <is>
          <t>Até a leitura… nada sai do lugar. Nem vocês.</t>
        </is>
      </c>
      <c r="T2" s="13" t="inlineStr">
        <is>
          <t>Até a leitura, nada sai do lugar. Nem vocês, tá bom?</t>
        </is>
      </c>
      <c r="U2" s="13" t="inlineStr">
        <is>
          <t>Até a leitura, nada sai do lugar. Nem vocês. Sem exceção.</t>
        </is>
      </c>
      <c r="V2" s="13" t="inlineStr">
        <is>
          <t>Foi longa, a estrada até aqui… Até a leitura, nada sai do lugar. Nem vocês.</t>
        </is>
      </c>
      <c r="W2" s="13" t="inlineStr">
        <is>
          <t>Para a ata: até a leitura, nada sai do lugar. Nem vocês.</t>
        </is>
      </c>
      <c r="X2" s="10">
        <f>SUMPRODUCT(($G2:$P2&lt;&gt;"")*ISERROR(SEARCH($G2:$P2,R2)))+SUMPRODUCT(($G2:$P2&lt;&gt;"")*ISERROR(SEARCH($G2:$P2,S2)))+SUMPRODUCT(($G2:$P2&lt;&gt;"")*ISERROR(SEARCH($G2:$P2,T2)))+SUMPRODUCT(($G2:$P2&lt;&gt;"")*ISERROR(SEARCH($G2:$P2,U2)))+SUMPRODUCT(($G2:$P2&lt;&gt;"")*ISERROR(SEARCH($G2:$P2,V2)))+SUMPRODUCT(($G2:$P2&lt;&gt;"")*ISERROR(SEARCH($G2:$P2,W2)))</f>
        <v/>
      </c>
      <c r="Y2" s="10" t="inlineStr">
        <is>
          <t>Enquadre: '{Cond} contou os convocados duas vezes e anotou N. Depois conferiu os lacres... &lt;i&gt;"fala"&lt;/i&gt;'.</t>
        </is>
      </c>
    </row>
    <row r="3" ht="46.25" customHeight="1" s="8">
      <c r="A3" s="10" t="inlineStr">
        <is>
          <t>c1-02</t>
        </is>
      </c>
      <c r="B3" s="10" t="inlineStr">
        <is>
          <t>o rádio do farol (casa com funcionários)</t>
        </is>
      </c>
      <c r="C3" s="10" t="inlineStr">
        <is>
          <t>roteiro</t>
        </is>
      </c>
      <c r="D3" s="10" t="inlineStr">
        <is>
          <t>faroleiro</t>
        </is>
      </c>
      <c r="E3" s="10" t="inlineStr">
        <is>
          <t>grupo (rádio, citado na narração)</t>
        </is>
      </c>
      <c r="F3" s="10" t="inlineStr">
        <is>
          <t>com funcionários</t>
        </is>
      </c>
      <c r="G3" s="10" t="inlineStr">
        <is>
          <t>farol</t>
        </is>
      </c>
      <c r="H3" s="10" t="inlineStr">
        <is>
          <t>pessoal do serviço</t>
        </is>
      </c>
      <c r="I3" s="10" t="inlineStr">
        <is>
          <t>passou a noite</t>
        </is>
      </c>
      <c r="J3" s="10" t="inlineStr">
        <is>
          <t>convocados</t>
        </is>
      </c>
      <c r="K3" s="10" t="inlineStr">
        <is>
          <t>chegaram bem</t>
        </is>
      </c>
      <c r="L3" s="10" t="n"/>
      <c r="M3" s="10" t="n"/>
      <c r="N3" s="10" t="n"/>
      <c r="O3" s="10" t="n"/>
      <c r="P3" s="10" t="n"/>
      <c r="Q3" s="10" t="inlineStr">
        <is>
          <t>Casa da Costa, aqui é o farol. O pessoal do serviço passou a noite aí, como eu aconselhei. Os convocados chegaram bem?</t>
        </is>
      </c>
      <c r="R3" s="13" t="inlineStr">
        <is>
          <t>Casa da Costa, aqui é o farol! O pessoal do serviço passou a noite aí, como eu aconselhei. E os convocados, chegaram bem ou não?</t>
        </is>
      </c>
      <c r="S3" s="13" t="inlineStr">
        <is>
          <t>Casa da Costa… aqui é o farol. O pessoal do serviço… passou a noite aí. Eu aconselhei. Os convocados… chegaram bem?</t>
        </is>
      </c>
      <c r="T3" s="13" t="inlineStr">
        <is>
          <t>Casa da Costa? Aqui é o farol. O pessoal do serviço passou a noite aí, como eu aconselhei… Os convocados chegaram bem? Tomara que sim.</t>
        </is>
      </c>
      <c r="U3" s="13" t="inlineStr">
        <is>
          <t>Casa da Costa, aqui é o farol. O pessoal do serviço passou a noite aí, como eu aconselhei. Os convocados chegaram bem?</t>
        </is>
      </c>
      <c r="V3" s="13" t="inlineStr">
        <is>
          <t>Casa da Costa, aqui é o farol. Umidade aqui em cima que não acaba… O pessoal do serviço passou a noite aí, como eu aconselhei. E os convocados, chegaram bem?</t>
        </is>
      </c>
      <c r="W3" s="13" t="inlineStr">
        <is>
          <t>Casa da Costa, aqui é o farol. Para registro: o pessoal do serviço passou a noite aí, por orientação minha. Convocados: chegaram bem?</t>
        </is>
      </c>
      <c r="X3" s="10">
        <f>SUMPRODUCT(($G3:$P3&lt;&gt;"")*ISERROR(SEARCH($G3:$P3,R3)))+SUMPRODUCT(($G3:$P3&lt;&gt;"")*ISERROR(SEARCH($G3:$P3,S3)))+SUMPRODUCT(($G3:$P3&lt;&gt;"")*ISERROR(SEARCH($G3:$P3,T3)))+SUMPRODUCT(($G3:$P3&lt;&gt;"")*ISERROR(SEARCH($G3:$P3,U3)))+SUMPRODUCT(($G3:$P3&lt;&gt;"")*ISERROR(SEARCH($G3:$P3,V3)))+SUMPRODUCT(($G3:$P3&lt;&gt;"")*ISERROR(SEARCH($G3:$P3,W3)))</f>
        <v/>
      </c>
      <c r="Y3" s="10" t="inlineStr">
        <is>
          <t>Enquadre: 'O velho rádio VHF chia. É o farol: &lt;i&gt;"fala"&lt;/i&gt;'. 'Casa da Costa' é nome da casa, não de pessoa.</t>
        </is>
      </c>
    </row>
    <row r="4" ht="46.25" customHeight="1" s="8">
      <c r="A4" s="10" t="inlineStr">
        <is>
          <t>c1-03</t>
        </is>
      </c>
      <c r="B4" s="10" t="inlineStr">
        <is>
          <t>da cozinha, os funcionários ouvem a chegada</t>
        </is>
      </c>
      <c r="C4" s="10" t="inlineStr">
        <is>
          <t>chat</t>
        </is>
      </c>
      <c r="D4" s="10" t="inlineStr">
        <is>
          <t>voz(FUNCIONARIOS)</t>
        </is>
      </c>
      <c r="E4" s="10" t="inlineStr">
        <is>
          <t>grupo do serviço (só funcionário humano vê)</t>
        </is>
      </c>
      <c r="F4" s="10" t="inlineStr">
        <is>
          <t>com funcionários; jogador é funcionário</t>
        </is>
      </c>
      <c r="G4" s="10" t="inlineStr">
        <is>
          <t>chegou gente</t>
        </is>
      </c>
      <c r="H4" s="10" t="inlineStr">
        <is>
          <t>muita gente</t>
        </is>
      </c>
      <c r="I4" s="10" t="inlineStr">
        <is>
          <t>pela frente</t>
        </is>
      </c>
      <c r="J4" s="10" t="n"/>
      <c r="K4" s="10" t="n"/>
      <c r="L4" s="10" t="n"/>
      <c r="M4" s="10" t="n"/>
      <c r="N4" s="10" t="n"/>
      <c r="O4" s="10" t="n"/>
      <c r="P4" s="10" t="n"/>
      <c r="Q4" s="10" t="inlineStr">
        <is>
          <t>Chegou gente. Muita gente, pela frente.</t>
        </is>
      </c>
      <c r="R4" s="13" t="inlineStr">
        <is>
          <t>Chegou gente! Muita gente, pela frente. Que hora para isso.</t>
        </is>
      </c>
      <c r="S4" s="13" t="inlineStr">
        <is>
          <t>Chegou gente… Muita gente. Pela frente.</t>
        </is>
      </c>
      <c r="T4" s="13" t="inlineStr">
        <is>
          <t>Chegou gente… muita gente, pela frente. Vocês ouviram também?</t>
        </is>
      </c>
      <c r="U4" s="13" t="inlineStr">
        <is>
          <t>Chegou gente. Muita gente, pela frente.</t>
        </is>
      </c>
      <c r="V4" s="13" t="inlineStr">
        <is>
          <t>Mal se enxerga com essa chuva… Chegou gente. Muita gente, pela frente.</t>
        </is>
      </c>
      <c r="W4" s="13" t="inlineStr">
        <is>
          <t>Chegou gente. Muita gente. Acesso: pela frente.</t>
        </is>
      </c>
      <c r="X4" s="10">
        <f>SUMPRODUCT(($G4:$P4&lt;&gt;"")*ISERROR(SEARCH($G4:$P4,R4)))+SUMPRODUCT(($G4:$P4&lt;&gt;"")*ISERROR(SEARCH($G4:$P4,S4)))+SUMPRODUCT(($G4:$P4&lt;&gt;"")*ISERROR(SEARCH($G4:$P4,T4)))+SUMPRODUCT(($G4:$P4&lt;&gt;"")*ISERROR(SEARCH($G4:$P4,U4)))+SUMPRODUCT(($G4:$P4&lt;&gt;"")*ISERROR(SEARCH($G4:$P4,V4)))+SUMPRODUCT(($G4:$P4&lt;&gt;"")*ISERROR(SEARCH($G4:$P4,W4)))</f>
        <v/>
      </c>
      <c r="Y4" s="10" t="inlineStr">
        <is>
          <t>Falante pode ser homem ou mulher: sem adjetivo de gênero sobre si.</t>
        </is>
      </c>
    </row>
    <row r="5" ht="46.25" customHeight="1" s="8">
      <c r="A5" s="10" t="inlineStr">
        <is>
          <t>c1-04</t>
        </is>
      </c>
      <c r="B5" s="10" t="inlineStr">
        <is>
          <t>os funcionários sabem que o farol falou deles</t>
        </is>
      </c>
      <c r="C5" s="10" t="inlineStr">
        <is>
          <t>chat</t>
        </is>
      </c>
      <c r="D5" s="10" t="inlineStr">
        <is>
          <t>voz(FUNCIONARIOS.slice().reverse())</t>
        </is>
      </c>
      <c r="E5" s="10" t="inlineStr">
        <is>
          <t>grupo do serviço (só funcionário humano vê)</t>
        </is>
      </c>
      <c r="F5" s="10" t="inlineStr">
        <is>
          <t>com funcionários; jogador é funcionário</t>
        </is>
      </c>
      <c r="G5" s="10" t="inlineStr">
        <is>
          <t>farol</t>
        </is>
      </c>
      <c r="H5" s="10" t="inlineStr">
        <is>
          <t>falou da gente</t>
        </is>
      </c>
      <c r="I5" s="10" t="inlineStr">
        <is>
          <t>rádio</t>
        </is>
      </c>
      <c r="J5" s="10" t="inlineStr">
        <is>
          <t>cozinha</t>
        </is>
      </c>
      <c r="K5" s="10" t="n"/>
      <c r="L5" s="10" t="n"/>
      <c r="M5" s="10" t="n"/>
      <c r="N5" s="10" t="n"/>
      <c r="O5" s="10" t="n"/>
      <c r="P5" s="10" t="n"/>
      <c r="Q5" s="10" t="inlineStr">
        <is>
          <t>O farol falou da gente no rádio. Eles vão vir para a cozinha.</t>
        </is>
      </c>
      <c r="R5" s="13" t="inlineStr">
        <is>
          <t>O farol falou da gente no rádio! Agora eles vão vir para a cozinha, era só o que faltava.</t>
        </is>
      </c>
      <c r="S5" s="13" t="inlineStr">
        <is>
          <t>O farol… falou da gente no rádio. Eles vão vir. Para a cozinha.</t>
        </is>
      </c>
      <c r="T5" s="13" t="inlineStr">
        <is>
          <t>O farol falou da gente no rádio, vocês ouviram? Eles vão vir para a cozinha… tudo bem por vocês?</t>
        </is>
      </c>
      <c r="U5" s="13" t="inlineStr">
        <is>
          <t>O farol falou da gente no rádio. Eles vão vir para a cozinha.</t>
        </is>
      </c>
      <c r="V5" s="13" t="inlineStr">
        <is>
          <t>Que demora essa noite… O farol falou da gente no rádio. Eles vão vir para a cozinha.</t>
        </is>
      </c>
      <c r="W5" s="13" t="inlineStr">
        <is>
          <t>Anoto: o farol falou da gente no rádio. Em seguida, eles vêm para a cozinha.</t>
        </is>
      </c>
      <c r="X5" s="10">
        <f>SUMPRODUCT(($G5:$P5&lt;&gt;"")*ISERROR(SEARCH($G5:$P5,R5)))+SUMPRODUCT(($G5:$P5&lt;&gt;"")*ISERROR(SEARCH($G5:$P5,S5)))+SUMPRODUCT(($G5:$P5&lt;&gt;"")*ISERROR(SEARCH($G5:$P5,T5)))+SUMPRODUCT(($G5:$P5&lt;&gt;"")*ISERROR(SEARCH($G5:$P5,U5)))+SUMPRODUCT(($G5:$P5&lt;&gt;"")*ISERROR(SEARCH($G5:$P5,V5)))+SUMPRODUCT(($G5:$P5&lt;&gt;"")*ISERROR(SEARCH($G5:$P5,W5)))</f>
        <v/>
      </c>
      <c r="Y5" s="10" t="n"/>
    </row>
    <row r="6" ht="35.05" customHeight="1" s="8">
      <c r="A6" s="10" t="inlineStr">
        <is>
          <t>c1-05</t>
        </is>
      </c>
      <c r="B6" s="10" t="inlineStr">
        <is>
          <t>o grupo reage ao rádio (com funcionários)</t>
        </is>
      </c>
      <c r="C6" s="10" t="inlineStr">
        <is>
          <t>chat</t>
        </is>
      </c>
      <c r="D6" s="10" t="inlineStr">
        <is>
          <t>residente</t>
        </is>
      </c>
      <c r="E6" s="10" t="inlineStr">
        <is>
          <t>grupo</t>
        </is>
      </c>
      <c r="F6" s="10" t="inlineStr">
        <is>
          <t>com funcionários</t>
        </is>
      </c>
      <c r="G6" s="10" t="inlineStr">
        <is>
          <t>pessoal do serviço</t>
        </is>
      </c>
      <c r="H6" s="10" t="inlineStr">
        <is>
          <t>ninguém falou</t>
        </is>
      </c>
      <c r="I6" s="10" t="inlineStr">
        <is>
          <t>funcionários</t>
        </is>
      </c>
      <c r="J6" s="10" t="n"/>
      <c r="K6" s="10" t="n"/>
      <c r="L6" s="10" t="n"/>
      <c r="M6" s="10" t="n"/>
      <c r="N6" s="10" t="n"/>
      <c r="O6" s="10" t="n"/>
      <c r="P6" s="10" t="n"/>
      <c r="Q6" s="10" t="inlineStr">
        <is>
          <t>Pessoal do serviço? Ninguém falou em funcionários.</t>
        </is>
      </c>
      <c r="R6" s="13" t="inlineStr">
        <is>
          <t>Pessoal do serviço?! Ninguém falou em funcionários, que história é essa?</t>
        </is>
      </c>
      <c r="S6" s="13" t="inlineStr">
        <is>
          <t>Pessoal do serviço… Ninguém falou em funcionários.</t>
        </is>
      </c>
      <c r="T6" s="13" t="inlineStr">
        <is>
          <t>Pessoal do serviço? Ninguém falou em funcionários, falou? Desculpa, posso ter perdido.</t>
        </is>
      </c>
      <c r="U6" s="13" t="inlineStr">
        <is>
          <t>Pessoal do serviço? Ninguém falou em funcionários.</t>
        </is>
      </c>
      <c r="V6" s="13" t="inlineStr">
        <is>
          <t>Pessoal do serviço? Depois de tanta estrada, a gente ouve cada coisa… Ninguém falou em funcionários.</t>
        </is>
      </c>
      <c r="W6" s="13" t="inlineStr">
        <is>
          <t>Pessoal do serviço? Ponto não previsto: ninguém falou em funcionários.</t>
        </is>
      </c>
      <c r="X6" s="10">
        <f>SUMPRODUCT(($G6:$P6&lt;&gt;"")*ISERROR(SEARCH($G6:$P6,R6)))+SUMPRODUCT(($G6:$P6&lt;&gt;"")*ISERROR(SEARCH($G6:$P6,S6)))+SUMPRODUCT(($G6:$P6&lt;&gt;"")*ISERROR(SEARCH($G6:$P6,T6)))+SUMPRODUCT(($G6:$P6&lt;&gt;"")*ISERROR(SEARCH($G6:$P6,U6)))+SUMPRODUCT(($G6:$P6&lt;&gt;"")*ISERROR(SEARCH($G6:$P6,V6)))+SUMPRODUCT(($G6:$P6&lt;&gt;"")*ISERROR(SEARCH($G6:$P6,W6)))</f>
        <v/>
      </c>
      <c r="Y6" s="10" t="n"/>
    </row>
    <row r="7" ht="23.85" customHeight="1" s="8">
      <c r="A7" s="10" t="inlineStr">
        <is>
          <t>c1-06</t>
        </is>
      </c>
      <c r="B7" s="10" t="inlineStr">
        <is>
          <t>o grupo reage ao rádio (com funcionários)</t>
        </is>
      </c>
      <c r="C7" s="10" t="inlineStr">
        <is>
          <t>chat</t>
        </is>
      </c>
      <c r="D7" s="10" t="inlineStr">
        <is>
          <t>jornalista</t>
        </is>
      </c>
      <c r="E7" s="10" t="inlineStr">
        <is>
          <t>grupo</t>
        </is>
      </c>
      <c r="F7" s="10" t="inlineStr">
        <is>
          <t>com funcionários</t>
        </is>
      </c>
      <c r="G7" s="10" t="inlineStr">
        <is>
          <t>quem</t>
        </is>
      </c>
      <c r="H7" s="10" t="inlineStr">
        <is>
          <t>cozinha</t>
        </is>
      </c>
      <c r="I7" s="10" t="n"/>
      <c r="J7" s="10" t="n"/>
      <c r="K7" s="10" t="n"/>
      <c r="L7" s="10" t="n"/>
      <c r="M7" s="10" t="n"/>
      <c r="N7" s="10" t="n"/>
      <c r="O7" s="10" t="n"/>
      <c r="P7" s="10" t="n"/>
      <c r="Q7" s="10" t="inlineStr">
        <is>
          <t>Quem está na cozinha?</t>
        </is>
      </c>
      <c r="R7" s="13" t="inlineStr">
        <is>
          <t>Quem está na cozinha?!</t>
        </is>
      </c>
      <c r="S7" s="13" t="inlineStr">
        <is>
          <t>Quem… está na cozinha?</t>
        </is>
      </c>
      <c r="T7" s="13" t="inlineStr">
        <is>
          <t>Quem está na cozinha…?</t>
        </is>
      </c>
      <c r="U7" s="13" t="inlineStr">
        <is>
          <t>Quem está na cozinha?</t>
        </is>
      </c>
      <c r="V7" s="13" t="inlineStr">
        <is>
          <t>Hum… quem está na cozinha?</t>
        </is>
      </c>
      <c r="W7" s="13" t="inlineStr">
        <is>
          <t>Quem está na cozinha?</t>
        </is>
      </c>
      <c r="X7" s="10">
        <f>SUMPRODUCT(($G7:$P7&lt;&gt;"")*ISERROR(SEARCH($G7:$P7,R7)))+SUMPRODUCT(($G7:$P7&lt;&gt;"")*ISERROR(SEARCH($G7:$P7,S7)))+SUMPRODUCT(($G7:$P7&lt;&gt;"")*ISERROR(SEARCH($G7:$P7,T7)))+SUMPRODUCT(($G7:$P7&lt;&gt;"")*ISERROR(SEARCH($G7:$P7,U7)))+SUMPRODUCT(($G7:$P7&lt;&gt;"")*ISERROR(SEARCH($G7:$P7,V7)))+SUMPRODUCT(($G7:$P7&lt;&gt;"")*ISERROR(SEARCH($G7:$P7,W7)))</f>
        <v/>
      </c>
      <c r="Y7" s="10" t="n"/>
    </row>
    <row r="8" ht="35.05" customHeight="1" s="8">
      <c r="A8" s="10" t="inlineStr">
        <is>
          <t>c1-07</t>
        </is>
      </c>
      <c r="B8" s="10" t="inlineStr">
        <is>
          <t>o Tabelião põe os funcionários no grupo</t>
        </is>
      </c>
      <c r="C8" s="10" t="inlineStr">
        <is>
          <t>roteiro</t>
        </is>
      </c>
      <c r="D8" s="10" t="inlineStr">
        <is>
          <t>tabeliao</t>
        </is>
      </c>
      <c r="E8" s="10" t="inlineStr">
        <is>
          <t>grupo (citado na narração)</t>
        </is>
      </c>
      <c r="F8" s="10" t="inlineStr">
        <is>
          <t>com funcionários</t>
        </is>
      </c>
      <c r="G8" s="10" t="inlineStr">
        <is>
          <t>ata</t>
        </is>
      </c>
      <c r="H8" s="10" t="inlineStr">
        <is>
          <t>todos</t>
        </is>
      </c>
      <c r="I8" s="10" t="inlineStr">
        <is>
          <t>na casa</t>
        </is>
      </c>
      <c r="J8" s="10" t="n"/>
      <c r="K8" s="10" t="n"/>
      <c r="L8" s="10" t="n"/>
      <c r="M8" s="10" t="n"/>
      <c r="N8" s="10" t="n"/>
      <c r="O8" s="10" t="n"/>
      <c r="P8" s="10" t="n"/>
      <c r="Q8" s="10" t="inlineStr">
        <is>
          <t>Para a ata, todos que estão na casa.</t>
        </is>
      </c>
      <c r="R8" s="13" t="inlineStr">
        <is>
          <t>Para a ata, todos que estão na casa! Sem deixar ninguém de fora.</t>
        </is>
      </c>
      <c r="S8" s="13" t="inlineStr">
        <is>
          <t>Para a ata… todos que estão na casa.</t>
        </is>
      </c>
      <c r="T8" s="13" t="inlineStr">
        <is>
          <t>É para a ata… todos que estão na casa, certo? Ninguém fica chateado, espero.</t>
        </is>
      </c>
      <c r="U8" s="13" t="inlineStr">
        <is>
          <t>Para a ata, todos que estão na casa. Todos.</t>
        </is>
      </c>
      <c r="V8" s="13" t="inlineStr">
        <is>
          <t>Com tanta demora, melhor adiantar… Para a ata, todos que estão na casa.</t>
        </is>
      </c>
      <c r="W8" s="13" t="inlineStr">
        <is>
          <t>Para a ata: todos que estão na casa, um a um.</t>
        </is>
      </c>
      <c r="X8" s="10">
        <f>SUMPRODUCT(($G8:$P8&lt;&gt;"")*ISERROR(SEARCH($G8:$P8,R8)))+SUMPRODUCT(($G8:$P8&lt;&gt;"")*ISERROR(SEARCH($G8:$P8,S8)))+SUMPRODUCT(($G8:$P8&lt;&gt;"")*ISERROR(SEARCH($G8:$P8,T8)))+SUMPRODUCT(($G8:$P8&lt;&gt;"")*ISERROR(SEARCH($G8:$P8,U8)))+SUMPRODUCT(($G8:$P8&lt;&gt;"")*ISERROR(SEARCH($G8:$P8,V8)))+SUMPRODUCT(($G8:$P8&lt;&gt;"")*ISERROR(SEARCH($G8:$P8,W8)))</f>
        <v/>
      </c>
      <c r="Y8" s="10" t="inlineStr">
        <is>
          <t>Enquadre: '{Tab} anotou mais N e pôs os números deles no grupo do cartório: &lt;i&gt;"fala"&lt;/i&gt;'.</t>
        </is>
      </c>
    </row>
    <row r="9" ht="46.25" customHeight="1" s="8">
      <c r="A9" s="10" t="inlineStr">
        <is>
          <t>c1-08</t>
        </is>
      </c>
      <c r="B9" s="10" t="inlineStr">
        <is>
          <t>primeira fala do serviço no grupo</t>
        </is>
      </c>
      <c r="C9" s="10" t="inlineStr">
        <is>
          <t>chat</t>
        </is>
      </c>
      <c r="D9" s="10" t="inlineStr">
        <is>
          <t>voz(FUNCIONARIOS) = governanta</t>
        </is>
      </c>
      <c r="E9" s="10" t="inlineStr">
        <is>
          <t>grupo</t>
        </is>
      </c>
      <c r="F9" s="10" t="inlineStr">
        <is>
          <t>com funcionários; um só funcionário (casa de 8)</t>
        </is>
      </c>
      <c r="G9" s="10" t="inlineStr">
        <is>
          <t>boa noite</t>
        </is>
      </c>
      <c r="H9" s="10" t="inlineStr">
        <is>
          <t>ninguém me avisou</t>
        </is>
      </c>
      <c r="I9" s="10" t="inlineStr">
        <is>
          <t>tanta gente</t>
        </is>
      </c>
      <c r="J9" s="10" t="n"/>
      <c r="K9" s="10" t="n"/>
      <c r="L9" s="10" t="n"/>
      <c r="M9" s="10" t="n"/>
      <c r="N9" s="10" t="n"/>
      <c r="O9" s="10" t="n"/>
      <c r="P9" s="10" t="n"/>
      <c r="Q9" s="10" t="inlineStr">
        <is>
          <t>Boa noite. Ninguém me avisou que vinha tanta gente.</t>
        </is>
      </c>
      <c r="R9" s="13" t="inlineStr">
        <is>
          <t>Boa noite. Ninguém me avisou que vinha tanta gente, ninguém!</t>
        </is>
      </c>
      <c r="S9" s="13" t="inlineStr">
        <is>
          <t>Boa noite. Ninguém me avisou… que vinha tanta gente.</t>
        </is>
      </c>
      <c r="T9" s="13" t="inlineStr">
        <is>
          <t>Boa noite… Ninguém me avisou que vinha tanta gente. Desculpem a surpresa.</t>
        </is>
      </c>
      <c r="U9" s="13" t="inlineStr">
        <is>
          <t>Boa noite. Ninguém me avisou que vinha tanta gente.</t>
        </is>
      </c>
      <c r="V9" s="13" t="inlineStr">
        <is>
          <t>Boa noite. Molhados da chuva, todos… Ninguém me avisou que vinha tanta gente.</t>
        </is>
      </c>
      <c r="W9" s="13" t="inlineStr">
        <is>
          <t>Boa noite. Anoto: ninguém me avisou que vinha tanta gente.</t>
        </is>
      </c>
      <c r="X9" s="10">
        <f>SUMPRODUCT(($G9:$P9&lt;&gt;"")*ISERROR(SEARCH($G9:$P9,R9)))+SUMPRODUCT(($G9:$P9&lt;&gt;"")*ISERROR(SEARCH($G9:$P9,S9)))+SUMPRODUCT(($G9:$P9&lt;&gt;"")*ISERROR(SEARCH($G9:$P9,T9)))+SUMPRODUCT(($G9:$P9&lt;&gt;"")*ISERROR(SEARCH($G9:$P9,U9)))+SUMPRODUCT(($G9:$P9&lt;&gt;"")*ISERROR(SEARCH($G9:$P9,V9)))+SUMPRODUCT(($G9:$P9&lt;&gt;"")*ISERROR(SEARCH($G9:$P9,W9)))</f>
        <v/>
      </c>
      <c r="Y9" s="10" t="n"/>
    </row>
    <row r="10" ht="46.25" customHeight="1" s="8">
      <c r="A10" s="10" t="inlineStr">
        <is>
          <t>c1-09</t>
        </is>
      </c>
      <c r="B10" s="10" t="inlineStr">
        <is>
          <t>primeira fala do serviço no grupo</t>
        </is>
      </c>
      <c r="C10" s="10" t="inlineStr">
        <is>
          <t>chat</t>
        </is>
      </c>
      <c r="D10" s="10" t="inlineStr">
        <is>
          <t>voz(FUNCIONARIOS)</t>
        </is>
      </c>
      <c r="E10" s="10" t="inlineStr">
        <is>
          <t>grupo</t>
        </is>
      </c>
      <c r="F10" s="10" t="inlineStr">
        <is>
          <t>com funcionários; mais de um funcionário</t>
        </is>
      </c>
      <c r="G10" s="10" t="inlineStr">
        <is>
          <t>boa noite</t>
        </is>
      </c>
      <c r="H10" s="10" t="inlineStr">
        <is>
          <t>ninguém nos avisou</t>
        </is>
      </c>
      <c r="I10" s="10" t="inlineStr">
        <is>
          <t>tanta gente</t>
        </is>
      </c>
      <c r="J10" s="10" t="n"/>
      <c r="K10" s="10" t="n"/>
      <c r="L10" s="10" t="n"/>
      <c r="M10" s="10" t="n"/>
      <c r="N10" s="10" t="n"/>
      <c r="O10" s="10" t="n"/>
      <c r="P10" s="10" t="n"/>
      <c r="Q10" s="10" t="inlineStr">
        <is>
          <t>Boa noite. Ninguém nos avisou que vinha tanta gente.</t>
        </is>
      </c>
      <c r="R10" s="13" t="inlineStr">
        <is>
          <t>Boa noite. Ninguém nos avisou que vinha tanta gente, ninguém!</t>
        </is>
      </c>
      <c r="S10" s="13" t="inlineStr">
        <is>
          <t>Boa noite. Ninguém nos avisou… que vinha tanta gente.</t>
        </is>
      </c>
      <c r="T10" s="13" t="inlineStr">
        <is>
          <t>Boa noite… Ninguém nos avisou que vinha tanta gente. Desculpem a cara de susto.</t>
        </is>
      </c>
      <c r="U10" s="13" t="inlineStr">
        <is>
          <t>Boa noite. Ninguém nos avisou que vinha tanta gente.</t>
        </is>
      </c>
      <c r="V10" s="13" t="inlineStr">
        <is>
          <t>Boa noite. Que noite úmida… Ninguém nos avisou que vinha tanta gente.</t>
        </is>
      </c>
      <c r="W10" s="13" t="inlineStr">
        <is>
          <t>Boa noite. Consta: ninguém nos avisou que vinha tanta gente.</t>
        </is>
      </c>
      <c r="X10" s="10">
        <f>SUMPRODUCT(($G10:$P10&lt;&gt;"")*ISERROR(SEARCH($G10:$P10,R10)))+SUMPRODUCT(($G10:$P10&lt;&gt;"")*ISERROR(SEARCH($G10:$P10,S10)))+SUMPRODUCT(($G10:$P10&lt;&gt;"")*ISERROR(SEARCH($G10:$P10,T10)))+SUMPRODUCT(($G10:$P10&lt;&gt;"")*ISERROR(SEARCH($G10:$P10,U10)))+SUMPRODUCT(($G10:$P10&lt;&gt;"")*ISERROR(SEARCH($G10:$P10,V10)))+SUMPRODUCT(($G10:$P10&lt;&gt;"")*ISERROR(SEARCH($G10:$P10,W10)))</f>
        <v/>
      </c>
      <c r="Y10" s="10" t="inlineStr">
        <is>
          <t>Falante pode ser homem ou mulher.</t>
        </is>
      </c>
    </row>
    <row r="11" ht="23.85" customHeight="1" s="8">
      <c r="A11" s="10" t="inlineStr">
        <is>
          <t>c1-10</t>
        </is>
      </c>
      <c r="B11" s="10" t="inlineStr">
        <is>
          <t>o Policial responde ao serviço</t>
        </is>
      </c>
      <c r="C11" s="10" t="inlineStr">
        <is>
          <t>chat</t>
        </is>
      </c>
      <c r="D11" s="10" t="inlineStr">
        <is>
          <t>policial</t>
        </is>
      </c>
      <c r="E11" s="10" t="inlineStr">
        <is>
          <t>grupo</t>
        </is>
      </c>
      <c r="F11" s="10" t="inlineStr">
        <is>
          <t>com funcionários</t>
        </is>
      </c>
      <c r="G11" s="10" t="inlineStr">
        <is>
          <t>ninguém nos avisou</t>
        </is>
      </c>
      <c r="H11" s="10" t="inlineStr">
        <is>
          <t>alguém aqui</t>
        </is>
      </c>
      <c r="I11" s="10" t="n"/>
      <c r="J11" s="10" t="n"/>
      <c r="K11" s="10" t="n"/>
      <c r="L11" s="10" t="n"/>
      <c r="M11" s="10" t="n"/>
      <c r="N11" s="10" t="n"/>
      <c r="O11" s="10" t="n"/>
      <c r="P11" s="10" t="n"/>
      <c r="Q11" s="10" t="inlineStr">
        <is>
          <t>E ninguém nos avisou que tinha alguém aqui.</t>
        </is>
      </c>
      <c r="R11" s="13" t="inlineStr">
        <is>
          <t>E ninguém nos avisou que tinha alguém aqui! Bonito, hein.</t>
        </is>
      </c>
      <c r="S11" s="13" t="inlineStr">
        <is>
          <t>E ninguém nos avisou… que tinha alguém aqui.</t>
        </is>
      </c>
      <c r="T11" s="13" t="inlineStr">
        <is>
          <t>E ninguém nos avisou que tinha alguém aqui… ou fui eu que não ouvi?</t>
        </is>
      </c>
      <c r="U11" s="13" t="inlineStr">
        <is>
          <t>E ninguém nos avisou que tinha alguém aqui.</t>
        </is>
      </c>
      <c r="V11" s="13" t="inlineStr">
        <is>
          <t>A estrada, a demora, tudo atrasado… E ninguém nos avisou que tinha alguém aqui.</t>
        </is>
      </c>
      <c r="W11" s="13" t="inlineStr">
        <is>
          <t>Falha de comunicação: ninguém nos avisou que tinha alguém aqui.</t>
        </is>
      </c>
      <c r="X11" s="10">
        <f>SUMPRODUCT(($G11:$P11&lt;&gt;"")*ISERROR(SEARCH($G11:$P11,R11)))+SUMPRODUCT(($G11:$P11&lt;&gt;"")*ISERROR(SEARCH($G11:$P11,S11)))+SUMPRODUCT(($G11:$P11&lt;&gt;"")*ISERROR(SEARCH($G11:$P11,T11)))+SUMPRODUCT(($G11:$P11&lt;&gt;"")*ISERROR(SEARCH($G11:$P11,U11)))+SUMPRODUCT(($G11:$P11&lt;&gt;"")*ISERROR(SEARCH($G11:$P11,V11)))+SUMPRODUCT(($G11:$P11&lt;&gt;"")*ISERROR(SEARCH($G11:$P11,W11)))</f>
        <v/>
      </c>
      <c r="Y11" s="10" t="n"/>
    </row>
    <row r="12" ht="35.05" customHeight="1" s="8">
      <c r="A12" s="10" t="inlineStr">
        <is>
          <t>c1-11</t>
        </is>
      </c>
      <c r="B12" s="10" t="inlineStr">
        <is>
          <t>o rádio do farol (casa sem funcionários)</t>
        </is>
      </c>
      <c r="C12" s="10" t="inlineStr">
        <is>
          <t>roteiro</t>
        </is>
      </c>
      <c r="D12" s="10" t="inlineStr">
        <is>
          <t>faroleiro</t>
        </is>
      </c>
      <c r="E12" s="10" t="inlineStr">
        <is>
          <t>grupo (rádio, citado na narração)</t>
        </is>
      </c>
      <c r="F12" s="10" t="inlineStr">
        <is>
          <t>sem funcionários (casa de 6)</t>
        </is>
      </c>
      <c r="G12" s="10" t="inlineStr">
        <is>
          <t>farol</t>
        </is>
      </c>
      <c r="H12" s="10" t="inlineStr">
        <is>
          <t>luz</t>
        </is>
      </c>
      <c r="I12" s="10" t="inlineStr">
        <is>
          <t>ala de serviço</t>
        </is>
      </c>
      <c r="J12" s="10" t="inlineStr">
        <is>
          <t>desde a tarde</t>
        </is>
      </c>
      <c r="K12" s="10" t="inlineStr">
        <is>
          <t>tudo bem</t>
        </is>
      </c>
      <c r="L12" s="10" t="n"/>
      <c r="M12" s="10" t="n"/>
      <c r="N12" s="10" t="n"/>
      <c r="O12" s="10" t="n"/>
      <c r="P12" s="10" t="n"/>
      <c r="Q12" s="10" t="inlineStr">
        <is>
          <t>Casa da Costa, aqui é o farol. Vi luz na ala de serviço desde a tarde. Está tudo bem aí?</t>
        </is>
      </c>
      <c r="R12" s="13" t="inlineStr">
        <is>
          <t>Casa da Costa, aqui é o farol! Vi luz na ala de serviço desde a tarde. Está tudo bem aí ou não?</t>
        </is>
      </c>
      <c r="S12" s="13" t="inlineStr">
        <is>
          <t>Casa da Costa… aqui é o farol. Luz na ala de serviço… desde a tarde. Tudo bem aí?</t>
        </is>
      </c>
      <c r="T12" s="13" t="inlineStr">
        <is>
          <t>Casa da Costa? Aqui é o farol. Vi luz na ala de serviço desde a tarde… está tudo bem aí? Fiquei pensando.</t>
        </is>
      </c>
      <c r="U12" s="13" t="inlineStr">
        <is>
          <t>Casa da Costa, aqui é o farol. Vi luz na ala de serviço desde a tarde. Está tudo bem aí?</t>
        </is>
      </c>
      <c r="V12" s="13" t="inlineStr">
        <is>
          <t>Casa da Costa, aqui é o farol. Um frio aqui em cima que entra nos ossos… Vi luz na ala de serviço desde a tarde. Está tudo bem aí?</t>
        </is>
      </c>
      <c r="W12" s="13" t="inlineStr">
        <is>
          <t>Casa da Costa, aqui é o farol. Ocorrência: luz na ala de serviço desde a tarde. Está tudo bem aí?</t>
        </is>
      </c>
      <c r="X12" s="10">
        <f>SUMPRODUCT(($G12:$P12&lt;&gt;"")*ISERROR(SEARCH($G12:$P12,R12)))+SUMPRODUCT(($G12:$P12&lt;&gt;"")*ISERROR(SEARCH($G12:$P12,S12)))+SUMPRODUCT(($G12:$P12&lt;&gt;"")*ISERROR(SEARCH($G12:$P12,T12)))+SUMPRODUCT(($G12:$P12&lt;&gt;"")*ISERROR(SEARCH($G12:$P12,U12)))+SUMPRODUCT(($G12:$P12&lt;&gt;"")*ISERROR(SEARCH($G12:$P12,V12)))+SUMPRODUCT(($G12:$P12&lt;&gt;"")*ISERROR(SEARCH($G12:$P12,W12)))</f>
        <v/>
      </c>
      <c r="Y12" s="10" t="inlineStr">
        <is>
          <t>Enquadre: 'O velho rádio VHF chia. É o farol: &lt;i&gt;"fala"&lt;/i&gt;'.</t>
        </is>
      </c>
    </row>
    <row r="13" ht="35.05" customHeight="1" s="8">
      <c r="A13" s="10" t="inlineStr">
        <is>
          <t>c1-12</t>
        </is>
      </c>
      <c r="B13" s="10" t="inlineStr">
        <is>
          <t>o grupo reage ao rádio (sem funcionários)</t>
        </is>
      </c>
      <c r="C13" s="10" t="inlineStr">
        <is>
          <t>chat</t>
        </is>
      </c>
      <c r="D13" s="10" t="inlineStr">
        <is>
          <t>residente</t>
        </is>
      </c>
      <c r="E13" s="10" t="inlineStr">
        <is>
          <t>grupo</t>
        </is>
      </c>
      <c r="F13" s="10" t="inlineStr">
        <is>
          <t>sem funcionários (casa de 6)</t>
        </is>
      </c>
      <c r="G13" s="10" t="inlineStr">
        <is>
          <t>à tarde</t>
        </is>
      </c>
      <c r="H13" s="10" t="inlineStr">
        <is>
          <t>ninguém de nós</t>
        </is>
      </c>
      <c r="I13" s="10" t="inlineStr">
        <is>
          <t>ala de serviço</t>
        </is>
      </c>
      <c r="J13" s="10" t="n"/>
      <c r="K13" s="10" t="n"/>
      <c r="L13" s="10" t="n"/>
      <c r="M13" s="10" t="n"/>
      <c r="N13" s="10" t="n"/>
      <c r="O13" s="10" t="n"/>
      <c r="P13" s="10" t="n"/>
      <c r="Q13" s="10" t="inlineStr">
        <is>
          <t>Chegamos à tarde, mas ninguém de nós foi até a ala de serviço.</t>
        </is>
      </c>
      <c r="R13" s="13" t="inlineStr">
        <is>
          <t>Chegamos à tarde, mas ninguém de nós foi até a ala de serviço! Ninguém.</t>
        </is>
      </c>
      <c r="S13" s="13" t="inlineStr">
        <is>
          <t>Chegamos à tarde… Ninguém de nós foi até a ala de serviço.</t>
        </is>
      </c>
      <c r="T13" s="13" t="inlineStr">
        <is>
          <t>Chegamos à tarde, mas ninguém de nós foi até a ala de serviço… não é, gente?</t>
        </is>
      </c>
      <c r="U13" s="13" t="inlineStr">
        <is>
          <t>Chegamos à tarde, mas ninguém de nós foi até a ala de serviço.</t>
        </is>
      </c>
      <c r="V13" s="13" t="inlineStr">
        <is>
          <t>A estrada estava um horror, chegamos à tarde… Mas ninguém de nós foi até a ala de serviço.</t>
        </is>
      </c>
      <c r="W13" s="13" t="inlineStr">
        <is>
          <t>Chegada: à tarde. Ninguém de nós foi até a ala de serviço.</t>
        </is>
      </c>
      <c r="X13" s="10">
        <f>SUMPRODUCT(($G13:$P13&lt;&gt;"")*ISERROR(SEARCH($G13:$P13,R13)))+SUMPRODUCT(($G13:$P13&lt;&gt;"")*ISERROR(SEARCH($G13:$P13,S13)))+SUMPRODUCT(($G13:$P13&lt;&gt;"")*ISERROR(SEARCH($G13:$P13,T13)))+SUMPRODUCT(($G13:$P13&lt;&gt;"")*ISERROR(SEARCH($G13:$P13,U13)))+SUMPRODUCT(($G13:$P13&lt;&gt;"")*ISERROR(SEARCH($G13:$P13,V13)))+SUMPRODUCT(($G13:$P13&lt;&gt;"")*ISERROR(SEARCH($G13:$P13,W13)))</f>
        <v/>
      </c>
      <c r="Y13" s="10" t="n"/>
    </row>
    <row r="14" ht="35.05" customHeight="1" s="8">
      <c r="A14" s="10" t="inlineStr">
        <is>
          <t>c1-13</t>
        </is>
      </c>
      <c r="B14" s="10" t="inlineStr">
        <is>
          <t>o grupo reage ao rádio (sem funcionários)</t>
        </is>
      </c>
      <c r="C14" s="10" t="inlineStr">
        <is>
          <t>chat</t>
        </is>
      </c>
      <c r="D14" s="10" t="inlineStr">
        <is>
          <t>jornalista</t>
        </is>
      </c>
      <c r="E14" s="10" t="inlineStr">
        <is>
          <t>grupo</t>
        </is>
      </c>
      <c r="F14" s="10" t="inlineStr">
        <is>
          <t>sem funcionários (casa de 6)</t>
        </is>
      </c>
      <c r="G14" s="10" t="inlineStr">
        <is>
          <t>ala de serviço</t>
        </is>
      </c>
      <c r="H14" s="10" t="inlineStr">
        <is>
          <t>trancada</t>
        </is>
      </c>
      <c r="I14" s="10" t="n"/>
      <c r="J14" s="10" t="n"/>
      <c r="K14" s="10" t="n"/>
      <c r="L14" s="10" t="n"/>
      <c r="M14" s="10" t="n"/>
      <c r="N14" s="10" t="n"/>
      <c r="O14" s="10" t="n"/>
      <c r="P14" s="10" t="n"/>
      <c r="Q14" s="10" t="inlineStr">
        <is>
          <t>E a ala de serviço estava trancada.</t>
        </is>
      </c>
      <c r="R14" s="13" t="inlineStr">
        <is>
          <t>E a ala de serviço estava trancada! Ninguém pensou nisso?</t>
        </is>
      </c>
      <c r="S14" s="13" t="inlineStr">
        <is>
          <t>E a ala de serviço… trancada.</t>
        </is>
      </c>
      <c r="T14" s="13" t="inlineStr">
        <is>
          <t>E a ala de serviço estava trancada. Isso conta, não conta?</t>
        </is>
      </c>
      <c r="U14" s="13" t="inlineStr">
        <is>
          <t>E a ala de serviço estava trancada.</t>
        </is>
      </c>
      <c r="V14" s="13" t="inlineStr">
        <is>
          <t>Umidade nas paredes, um frio… E a ala de serviço estava trancada.</t>
        </is>
      </c>
      <c r="W14" s="13" t="inlineStr">
        <is>
          <t>Acrescente: a ala de serviço estava trancada.</t>
        </is>
      </c>
      <c r="X14" s="10">
        <f>SUMPRODUCT(($G14:$P14&lt;&gt;"")*ISERROR(SEARCH($G14:$P14,R14)))+SUMPRODUCT(($G14:$P14&lt;&gt;"")*ISERROR(SEARCH($G14:$P14,S14)))+SUMPRODUCT(($G14:$P14&lt;&gt;"")*ISERROR(SEARCH($G14:$P14,T14)))+SUMPRODUCT(($G14:$P14&lt;&gt;"")*ISERROR(SEARCH($G14:$P14,U14)))+SUMPRODUCT(($G14:$P14&lt;&gt;"")*ISERROR(SEARCH($G14:$P14,V14)))+SUMPRODUCT(($G14:$P14&lt;&gt;"")*ISERROR(SEARCH($G14:$P14,W14)))</f>
        <v/>
      </c>
      <c r="Y14" s="10" t="n"/>
    </row>
    <row r="15" ht="46.25" customHeight="1" s="8">
      <c r="A15" s="10" t="inlineStr">
        <is>
          <t>c1-14</t>
        </is>
      </c>
      <c r="B15" s="10" t="inlineStr">
        <is>
          <t>a xícara no aparador (a Governanta vê primeiro)</t>
        </is>
      </c>
      <c r="C15" s="10" t="inlineStr">
        <is>
          <t>roteiro</t>
        </is>
      </c>
      <c r="D15" s="10" t="inlineStr">
        <is>
          <t>governanta</t>
        </is>
      </c>
      <c r="E15" s="10" t="inlineStr">
        <is>
          <t>grupo (citado na narração)</t>
        </is>
      </c>
      <c r="F15" s="10" t="inlineStr">
        <is>
          <t>partida com M.xicara=['governanta'] sem fala própria</t>
        </is>
      </c>
      <c r="G15" s="10" t="inlineStr">
        <is>
          <t>não é daqui</t>
        </is>
      </c>
      <c r="H15" s="10" t="inlineStr">
        <is>
          <t>louça da sala</t>
        </is>
      </c>
      <c r="I15" s="10" t="inlineStr">
        <is>
          <t>borda verde</t>
        </is>
      </c>
      <c r="J15" s="10" t="inlineStr">
        <is>
          <t>quarto dos fundos</t>
        </is>
      </c>
      <c r="K15" s="10" t="n"/>
      <c r="L15" s="10" t="n"/>
      <c r="M15" s="10" t="n"/>
      <c r="N15" s="10" t="n"/>
      <c r="O15" s="10" t="n"/>
      <c r="P15" s="10" t="n"/>
      <c r="Q15" s="10" t="inlineStr">
        <is>
          <t>Essa não é daqui. Não é da louça da sala. É o jogo de borda verde, o que ficava no quarto dos fundos.</t>
        </is>
      </c>
      <c r="R15" s="13" t="inlineStr">
        <is>
          <t>Essa não é daqui! Não é da louça da sala. É o jogo de borda verde, o que ficava no quarto dos fundos.</t>
        </is>
      </c>
      <c r="S15" s="13" t="inlineStr">
        <is>
          <t>Essa não é daqui… Não é da louça da sala. Borda verde… o jogo que ficava no quarto dos fundos.</t>
        </is>
      </c>
      <c r="T15" s="13" t="inlineStr">
        <is>
          <t>Essa não é daqui… Não é da louça da sala. É o jogo de borda verde, o que ficava no quarto dos fundos, não é?</t>
        </is>
      </c>
      <c r="U15" s="13" t="inlineStr">
        <is>
          <t>Essa não é daqui. Não é da louça da sala. É o jogo de borda verde, o que ficava no quarto dos fundos. Disso eu tenho certeza.</t>
        </is>
      </c>
      <c r="V15" s="13" t="inlineStr">
        <is>
          <t>Essa não é daqui. Tanta umidade, estraga tudo… Não é da louça da sala. É o jogo de borda verde, o que ficava no quarto dos fundos.</t>
        </is>
      </c>
      <c r="W15" s="13" t="inlineStr">
        <is>
          <t>Anoto: essa não é daqui. Não é da louça da sala. Jogo de borda verde, o que ficava no quarto dos fundos.</t>
        </is>
      </c>
      <c r="X15" s="10">
        <f>SUMPRODUCT(($G15:$P15&lt;&gt;"")*ISERROR(SEARCH($G15:$P15,R15)))+SUMPRODUCT(($G15:$P15&lt;&gt;"")*ISERROR(SEARCH($G15:$P15,S15)))+SUMPRODUCT(($G15:$P15&lt;&gt;"")*ISERROR(SEARCH($G15:$P15,T15)))+SUMPRODUCT(($G15:$P15&lt;&gt;"")*ISERROR(SEARCH($G15:$P15,U15)))+SUMPRODUCT(($G15:$P15&lt;&gt;"")*ISERROR(SEARCH($G15:$P15,V15)))+SUMPRODUCT(($G15:$P15&lt;&gt;"")*ISERROR(SEARCH($G15:$P15,W15)))</f>
        <v/>
      </c>
      <c r="Y15" s="10" t="inlineStr">
        <is>
          <t>Enquadre: '{Gov} foi quem viu primeiro: &lt;i&gt;"fala"&lt;/i&gt;'. Primeira de três falas seguidas (ver as duas próximas).</t>
        </is>
      </c>
    </row>
    <row r="16" ht="46.25" customHeight="1" s="8">
      <c r="A16" s="10" t="inlineStr">
        <is>
          <t>c1-15</t>
        </is>
      </c>
      <c r="B16" s="10" t="inlineStr">
        <is>
          <t>a xícara no aparador (a Governanta vê primeiro)</t>
        </is>
      </c>
      <c r="C16" s="10" t="inlineStr">
        <is>
          <t>roteiro</t>
        </is>
      </c>
      <c r="D16" s="10" t="inlineStr">
        <is>
          <t>policial</t>
        </is>
      </c>
      <c r="E16" s="10" t="inlineStr">
        <is>
          <t>governanta (citado na narração)</t>
        </is>
      </c>
      <c r="F16" s="10" t="inlineStr">
        <is>
          <t>partida com M.xicara=['governanta'] sem fala própria</t>
        </is>
      </c>
      <c r="G16" s="10" t="inlineStr">
        <is>
          <t>conhece bem a louça</t>
        </is>
      </c>
      <c r="H16" s="10" t="inlineStr">
        <is>
          <t>fechada</t>
        </is>
      </c>
      <c r="I16" s="10" t="inlineStr">
        <is>
          <t>cinco meses</t>
        </is>
      </c>
      <c r="J16" s="10" t="n"/>
      <c r="K16" s="10" t="n"/>
      <c r="L16" s="10" t="n"/>
      <c r="M16" s="10" t="n"/>
      <c r="N16" s="10" t="n"/>
      <c r="O16" s="10" t="n"/>
      <c r="P16" s="10" t="n"/>
      <c r="Q16" s="10" t="inlineStr">
        <is>
          <t>Você conhece bem a louça de uma casa fechada há cinco meses</t>
        </is>
      </c>
      <c r="R16" s="13" t="inlineStr">
        <is>
          <t>Ora! Você conhece bem a louça de uma casa fechada há cinco meses</t>
        </is>
      </c>
      <c r="S16" s="13" t="inlineStr">
        <is>
          <t>Você conhece bem a louça… de uma casa fechada há cinco meses</t>
        </is>
      </c>
      <c r="T16" s="13" t="inlineStr">
        <is>
          <t>Você conhece bem a louça de uma casa fechada há cinco meses… que memória, não é?</t>
        </is>
      </c>
      <c r="U16" s="13" t="inlineStr">
        <is>
          <t>Você conhece bem a louça de uma casa fechada há cinco meses</t>
        </is>
      </c>
      <c r="V16" s="13" t="inlineStr">
        <is>
          <t>A senhora, com essa umidade toda, conhece bem a louça de uma casa fechada há cinco meses</t>
        </is>
      </c>
      <c r="W16" s="13" t="inlineStr">
        <is>
          <t>Anoto que você conhece bem a louça de uma casa fechada há cinco meses</t>
        </is>
      </c>
      <c r="X16" s="10">
        <f>SUMPRODUCT(($G16:$P16&lt;&gt;"")*ISERROR(SEARCH($G16:$P16,R16)))+SUMPRODUCT(($G16:$P16&lt;&gt;"")*ISERROR(SEARCH($G16:$P16,S16)))+SUMPRODUCT(($G16:$P16&lt;&gt;"")*ISERROR(SEARCH($G16:$P16,T16)))+SUMPRODUCT(($G16:$P16&lt;&gt;"")*ISERROR(SEARCH($G16:$P16,U16)))+SUMPRODUCT(($G16:$P16&lt;&gt;"")*ISERROR(SEARCH($G16:$P16,V16)))+SUMPRODUCT(($G16:$P16&lt;&gt;"")*ISERROR(SEARCH($G16:$P16,W16)))</f>
        <v/>
      </c>
      <c r="Y16" s="10" t="inlineStr">
        <is>
          <t>Enquadre: '&lt;i&gt;"fala"&lt;/i&gt;, disse {pol}.' A base não tem pontuação final porque a narração segue com vírgula; manter a versão sem ponto final se possível.</t>
        </is>
      </c>
    </row>
    <row r="17" ht="46.25" customHeight="1" s="8">
      <c r="A17" s="10" t="inlineStr">
        <is>
          <t>c1-16</t>
        </is>
      </c>
      <c r="B17" s="10" t="inlineStr">
        <is>
          <t>a xícara no aparador (a Governanta vê primeiro)</t>
        </is>
      </c>
      <c r="C17" s="10" t="inlineStr">
        <is>
          <t>roteiro</t>
        </is>
      </c>
      <c r="D17" s="10" t="inlineStr">
        <is>
          <t>governanta</t>
        </is>
      </c>
      <c r="E17" s="10" t="inlineStr">
        <is>
          <t>policial (citado na narração)</t>
        </is>
      </c>
      <c r="F17" s="10" t="inlineStr">
        <is>
          <t>partida com M.xicara=['governanta'] sem fala própria</t>
        </is>
      </c>
      <c r="G17" s="10" t="inlineStr">
        <is>
          <t>conheço a louça</t>
        </is>
      </c>
      <c r="H17" s="10" t="inlineStr">
        <is>
          <t>a casa</t>
        </is>
      </c>
      <c r="I17" s="10" t="inlineStr">
        <is>
          <t>já não sei</t>
        </is>
      </c>
      <c r="J17" s="10" t="n"/>
      <c r="K17" s="10" t="n"/>
      <c r="L17" s="10" t="n"/>
      <c r="M17" s="10" t="n"/>
      <c r="N17" s="10" t="n"/>
      <c r="O17" s="10" t="n"/>
      <c r="P17" s="10" t="n"/>
      <c r="Q17" s="10" t="inlineStr">
        <is>
          <t>Conheço a louça. A casa, eu já não sei.</t>
        </is>
      </c>
      <c r="R17" s="13" t="inlineStr">
        <is>
          <t>Conheço a louça! A casa, eu já não sei. Satisfeito?</t>
        </is>
      </c>
      <c r="S17" s="13" t="inlineStr">
        <is>
          <t>Conheço a louça. A casa… já não sei.</t>
        </is>
      </c>
      <c r="T17" s="13" t="inlineStr">
        <is>
          <t>Conheço a louça… A casa, eu já não sei. Desculpe.</t>
        </is>
      </c>
      <c r="U17" s="13" t="inlineStr">
        <is>
          <t>Conheço a louça. A casa, eu já não sei, e me dói dizer.</t>
        </is>
      </c>
      <c r="V17" s="13" t="inlineStr">
        <is>
          <t>Ah, essa umidade… Conheço a louça. A casa, eu já não sei.</t>
        </is>
      </c>
      <c r="W17" s="13" t="inlineStr">
        <is>
          <t>Conheço a louça: confirmado. A casa, eu já não sei: sem registro.</t>
        </is>
      </c>
      <c r="X17" s="10">
        <f>SUMPRODUCT(($G17:$P17&lt;&gt;"")*ISERROR(SEARCH($G17:$P17,R17)))+SUMPRODUCT(($G17:$P17&lt;&gt;"")*ISERROR(SEARCH($G17:$P17,S17)))+SUMPRODUCT(($G17:$P17&lt;&gt;"")*ISERROR(SEARCH($G17:$P17,T17)))+SUMPRODUCT(($G17:$P17&lt;&gt;"")*ISERROR(SEARCH($G17:$P17,U17)))+SUMPRODUCT(($G17:$P17&lt;&gt;"")*ISERROR(SEARCH($G17:$P17,V17)))+SUMPRODUCT(($G17:$P17&lt;&gt;"")*ISERROR(SEARCH($G17:$P17,W17)))</f>
        <v/>
      </c>
      <c r="Y17" s="10" t="n"/>
    </row>
    <row r="18" ht="57.45" customHeight="1" s="8">
      <c r="A18" s="10" t="inlineStr">
        <is>
          <t>c1-17</t>
        </is>
      </c>
      <c r="B18" s="10" t="inlineStr">
        <is>
          <t>a xícara no aparador (outro personagem vê primeiro)</t>
        </is>
      </c>
      <c r="C18" s="10" t="inlineStr">
        <is>
          <t>roteiro</t>
        </is>
      </c>
      <c r="D18" s="10" t="inlineStr">
        <is>
          <t>M.xicara[0] (observadora | governanta | herdeira | chefe_de_cozinha)</t>
        </is>
      </c>
      <c r="E18" s="10" t="inlineStr">
        <is>
          <t>grupo (citado na narração)</t>
        </is>
      </c>
      <c r="F18" s="10" t="inlineStr">
        <is>
          <t>partidas em que não vale o bloco da Governanta sem fala</t>
        </is>
      </c>
      <c r="G18" s="10" t="inlineStr">
        <is>
          <t>louça da sala</t>
        </is>
      </c>
      <c r="H18" s="10" t="inlineStr">
        <is>
          <t>outro jogo</t>
        </is>
      </c>
      <c r="I18" s="10" t="inlineStr">
        <is>
          <t>borda verde</t>
        </is>
      </c>
      <c r="J18" s="10" t="n"/>
      <c r="K18" s="10" t="n"/>
      <c r="L18" s="10" t="n"/>
      <c r="M18" s="10" t="n"/>
      <c r="N18" s="10" t="n"/>
      <c r="O18" s="10" t="n"/>
      <c r="P18" s="10" t="n"/>
      <c r="Q18" s="10" t="inlineStr">
        <is>
          <t>Essa não é da louça da sala. É de outro jogo, de borda verde.</t>
        </is>
      </c>
      <c r="R18" s="13" t="inlineStr">
        <is>
          <t>Essa não é da louça da sala! É de outro jogo, de borda verde, ninguém viu?</t>
        </is>
      </c>
      <c r="S18" s="13" t="inlineStr">
        <is>
          <t>Essa não é da louça da sala… Outro jogo. Borda verde.</t>
        </is>
      </c>
      <c r="T18" s="13" t="inlineStr">
        <is>
          <t>Essa não é da louça da sala… É de outro jogo, de borda verde. Alguém mais reparou?</t>
        </is>
      </c>
      <c r="U18" s="13" t="inlineStr">
        <is>
          <t>Essa não é da louça da sala. É de outro jogo, de borda verde.</t>
        </is>
      </c>
      <c r="V18" s="13" t="inlineStr">
        <is>
          <t>Cansaço nenhum me engana: essa não é da louça da sala. É de outro jogo, de borda verde.</t>
        </is>
      </c>
      <c r="W18" s="13" t="inlineStr">
        <is>
          <t>Registre: não pertence à louça da sala. Outro jogo, borda verde.</t>
        </is>
      </c>
      <c r="X18" s="10">
        <f>SUMPRODUCT(($G18:$P18&lt;&gt;"")*ISERROR(SEARCH($G18:$P18,R18)))+SUMPRODUCT(($G18:$P18&lt;&gt;"")*ISERROR(SEARCH($G18:$P18,S18)))+SUMPRODUCT(($G18:$P18&lt;&gt;"")*ISERROR(SEARCH($G18:$P18,T18)))+SUMPRODUCT(($G18:$P18&lt;&gt;"")*ISERROR(SEARCH($G18:$P18,U18)))+SUMPRODUCT(($G18:$P18&lt;&gt;"")*ISERROR(SEARCH($G18:$P18,V18)))+SUMPRODUCT(($G18:$P18&lt;&gt;"")*ISERROR(SEARCH($G18:$P18,W18)))</f>
        <v/>
      </c>
      <c r="Y18" s="10" t="inlineStr">
        <is>
          <t>Enquadre: '{Xq} foi quem viu primeiro: &lt;i&gt;"fala"&lt;/i&gt;'. Falante varia (inclui o Chefe na P15): sem adjetivo de gênero. Nas P6/P7 segue a fala extra de MATRIZ_C1 (pendente por partida).</t>
        </is>
      </c>
    </row>
    <row r="19" ht="35.05" customHeight="1" s="8">
      <c r="A19" s="10" t="inlineStr">
        <is>
          <t>c1-18</t>
        </is>
      </c>
      <c r="B19" s="10" t="inlineStr">
        <is>
          <t>depois da xícara (com funcionários)</t>
        </is>
      </c>
      <c r="C19" s="10" t="inlineStr">
        <is>
          <t>chat</t>
        </is>
      </c>
      <c r="D19" s="10" t="inlineStr">
        <is>
          <t>voz(['herdeira','observadora','residente'],xq)</t>
        </is>
      </c>
      <c r="E19" s="10" t="inlineStr">
        <is>
          <t>grupo</t>
        </is>
      </c>
      <c r="F19" s="10" t="inlineStr">
        <is>
          <t>com funcionários</t>
        </is>
      </c>
      <c r="G19" s="10" t="inlineStr">
        <is>
          <t>ninguém do serviço</t>
        </is>
      </c>
      <c r="H19" s="10" t="inlineStr">
        <is>
          <t>xícara</t>
        </is>
      </c>
      <c r="I19" s="10" t="inlineStr">
        <is>
          <t>andou pela casa</t>
        </is>
      </c>
      <c r="J19" s="10" t="inlineStr">
        <is>
          <t>esta noite</t>
        </is>
      </c>
      <c r="K19" s="10" t="n"/>
      <c r="L19" s="10" t="n"/>
      <c r="M19" s="10" t="n"/>
      <c r="N19" s="10" t="n"/>
      <c r="O19" s="10" t="n"/>
      <c r="P19" s="10" t="n"/>
      <c r="Q19" s="10" t="inlineStr">
        <is>
          <t>Se ninguém do serviço deixou essa xícara ali, alguém andou pela casa esta noite.</t>
        </is>
      </c>
      <c r="R19" s="13" t="inlineStr">
        <is>
          <t>Se ninguém do serviço deixou essa xícara ali, alguém andou pela casa esta noite! Simples assim.</t>
        </is>
      </c>
      <c r="S19" s="13" t="inlineStr">
        <is>
          <t>Se ninguém do serviço deixou essa xícara… alguém andou pela casa. Esta noite.</t>
        </is>
      </c>
      <c r="T19" s="13" t="inlineStr">
        <is>
          <t>Se ninguém do serviço deixou essa xícara ali, então alguém andou pela casa esta noite? Que medo.</t>
        </is>
      </c>
      <c r="U19" s="13" t="inlineStr">
        <is>
          <t>Se ninguém do serviço deixou essa xícara ali, alguém andou pela casa esta noite. Na casa dele.</t>
        </is>
      </c>
      <c r="V19" s="13" t="inlineStr">
        <is>
          <t>Noite de chuva, ninguém dorme direito… Se ninguém do serviço deixou essa xícara ali, alguém andou pela casa esta noite.</t>
        </is>
      </c>
      <c r="W19" s="13" t="inlineStr">
        <is>
          <t>Hipótese: se ninguém do serviço deixou essa xícara ali, alguém andou pela casa esta noite.</t>
        </is>
      </c>
      <c r="X19" s="10">
        <f>SUMPRODUCT(($G19:$P19&lt;&gt;"")*ISERROR(SEARCH($G19:$P19,R19)))+SUMPRODUCT(($G19:$P19&lt;&gt;"")*ISERROR(SEARCH($G19:$P19,S19)))+SUMPRODUCT(($G19:$P19&lt;&gt;"")*ISERROR(SEARCH($G19:$P19,T19)))+SUMPRODUCT(($G19:$P19&lt;&gt;"")*ISERROR(SEARCH($G19:$P19,U19)))+SUMPRODUCT(($G19:$P19&lt;&gt;"")*ISERROR(SEARCH($G19:$P19,V19)))+SUMPRODUCT(($G19:$P19&lt;&gt;"")*ISERROR(SEARCH($G19:$P19,W19)))</f>
        <v/>
      </c>
      <c r="Y19" s="10" t="n"/>
    </row>
    <row r="20" ht="35.05" customHeight="1" s="8">
      <c r="A20" s="10" t="inlineStr">
        <is>
          <t>c1-19</t>
        </is>
      </c>
      <c r="B20" s="10" t="inlineStr">
        <is>
          <t>depois da xícara (sem funcionários)</t>
        </is>
      </c>
      <c r="C20" s="10" t="inlineStr">
        <is>
          <t>chat</t>
        </is>
      </c>
      <c r="D20" s="10" t="inlineStr">
        <is>
          <t>voz(['herdeira','observadora','residente'],xq)</t>
        </is>
      </c>
      <c r="E20" s="10" t="inlineStr">
        <is>
          <t>grupo</t>
        </is>
      </c>
      <c r="F20" s="10" t="inlineStr">
        <is>
          <t>sem funcionários (casa de 6)</t>
        </is>
      </c>
      <c r="G20" s="10" t="inlineStr">
        <is>
          <t>xícara com café</t>
        </is>
      </c>
      <c r="H20" s="10" t="inlineStr">
        <is>
          <t>casa fechada</t>
        </is>
      </c>
      <c r="I20" s="10" t="inlineStr">
        <is>
          <t>esteve aqui hoje</t>
        </is>
      </c>
      <c r="J20" s="10" t="n"/>
      <c r="K20" s="10" t="n"/>
      <c r="L20" s="10" t="n"/>
      <c r="M20" s="10" t="n"/>
      <c r="N20" s="10" t="n"/>
      <c r="O20" s="10" t="n"/>
      <c r="P20" s="10" t="n"/>
      <c r="Q20" s="10" t="inlineStr">
        <is>
          <t>Xícara com café numa casa fechada. Alguém esteve aqui hoje.</t>
        </is>
      </c>
      <c r="R20" s="13" t="inlineStr">
        <is>
          <t>Xícara com café numa casa fechada! Alguém esteve aqui hoje, é óbvio.</t>
        </is>
      </c>
      <c r="S20" s="13" t="inlineStr">
        <is>
          <t>Xícara com café… numa casa fechada. Alguém esteve aqui hoje.</t>
        </is>
      </c>
      <c r="T20" s="13" t="inlineStr">
        <is>
          <t>Uma xícara com café numa casa fechada… então alguém esteve aqui hoje, não é?</t>
        </is>
      </c>
      <c r="U20" s="13" t="inlineStr">
        <is>
          <t>Xícara com café numa casa fechada. Alguém esteve aqui hoje.</t>
        </is>
      </c>
      <c r="V20" s="13" t="inlineStr">
        <is>
          <t>Xícara com café numa casa fechada. E lá fora essa demora toda… Alguém esteve aqui hoje.</t>
        </is>
      </c>
      <c r="W20" s="13" t="inlineStr">
        <is>
          <t>Xícara com café numa casa fechada. Logo: alguém esteve aqui hoje.</t>
        </is>
      </c>
      <c r="X20" s="10">
        <f>SUMPRODUCT(($G20:$P20&lt;&gt;"")*ISERROR(SEARCH($G20:$P20,R20)))+SUMPRODUCT(($G20:$P20&lt;&gt;"")*ISERROR(SEARCH($G20:$P20,S20)))+SUMPRODUCT(($G20:$P20&lt;&gt;"")*ISERROR(SEARCH($G20:$P20,T20)))+SUMPRODUCT(($G20:$P20&lt;&gt;"")*ISERROR(SEARCH($G20:$P20,U20)))+SUMPRODUCT(($G20:$P20&lt;&gt;"")*ISERROR(SEARCH($G20:$P20,V20)))+SUMPRODUCT(($G20:$P20&lt;&gt;"")*ISERROR(SEARCH($G20:$P20,W20)))</f>
        <v/>
      </c>
      <c r="Y20" s="10" t="n"/>
    </row>
    <row r="21" ht="35.05" customHeight="1" s="8">
      <c r="A21" s="10" t="inlineStr">
        <is>
          <t>c1-20</t>
        </is>
      </c>
      <c r="B21" s="10" t="inlineStr">
        <is>
          <t>o relógio bate sete horas</t>
        </is>
      </c>
      <c r="C21" s="10" t="inlineStr">
        <is>
          <t>roteiro</t>
        </is>
      </c>
      <c r="D21" s="10" t="inlineStr">
        <is>
          <t>policial</t>
        </is>
      </c>
      <c r="E21" s="10" t="inlineStr">
        <is>
          <t>grupo (citado na narração)</t>
        </is>
      </c>
      <c r="F21" s="10" t="inlineStr">
        <is>
          <t>todas as partidas exceto relogioP15</t>
        </is>
      </c>
      <c r="G21" s="10" t="inlineStr">
        <is>
          <t>quatro minutos</t>
        </is>
      </c>
      <c r="H21" s="10" t="inlineStr">
        <is>
          <t>na frente</t>
        </is>
      </c>
      <c r="I21" s="10" t="n"/>
      <c r="J21" s="10" t="n"/>
      <c r="K21" s="10" t="n"/>
      <c r="L21" s="10" t="n"/>
      <c r="M21" s="10" t="n"/>
      <c r="N21" s="10" t="n"/>
      <c r="O21" s="10" t="n"/>
      <c r="P21" s="10" t="n"/>
      <c r="Q21" s="10" t="inlineStr">
        <is>
          <t>Está quatro minutos na frente.</t>
        </is>
      </c>
      <c r="R21" s="13" t="inlineStr">
        <is>
          <t>Está quatro minutos na frente! Quatro.</t>
        </is>
      </c>
      <c r="S21" s="13" t="inlineStr">
        <is>
          <t>Quatro minutos… na frente.</t>
        </is>
      </c>
      <c r="T21" s="13" t="inlineStr">
        <is>
          <t>Está quatro minutos na frente… isso é normal?</t>
        </is>
      </c>
      <c r="U21" s="13" t="inlineStr">
        <is>
          <t>Está quatro minutos na frente.</t>
        </is>
      </c>
      <c r="V21" s="13" t="inlineStr">
        <is>
          <t>Hum. Está quatro minutos na frente.</t>
        </is>
      </c>
      <c r="W21" s="13" t="inlineStr">
        <is>
          <t>Diferença: quatro minutos na frente.</t>
        </is>
      </c>
      <c r="X21" s="10">
        <f>SUMPRODUCT(($G21:$P21&lt;&gt;"")*ISERROR(SEARCH($G21:$P21,R21)))+SUMPRODUCT(($G21:$P21&lt;&gt;"")*ISERROR(SEARCH($G21:$P21,S21)))+SUMPRODUCT(($G21:$P21&lt;&gt;"")*ISERROR(SEARCH($G21:$P21,T21)))+SUMPRODUCT(($G21:$P21&lt;&gt;"")*ISERROR(SEARCH($G21:$P21,U21)))+SUMPRODUCT(($G21:$P21&lt;&gt;"")*ISERROR(SEARCH($G21:$P21,V21)))+SUMPRODUCT(($G21:$P21&lt;&gt;"")*ISERROR(SEARCH($G21:$P21,W21)))</f>
        <v/>
      </c>
      <c r="Y21" s="10" t="inlineStr">
        <is>
          <t>Enquadre: '{Pol} olhou o próprio pulso: &lt;i&gt;"fala"&lt;/i&gt;'.</t>
        </is>
      </c>
    </row>
    <row r="22" ht="46.25" customHeight="1" s="8">
      <c r="A22" s="10" t="inlineStr">
        <is>
          <t>c1-21</t>
        </is>
      </c>
      <c r="B22" s="10" t="inlineStr">
        <is>
          <t>o relógio bate sete horas</t>
        </is>
      </c>
      <c r="C22" s="10" t="inlineStr">
        <is>
          <t>roteiro</t>
        </is>
      </c>
      <c r="D22" s="10" t="inlineStr">
        <is>
          <t>herdeira</t>
        </is>
      </c>
      <c r="E22" s="10" t="inlineStr">
        <is>
          <t>policial (citado na narração)</t>
        </is>
      </c>
      <c r="F22" s="10" t="inlineStr">
        <is>
          <t>todas as partidas exceto relogioP15</t>
        </is>
      </c>
      <c r="G22" s="10" t="inlineStr">
        <is>
          <t>sempre</t>
        </is>
      </c>
      <c r="H22" s="10" t="inlineStr">
        <is>
          <t>esteve</t>
        </is>
      </c>
      <c r="I22" s="10" t="n"/>
      <c r="J22" s="10" t="n"/>
      <c r="K22" s="10" t="n"/>
      <c r="L22" s="10" t="n"/>
      <c r="M22" s="10" t="n"/>
      <c r="N22" s="10" t="n"/>
      <c r="O22" s="10" t="n"/>
      <c r="P22" s="10" t="n"/>
      <c r="Q22" s="10" t="inlineStr">
        <is>
          <t>Sempre esteve</t>
        </is>
      </c>
      <c r="R22" s="13" t="inlineStr">
        <is>
          <t>Sempre esteve!</t>
        </is>
      </c>
      <c r="S22" s="13" t="inlineStr">
        <is>
          <t>Sempre… esteve.</t>
        </is>
      </c>
      <c r="T22" s="13" t="inlineStr">
        <is>
          <t>Sempre esteve…</t>
        </is>
      </c>
      <c r="U22" s="13" t="inlineStr">
        <is>
          <t>Sempre esteve.</t>
        </is>
      </c>
      <c r="V22" s="13" t="inlineStr">
        <is>
          <t>Bem… sempre esteve</t>
        </is>
      </c>
      <c r="W22" s="13" t="inlineStr">
        <is>
          <t>Sempre esteve.</t>
        </is>
      </c>
      <c r="X22" s="10">
        <f>SUMPRODUCT(($G22:$P22&lt;&gt;"")*ISERROR(SEARCH($G22:$P22,R22)))+SUMPRODUCT(($G22:$P22&lt;&gt;"")*ISERROR(SEARCH($G22:$P22,S22)))+SUMPRODUCT(($G22:$P22&lt;&gt;"")*ISERROR(SEARCH($G22:$P22,T22)))+SUMPRODUCT(($G22:$P22&lt;&gt;"")*ISERROR(SEARCH($G22:$P22,U22)))+SUMPRODUCT(($G22:$P22&lt;&gt;"")*ISERROR(SEARCH($G22:$P22,V22)))+SUMPRODUCT(($G22:$P22&lt;&gt;"")*ISERROR(SEARCH($G22:$P22,W22)))</f>
        <v/>
      </c>
      <c r="Y22" s="10" t="inlineStr">
        <is>
          <t>Enquadre: '&lt;i&gt;"fala"&lt;/i&gt;, disse {her}, e se arrependeu de ter dito.' A narração segue com vírgula; o deslize (conhecer o relógio) tem de ficar em todas.</t>
        </is>
      </c>
    </row>
    <row r="23" ht="35.05" customHeight="1" s="8">
      <c r="A23" s="10" t="inlineStr">
        <is>
          <t>c1-22</t>
        </is>
      </c>
      <c r="B23" s="10" t="inlineStr">
        <is>
          <t>o relógio bate sete horas (P15)</t>
        </is>
      </c>
      <c r="C23" s="10" t="inlineStr">
        <is>
          <t>roteiro</t>
        </is>
      </c>
      <c r="D23" s="10" t="inlineStr">
        <is>
          <t>policial</t>
        </is>
      </c>
      <c r="E23" s="10" t="inlineStr">
        <is>
          <t>grupo (citado na narração)</t>
        </is>
      </c>
      <c r="F23" s="10" t="inlineStr">
        <is>
          <t>relogioP15 (partida 15)</t>
        </is>
      </c>
      <c r="G23" s="10" t="inlineStr">
        <is>
          <t>continua</t>
        </is>
      </c>
      <c r="H23" s="10" t="inlineStr">
        <is>
          <t>quatro minutos</t>
        </is>
      </c>
      <c r="I23" s="10" t="inlineStr">
        <is>
          <t>na frente</t>
        </is>
      </c>
      <c r="J23" s="10" t="inlineStr">
        <is>
          <t>ele gostava assim</t>
        </is>
      </c>
      <c r="K23" s="10" t="n"/>
      <c r="L23" s="10" t="n"/>
      <c r="M23" s="10" t="n"/>
      <c r="N23" s="10" t="n"/>
      <c r="O23" s="10" t="n"/>
      <c r="P23" s="10" t="n"/>
      <c r="Q23" s="10" t="inlineStr">
        <is>
          <t>Continua quatro minutos na frente. Ele gostava assim.</t>
        </is>
      </c>
      <c r="R23" s="13" t="inlineStr">
        <is>
          <t>Continua quatro minutos na frente! Ele gostava assim, pronto.</t>
        </is>
      </c>
      <c r="S23" s="13" t="inlineStr">
        <is>
          <t>Continua… quatro minutos na frente. Ele gostava assim.</t>
        </is>
      </c>
      <c r="T23" s="13" t="inlineStr">
        <is>
          <t>Continua quatro minutos na frente… Ele gostava assim, não gostava?</t>
        </is>
      </c>
      <c r="U23" s="13" t="inlineStr">
        <is>
          <t>Continua quatro minutos na frente. Ele gostava assim, e assim deve ficar.</t>
        </is>
      </c>
      <c r="V23" s="13" t="inlineStr">
        <is>
          <t>Continua quatro minutos na frente. A gente perde a noção com esse tempo… Ele gostava assim.</t>
        </is>
      </c>
      <c r="W23" s="13" t="inlineStr">
        <is>
          <t>Continua quatro minutos na frente. Anoto: ele gostava assim.</t>
        </is>
      </c>
      <c r="X23" s="10">
        <f>SUMPRODUCT(($G23:$P23&lt;&gt;"")*ISERROR(SEARCH($G23:$P23,R23)))+SUMPRODUCT(($G23:$P23&lt;&gt;"")*ISERROR(SEARCH($G23:$P23,S23)))+SUMPRODUCT(($G23:$P23&lt;&gt;"")*ISERROR(SEARCH($G23:$P23,T23)))+SUMPRODUCT(($G23:$P23&lt;&gt;"")*ISERROR(SEARCH($G23:$P23,U23)))+SUMPRODUCT(($G23:$P23&lt;&gt;"")*ISERROR(SEARCH($G23:$P23,V23)))+SUMPRODUCT(($G23:$P23&lt;&gt;"")*ISERROR(SEARCH($G23:$P23,W23)))</f>
        <v/>
      </c>
      <c r="Y23" s="10" t="inlineStr">
        <is>
          <t>Enquadre: '{Pol} acertou o pulso: &lt;i&gt;"fala"&lt;/i&gt;'.</t>
        </is>
      </c>
    </row>
    <row r="24" ht="68.65000000000001" customHeight="1" s="8">
      <c r="A24" s="10" t="inlineStr">
        <is>
          <t>c1-23</t>
        </is>
      </c>
      <c r="B24" s="10" t="inlineStr">
        <is>
          <t>o relógio bate sete horas (P15)</t>
        </is>
      </c>
      <c r="C24" s="10" t="inlineStr">
        <is>
          <t>roteiro</t>
        </is>
      </c>
      <c r="D24" s="10" t="inlineStr">
        <is>
          <t>herdeira</t>
        </is>
      </c>
      <c r="E24" s="10" t="inlineStr">
        <is>
          <t>policial (citado na narração)</t>
        </is>
      </c>
      <c r="F24" s="10" t="inlineStr">
        <is>
          <t>relogioP15 (partida 15)</t>
        </is>
      </c>
      <c r="G24" s="10" t="inlineStr">
        <is>
          <t>continua</t>
        </is>
      </c>
      <c r="H24" s="10" t="inlineStr">
        <is>
          <t>você disse</t>
        </is>
      </c>
      <c r="I24" s="10" t="inlineStr">
        <is>
          <t>nunca tinha entrado aqui</t>
        </is>
      </c>
      <c r="J24" s="10" t="n"/>
      <c r="K24" s="10" t="n"/>
      <c r="L24" s="10" t="n"/>
      <c r="M24" s="10" t="n"/>
      <c r="N24" s="10" t="n"/>
      <c r="O24" s="10" t="n"/>
      <c r="P24" s="10" t="n"/>
      <c r="Q24" s="10" t="inlineStr">
        <is>
          <t>Continua? Você disse que nunca tinha entrado aqui.</t>
        </is>
      </c>
      <c r="R24" s="13" t="inlineStr">
        <is>
          <t>Continua? Você disse que nunca tinha entrado aqui, ora!</t>
        </is>
      </c>
      <c r="S24" s="13" t="inlineStr">
        <is>
          <t>Continua? Você disse… que nunca tinha entrado aqui.</t>
        </is>
      </c>
      <c r="T24" s="13" t="inlineStr">
        <is>
          <t>Continua? Mas… você disse que nunca tinha entrado aqui, não disse?</t>
        </is>
      </c>
      <c r="U24" s="13" t="inlineStr">
        <is>
          <t>Continua? Você disse que nunca tinha entrado aqui.</t>
        </is>
      </c>
      <c r="V24" s="13" t="inlineStr">
        <is>
          <t>Continua? Essa chuva confunde a gente… mas você disse que nunca tinha entrado aqui.</t>
        </is>
      </c>
      <c r="W24" s="13" t="inlineStr">
        <is>
          <t>Continua? Consta que você disse que nunca tinha entrado aqui.</t>
        </is>
      </c>
      <c r="X24" s="10">
        <f>SUMPRODUCT(($G24:$P24&lt;&gt;"")*ISERROR(SEARCH($G24:$P24,R24)))+SUMPRODUCT(($G24:$P24&lt;&gt;"")*ISERROR(SEARCH($G24:$P24,S24)))+SUMPRODUCT(($G24:$P24&lt;&gt;"")*ISERROR(SEARCH($G24:$P24,T24)))+SUMPRODUCT(($G24:$P24&lt;&gt;"")*ISERROR(SEARCH($G24:$P24,U24)))+SUMPRODUCT(($G24:$P24&lt;&gt;"")*ISERROR(SEARCH($G24:$P24,V24)))+SUMPRODUCT(($G24:$P24&lt;&gt;"")*ISERROR(SEARCH($G24:$P24,W24)))</f>
        <v/>
      </c>
      <c r="Y24" s="10" t="inlineStr">
        <is>
          <t>No código são duas citações: '&lt;i&gt;"Continua?"&lt;/i&gt;, disse {her}. &lt;i&gt;"O senhor disse..."&lt;/i&gt;'. Juntei numa fala; ao montar, a primeira frase (até o primeiro '?') vai antes de ', disse {her}.' e o resto depois.</t>
        </is>
      </c>
    </row>
    <row r="25" ht="35.05" customHeight="1" s="8">
      <c r="A25" s="10" t="inlineStr">
        <is>
          <t>c1-24</t>
        </is>
      </c>
      <c r="B25" s="10" t="inlineStr">
        <is>
          <t>o relógio bate sete horas (P15)</t>
        </is>
      </c>
      <c r="C25" s="10" t="inlineStr">
        <is>
          <t>roteiro</t>
        </is>
      </c>
      <c r="D25" s="10" t="inlineStr">
        <is>
          <t>policial</t>
        </is>
      </c>
      <c r="E25" s="10" t="inlineStr">
        <is>
          <t>herdeira (citado na narração)</t>
        </is>
      </c>
      <c r="F25" s="10" t="inlineStr">
        <is>
          <t>relogioP15 (partida 15)</t>
        </is>
      </c>
      <c r="G25" s="10" t="inlineStr">
        <is>
          <t>ouvi</t>
        </is>
      </c>
      <c r="H25" s="10" t="inlineStr">
        <is>
          <t>dizer</t>
        </is>
      </c>
      <c r="I25" s="10" t="n"/>
      <c r="J25" s="10" t="n"/>
      <c r="K25" s="10" t="n"/>
      <c r="L25" s="10" t="n"/>
      <c r="M25" s="10" t="n"/>
      <c r="N25" s="10" t="n"/>
      <c r="O25" s="10" t="n"/>
      <c r="P25" s="10" t="n"/>
      <c r="Q25" s="10" t="inlineStr">
        <is>
          <t>Ouvi dizer.</t>
        </is>
      </c>
      <c r="R25" s="13" t="inlineStr">
        <is>
          <t>Ouvi dizer!</t>
        </is>
      </c>
      <c r="S25" s="13" t="inlineStr">
        <is>
          <t>Ouvi… dizer.</t>
        </is>
      </c>
      <c r="T25" s="13" t="inlineStr">
        <is>
          <t>Ouvi dizer…</t>
        </is>
      </c>
      <c r="U25" s="13" t="inlineStr">
        <is>
          <t>Ouvi dizer.</t>
        </is>
      </c>
      <c r="V25" s="13" t="inlineStr">
        <is>
          <t>Ah… ouvi dizer.</t>
        </is>
      </c>
      <c r="W25" s="13" t="inlineStr">
        <is>
          <t>Ouvi dizer.</t>
        </is>
      </c>
      <c r="X25" s="10">
        <f>SUMPRODUCT(($G25:$P25&lt;&gt;"")*ISERROR(SEARCH($G25:$P25,R25)))+SUMPRODUCT(($G25:$P25&lt;&gt;"")*ISERROR(SEARCH($G25:$P25,S25)))+SUMPRODUCT(($G25:$P25&lt;&gt;"")*ISERROR(SEARCH($G25:$P25,T25)))+SUMPRODUCT(($G25:$P25&lt;&gt;"")*ISERROR(SEARCH($G25:$P25,U25)))+SUMPRODUCT(($G25:$P25&lt;&gt;"")*ISERROR(SEARCH($G25:$P25,V25)))+SUMPRODUCT(($G25:$P25&lt;&gt;"")*ISERROR(SEARCH($G25:$P25,W25)))</f>
        <v/>
      </c>
      <c r="Y25" s="10" t="n"/>
    </row>
    <row r="26" ht="35.05" customHeight="1" s="8">
      <c r="A26" s="10" t="inlineStr">
        <is>
          <t>c1-25</t>
        </is>
      </c>
      <c r="B26" s="10" t="inlineStr">
        <is>
          <t>a Observadora se aproxima do relógio</t>
        </is>
      </c>
      <c r="C26" s="10" t="inlineStr">
        <is>
          <t>roteiro</t>
        </is>
      </c>
      <c r="D26" s="10" t="inlineStr">
        <is>
          <t>observadora</t>
        </is>
      </c>
      <c r="E26" s="10" t="inlineStr">
        <is>
          <t>grupo (citado na narração)</t>
        </is>
      </c>
      <c r="F26" s="10" t="n"/>
      <c r="G26" s="10" t="inlineStr">
        <is>
          <t>nunca vi</t>
        </is>
      </c>
      <c r="H26" s="10" t="inlineStr">
        <is>
          <t>de perto</t>
        </is>
      </c>
      <c r="I26" s="10" t="inlineStr">
        <is>
          <t>fotografias do inventário</t>
        </is>
      </c>
      <c r="J26" s="10" t="inlineStr">
        <is>
          <t>mais bonita</t>
        </is>
      </c>
      <c r="K26" s="10" t="n"/>
      <c r="L26" s="10" t="n"/>
      <c r="M26" s="10" t="n"/>
      <c r="N26" s="10" t="n"/>
      <c r="O26" s="10" t="n"/>
      <c r="P26" s="10" t="n"/>
      <c r="Q26" s="10" t="inlineStr">
        <is>
          <t>Nunca vi esta peça de perto. Só pelas fotografias do inventário. É mais bonita do que parece no papel.</t>
        </is>
      </c>
      <c r="R26" s="13" t="inlineStr">
        <is>
          <t>Nunca vi esta peça de perto, só pelas fotografias do inventário! É mais bonita do que parece no papel.</t>
        </is>
      </c>
      <c r="S26" s="13" t="inlineStr">
        <is>
          <t>Nunca vi esta peça de perto… Só pelas fotografias do inventário. Mais bonita… do que no papel.</t>
        </is>
      </c>
      <c r="T26" s="13" t="inlineStr">
        <is>
          <t>Nunca vi esta peça de perto… só pelas fotografias do inventário. É mais bonita do que parece no papel, não acham?</t>
        </is>
      </c>
      <c r="U26" s="13" t="inlineStr">
        <is>
          <t>Nunca vi esta peça de perto. Só pelas fotografias do inventário. É mais bonita do que parece no papel.</t>
        </is>
      </c>
      <c r="V26" s="13" t="inlineStr">
        <is>
          <t>Que cansaço, esta noite… Nunca vi esta peça de perto. Só pelas fotografias do inventário. É mais bonita do que parece no papel.</t>
        </is>
      </c>
      <c r="W26" s="13" t="inlineStr">
        <is>
          <t>Nunca vi esta peça de perto. Só pelas fotografias do inventário. Nota: mais bonita do que parece no papel.</t>
        </is>
      </c>
      <c r="X26" s="10">
        <f>SUMPRODUCT(($G26:$P26&lt;&gt;"")*ISERROR(SEARCH($G26:$P26,R26)))+SUMPRODUCT(($G26:$P26&lt;&gt;"")*ISERROR(SEARCH($G26:$P26,S26)))+SUMPRODUCT(($G26:$P26&lt;&gt;"")*ISERROR(SEARCH($G26:$P26,T26)))+SUMPRODUCT(($G26:$P26&lt;&gt;"")*ISERROR(SEARCH($G26:$P26,U26)))+SUMPRODUCT(($G26:$P26&lt;&gt;"")*ISERROR(SEARCH($G26:$P26,V26)))+SUMPRODUCT(($G26:$P26&lt;&gt;"")*ISERROR(SEARCH($G26:$P26,W26)))</f>
        <v/>
      </c>
      <c r="Y26" s="10" t="inlineStr">
        <is>
          <t>Enquadre: '{Obs} se aproximou do móvel com as mãos para trás, como se tivesse medo de tocar. &lt;i&gt;"fala"&lt;/i&gt;'.</t>
        </is>
      </c>
    </row>
    <row r="27" ht="35.05" customHeight="1" s="8">
      <c r="A27" s="10" t="inlineStr">
        <is>
          <t>c1-26</t>
        </is>
      </c>
      <c r="B27" s="10" t="inlineStr">
        <is>
          <t>depois do relógio</t>
        </is>
      </c>
      <c r="C27" s="10" t="inlineStr">
        <is>
          <t>chat</t>
        </is>
      </c>
      <c r="D27" s="10" t="inlineStr">
        <is>
          <t>voz(['jornalista','residente','herdeira'])</t>
        </is>
      </c>
      <c r="E27" s="10" t="inlineStr">
        <is>
          <t>grupo</t>
        </is>
      </c>
      <c r="F27" s="10" t="n"/>
      <c r="G27" s="10" t="inlineStr">
        <is>
          <t>relógio de corda</t>
        </is>
      </c>
      <c r="H27" s="10" t="inlineStr">
        <is>
          <t>sozinho</t>
        </is>
      </c>
      <c r="I27" s="10" t="inlineStr">
        <is>
          <t>anotem</t>
        </is>
      </c>
      <c r="J27" s="10" t="n"/>
      <c r="K27" s="10" t="n"/>
      <c r="L27" s="10" t="n"/>
      <c r="M27" s="10" t="n"/>
      <c r="N27" s="10" t="n"/>
      <c r="O27" s="10" t="n"/>
      <c r="P27" s="10" t="n"/>
      <c r="Q27" s="10" t="inlineStr">
        <is>
          <t>Relógio de corda andando sozinho. Anotem isso.</t>
        </is>
      </c>
      <c r="R27" s="13" t="inlineStr">
        <is>
          <t>Relógio de corda andando sozinho! Anotem isso.</t>
        </is>
      </c>
      <c r="S27" s="13" t="inlineStr">
        <is>
          <t>Relógio de corda… andando sozinho. Anotem.</t>
        </is>
      </c>
      <c r="T27" s="13" t="inlineStr">
        <is>
          <t>Relógio de corda andando sozinho… Anotem isso, por favor? Que esquisito.</t>
        </is>
      </c>
      <c r="U27" s="13" t="inlineStr">
        <is>
          <t>Relógio de corda andando sozinho. Anotem isso.</t>
        </is>
      </c>
      <c r="V27" s="13" t="inlineStr">
        <is>
          <t>Relógio de corda andando sozinho. Tanta demora pra chegar, e agora isso… Anotem isso.</t>
        </is>
      </c>
      <c r="W27" s="13" t="inlineStr">
        <is>
          <t>Item para a ata: relógio de corda andando sozinho. Anotem.</t>
        </is>
      </c>
      <c r="X27" s="10">
        <f>SUMPRODUCT(($G27:$P27&lt;&gt;"")*ISERROR(SEARCH($G27:$P27,R27)))+SUMPRODUCT(($G27:$P27&lt;&gt;"")*ISERROR(SEARCH($G27:$P27,S27)))+SUMPRODUCT(($G27:$P27&lt;&gt;"")*ISERROR(SEARCH($G27:$P27,T27)))+SUMPRODUCT(($G27:$P27&lt;&gt;"")*ISERROR(SEARCH($G27:$P27,U27)))+SUMPRODUCT(($G27:$P27&lt;&gt;"")*ISERROR(SEARCH($G27:$P27,V27)))+SUMPRODUCT(($G27:$P27&lt;&gt;"")*ISERROR(SEARCH($G27:$P27,W27)))</f>
        <v/>
      </c>
      <c r="Y27" s="10" t="n"/>
    </row>
    <row r="28" ht="57.45" customHeight="1" s="8">
      <c r="A28" s="10" t="inlineStr">
        <is>
          <t>c1-27</t>
        </is>
      </c>
      <c r="B28" s="10" t="inlineStr">
        <is>
          <t>o Porto da adega (deslize de quem voltou)</t>
        </is>
      </c>
      <c r="C28" s="10" t="inlineStr">
        <is>
          <t>roteiro</t>
        </is>
      </c>
      <c r="D28" s="10" t="inlineStr">
        <is>
          <t>chefe_de_cozinha</t>
        </is>
      </c>
      <c r="E28" s="10" t="inlineStr">
        <is>
          <t>grupo (citado na narração)</t>
        </is>
      </c>
      <c r="F28" s="10" t="inlineStr">
        <is>
          <t>M.voltou[1]==='porto' (partidas 8 e 12)</t>
        </is>
      </c>
      <c r="G28" s="10" t="inlineStr">
        <is>
          <t>levaram o porto</t>
        </is>
      </c>
      <c r="H28" s="10" t="inlineStr">
        <is>
          <t>depois do enterro</t>
        </is>
      </c>
      <c r="I28" s="10" t="inlineStr">
        <is>
          <t>três garrafas</t>
        </is>
      </c>
      <c r="J28" s="10" t="inlineStr">
        <is>
          <t>oitenta e dois</t>
        </is>
      </c>
      <c r="K28" s="10" t="n"/>
      <c r="L28" s="10" t="n"/>
      <c r="M28" s="10" t="n"/>
      <c r="N28" s="10" t="n"/>
      <c r="O28" s="10" t="n"/>
      <c r="P28" s="10" t="n"/>
      <c r="Q28" s="10" t="inlineStr">
        <is>
          <t>Levaram o Porto. Depois do enterro ainda tinha três garrafas de oitenta e dois.</t>
        </is>
      </c>
      <c r="R28" s="13" t="inlineStr">
        <is>
          <t>Levaram o Porto! Depois do enterro ainda tinha três garrafas de oitenta e dois.</t>
        </is>
      </c>
      <c r="S28" s="13" t="inlineStr">
        <is>
          <t>Levaram o Porto… Depois do enterro… ainda tinha três garrafas. De oitenta e dois.</t>
        </is>
      </c>
      <c r="T28" s="13" t="inlineStr">
        <is>
          <t>Levaram o Porto… Depois do enterro ainda tinha três garrafas de oitenta e dois, não tinha?</t>
        </is>
      </c>
      <c r="U28" s="13" t="inlineStr">
        <is>
          <t>Levaram o Porto. Depois do enterro ainda tinha três garrafas de oitenta e dois.</t>
        </is>
      </c>
      <c r="V28" s="13" t="inlineStr">
        <is>
          <t>Levaram o Porto. Adega fria, úmida… Depois do enterro ainda tinha três garrafas de oitenta e dois.</t>
        </is>
      </c>
      <c r="W28" s="13" t="inlineStr">
        <is>
          <t>Levaram o Porto. Depois do enterro, constavam ainda três garrafas de oitenta e dois.</t>
        </is>
      </c>
      <c r="X28" s="10">
        <f>SUMPRODUCT(($G28:$P28&lt;&gt;"")*ISERROR(SEARCH($G28:$P28,R28)))+SUMPRODUCT(($G28:$P28&lt;&gt;"")*ISERROR(SEARCH($G28:$P28,S28)))+SUMPRODUCT(($G28:$P28&lt;&gt;"")*ISERROR(SEARCH($G28:$P28,T28)))+SUMPRODUCT(($G28:$P28&lt;&gt;"")*ISERROR(SEARCH($G28:$P28,U28)))+SUMPRODUCT(($G28:$P28&lt;&gt;"")*ISERROR(SEARCH($G28:$P28,V28)))+SUMPRODUCT(($G28:$P28&lt;&gt;"")*ISERROR(SEARCH($G28:$P28,W28)))</f>
        <v/>
      </c>
      <c r="Y28" s="10" t="inlineStr">
        <is>
          <t>Enquadre: '{Che} tinha ido à adega... Voltou com duas garrafas e uma cara estranha: &lt;i&gt;"fala"&lt;/i&gt;'. O deslize (saber o que havia depois do enterro) fica em todas.</t>
        </is>
      </c>
    </row>
    <row r="29" ht="35.05" customHeight="1" s="8">
      <c r="A29" s="10" t="inlineStr">
        <is>
          <t>c1-28</t>
        </is>
      </c>
      <c r="B29" s="10" t="inlineStr">
        <is>
          <t>o Porto da adega (deslize de quem voltou)</t>
        </is>
      </c>
      <c r="C29" s="10" t="inlineStr">
        <is>
          <t>roteiro</t>
        </is>
      </c>
      <c r="D29" s="10" t="inlineStr">
        <is>
          <t>investigador</t>
        </is>
      </c>
      <c r="E29" s="10" t="inlineStr">
        <is>
          <t>chefe_de_cozinha (citado na narração)</t>
        </is>
      </c>
      <c r="F29" s="10" t="inlineStr">
        <is>
          <t>M.voltou[1]==='porto' (partidas 8 e 12)</t>
        </is>
      </c>
      <c r="G29" s="10" t="inlineStr">
        <is>
          <t>depois do enterro</t>
        </is>
      </c>
      <c r="H29" s="10" t="inlineStr">
        <is>
          <t>lacrada</t>
        </is>
      </c>
      <c r="I29" s="10" t="inlineStr">
        <is>
          <t>como o senhor sabe</t>
        </is>
      </c>
      <c r="J29" s="10" t="n"/>
      <c r="K29" s="10" t="n"/>
      <c r="L29" s="10" t="n"/>
      <c r="M29" s="10" t="n"/>
      <c r="N29" s="10" t="n"/>
      <c r="O29" s="10" t="n"/>
      <c r="P29" s="10" t="n"/>
      <c r="Q29" s="10" t="inlineStr">
        <is>
          <t>Depois do enterro a casa já estava lacrada. Como é que você sabe?</t>
        </is>
      </c>
      <c r="R29" s="13" t="inlineStr">
        <is>
          <t>Depois do enterro a casa já estava lacrada! Como é que você sabe, hein?</t>
        </is>
      </c>
      <c r="S29" s="13" t="inlineStr">
        <is>
          <t>Depois do enterro… a casa já estava lacrada. Como é que você sabe?</t>
        </is>
      </c>
      <c r="T29" s="13" t="inlineStr">
        <is>
          <t>Mas depois do enterro a casa já estava lacrada, não estava? Como é que você sabe?</t>
        </is>
      </c>
      <c r="U29" s="13" t="inlineStr">
        <is>
          <t>Depois do enterro a casa já estava lacrada. Como é que você sabe?</t>
        </is>
      </c>
      <c r="V29" s="13" t="inlineStr">
        <is>
          <t>Pois é, a demora toda… Depois do enterro a casa já estava lacrada. Como é que você sabe?</t>
        </is>
      </c>
      <c r="W29" s="13" t="inlineStr">
        <is>
          <t>Data: depois do enterro, a casa já estava lacrada. Como é que você sabe?</t>
        </is>
      </c>
      <c r="X29" s="10">
        <f>SUMPRODUCT(($G29:$P29&lt;&gt;"")*ISERROR(SEARCH($G29:$P29,R29)))+SUMPRODUCT(($G29:$P29&lt;&gt;"")*ISERROR(SEARCH($G29:$P29,S29)))+SUMPRODUCT(($G29:$P29&lt;&gt;"")*ISERROR(SEARCH($G29:$P29,T29)))+SUMPRODUCT(($G29:$P29&lt;&gt;"")*ISERROR(SEARCH($G29:$P29,U29)))+SUMPRODUCT(($G29:$P29&lt;&gt;"")*ISERROR(SEARCH($G29:$P29,V29)))+SUMPRODUCT(($G29:$P29&lt;&gt;"")*ISERROR(SEARCH($G29:$P29,W29)))</f>
        <v/>
      </c>
      <c r="Y29" s="10" t="inlineStr">
        <is>
          <t>Enquadre: '&lt;i&gt;"fala"&lt;/i&gt;, perguntou {inv}.'</t>
        </is>
      </c>
    </row>
    <row r="30" ht="57.45" customHeight="1" s="8">
      <c r="A30" s="10" t="inlineStr">
        <is>
          <t>c1-29</t>
        </is>
      </c>
      <c r="B30" s="10" t="inlineStr">
        <is>
          <t>a maçaneta desce por dentro</t>
        </is>
      </c>
      <c r="C30" s="10" t="inlineStr">
        <is>
          <t>roteiro</t>
        </is>
      </c>
      <c r="D30" s="10" t="inlineStr">
        <is>
          <t>eletricista | residente (o Eletricista se estiver na casa)</t>
        </is>
      </c>
      <c r="E30" s="10" t="inlineStr">
        <is>
          <t>grupo (citado na narração)</t>
        </is>
      </c>
      <c r="F30" s="10" t="n"/>
      <c r="G30" s="10" t="inlineStr">
        <is>
          <t>porta</t>
        </is>
      </c>
      <c r="H30" s="10" t="inlineStr">
        <is>
          <t>não tem mola</t>
        </is>
      </c>
      <c r="I30" s="10" t="n"/>
      <c r="J30" s="10" t="n"/>
      <c r="K30" s="10" t="n"/>
      <c r="L30" s="10" t="n"/>
      <c r="M30" s="10" t="n"/>
      <c r="N30" s="10" t="n"/>
      <c r="O30" s="10" t="n"/>
      <c r="P30" s="10" t="n"/>
      <c r="Q30" s="10" t="inlineStr">
        <is>
          <t>Essa porta não tem mola.</t>
        </is>
      </c>
      <c r="R30" s="13" t="inlineStr">
        <is>
          <t>Essa porta não tem mola. Não tem.</t>
        </is>
      </c>
      <c r="S30" s="13" t="inlineStr">
        <is>
          <t>Essa porta… não tem mola.</t>
        </is>
      </c>
      <c r="T30" s="13" t="inlineStr">
        <is>
          <t>Essa porta não tem mola… sabiam?</t>
        </is>
      </c>
      <c r="U30" s="13" t="inlineStr">
        <is>
          <t>Essa porta não tem mola.</t>
        </is>
      </c>
      <c r="V30" s="13" t="inlineStr">
        <is>
          <t>Cansaço à parte… essa porta não tem mola.</t>
        </is>
      </c>
      <c r="W30" s="13" t="inlineStr">
        <is>
          <t>Anoto: essa porta não tem mola.</t>
        </is>
      </c>
      <c r="X30" s="10">
        <f>SUMPRODUCT(($G30:$P30&lt;&gt;"")*ISERROR(SEARCH($G30:$P30,R30)))+SUMPRODUCT(($G30:$P30&lt;&gt;"")*ISERROR(SEARCH($G30:$P30,S30)))+SUMPRODUCT(($G30:$P30&lt;&gt;"")*ISERROR(SEARCH($G30:$P30,T30)))+SUMPRODUCT(($G30:$P30&lt;&gt;"")*ISERROR(SEARCH($G30:$P30,U30)))+SUMPRODUCT(($G30:$P30&lt;&gt;"")*ISERROR(SEARCH($G30:$P30,V30)))+SUMPRODUCT(($G30:$P30&lt;&gt;"")*ISERROR(SEARCH($G30:$P30,W30)))</f>
        <v/>
      </c>
      <c r="Y30" s="10" t="inlineStr">
        <is>
          <t>Enquadre: '{X} foi o primeiro a falar, e falou baixo: &lt;i&gt;"fala"&lt;/i&gt;'. A narração diz 'falou baixo' para qualquer tipo; o explosivo fica em tensão com isso (ver dúvidas).</t>
        </is>
      </c>
    </row>
    <row r="31" ht="23.85" customHeight="1" s="8">
      <c r="A31" s="10" t="inlineStr">
        <is>
          <t>c1-30</t>
        </is>
      </c>
      <c r="B31" s="10" t="inlineStr">
        <is>
          <t>depois da maçaneta</t>
        </is>
      </c>
      <c r="C31" s="10" t="inlineStr">
        <is>
          <t>chat</t>
        </is>
      </c>
      <c r="D31" s="10" t="inlineStr">
        <is>
          <t>voz(['policial','residente'])</t>
        </is>
      </c>
      <c r="E31" s="10" t="inlineStr">
        <is>
          <t>grupo</t>
        </is>
      </c>
      <c r="F31" s="10" t="n"/>
      <c r="G31" s="10" t="inlineStr">
        <is>
          <t>ninguém</t>
        </is>
      </c>
      <c r="H31" s="10" t="inlineStr">
        <is>
          <t>aquela porta</t>
        </is>
      </c>
      <c r="I31" s="10" t="inlineStr">
        <is>
          <t>sozinho</t>
        </is>
      </c>
      <c r="J31" s="10" t="n"/>
      <c r="K31" s="10" t="n"/>
      <c r="L31" s="10" t="n"/>
      <c r="M31" s="10" t="n"/>
      <c r="N31" s="10" t="n"/>
      <c r="O31" s="10" t="n"/>
      <c r="P31" s="10" t="n"/>
      <c r="Q31" s="10" t="inlineStr">
        <is>
          <t>Ninguém vai até aquela porta sozinho.</t>
        </is>
      </c>
      <c r="R31" s="13" t="inlineStr">
        <is>
          <t>Ninguém vai até aquela porta sozinho! Nem pensar.</t>
        </is>
      </c>
      <c r="S31" s="13" t="inlineStr">
        <is>
          <t>Ninguém vai… até aquela porta. Sozinho, não.</t>
        </is>
      </c>
      <c r="T31" s="13" t="inlineStr">
        <is>
          <t>Ninguém vai até aquela porta sozinho, tá? É mais seguro assim.</t>
        </is>
      </c>
      <c r="U31" s="13" t="inlineStr">
        <is>
          <t>Ninguém vai até aquela porta sozinho.</t>
        </is>
      </c>
      <c r="V31" s="13" t="inlineStr">
        <is>
          <t>Com esse cansaço todo… ninguém vai até aquela porta sozinho.</t>
        </is>
      </c>
      <c r="W31" s="13" t="inlineStr">
        <is>
          <t>Norma a partir de agora: ninguém vai até aquela porta sozinho.</t>
        </is>
      </c>
      <c r="X31" s="10">
        <f>SUMPRODUCT(($G31:$P31&lt;&gt;"")*ISERROR(SEARCH($G31:$P31,R31)))+SUMPRODUCT(($G31:$P31&lt;&gt;"")*ISERROR(SEARCH($G31:$P31,S31)))+SUMPRODUCT(($G31:$P31&lt;&gt;"")*ISERROR(SEARCH($G31:$P31,T31)))+SUMPRODUCT(($G31:$P31&lt;&gt;"")*ISERROR(SEARCH($G31:$P31,U31)))+SUMPRODUCT(($G31:$P31&lt;&gt;"")*ISERROR(SEARCH($G31:$P31,V31)))+SUMPRODUCT(($G31:$P31&lt;&gt;"")*ISERROR(SEARCH($G31:$P31,W31)))</f>
        <v/>
      </c>
      <c r="Y31" s="10" t="n"/>
    </row>
    <row r="32" ht="35.05" customHeight="1" s="8">
      <c r="A32" s="10" t="inlineStr">
        <is>
          <t>c1-31</t>
        </is>
      </c>
      <c r="B32" s="10" t="inlineStr">
        <is>
          <t>depois da maçaneta</t>
        </is>
      </c>
      <c r="C32" s="10" t="inlineStr">
        <is>
          <t>privado</t>
        </is>
      </c>
      <c r="D32" s="10" t="inlineStr">
        <is>
          <t>voz(['herdeira','jornalista','observadora'],M.macaneta)</t>
        </is>
      </c>
      <c r="E32" s="10" t="inlineStr">
        <is>
          <t>jogador no privado</t>
        </is>
      </c>
      <c r="F32" s="10" t="n"/>
      <c r="G32" s="10" t="inlineStr">
        <is>
          <t>você viu</t>
        </is>
      </c>
      <c r="H32" s="10" t="inlineStr">
        <is>
          <t>aquela porta</t>
        </is>
      </c>
      <c r="I32" s="10" t="inlineStr">
        <is>
          <t>antes</t>
        </is>
      </c>
      <c r="J32" s="10" t="n"/>
      <c r="K32" s="10" t="n"/>
      <c r="L32" s="10" t="n"/>
      <c r="M32" s="10" t="n"/>
      <c r="N32" s="10" t="n"/>
      <c r="O32" s="10" t="n"/>
      <c r="P32" s="10" t="n"/>
      <c r="Q32" s="10" t="inlineStr">
        <is>
          <t>Você viu quem foi até aquela porta antes?</t>
        </is>
      </c>
      <c r="R32" s="13" t="inlineStr">
        <is>
          <t>E aí, você viu quem foi até aquela porta antes ou não?</t>
        </is>
      </c>
      <c r="S32" s="13" t="inlineStr">
        <is>
          <t>Você viu… quem foi até aquela porta? Antes.</t>
        </is>
      </c>
      <c r="T32" s="13" t="inlineStr">
        <is>
          <t>Desculpa perguntar… você viu quem foi até aquela porta antes?</t>
        </is>
      </c>
      <c r="U32" s="13" t="inlineStr">
        <is>
          <t>Você viu quem foi até aquela porta antes?</t>
        </is>
      </c>
      <c r="V32" s="13" t="inlineStr">
        <is>
          <t>Que noite, essa chuva não para… Aliás, você viu quem foi até aquela porta antes?</t>
        </is>
      </c>
      <c r="W32" s="13" t="inlineStr">
        <is>
          <t>Ponto a esclarecer: você viu quem foi até aquela porta antes?</t>
        </is>
      </c>
      <c r="X32" s="10">
        <f>SUMPRODUCT(($G32:$P32&lt;&gt;"")*ISERROR(SEARCH($G32:$P32,R32)))+SUMPRODUCT(($G32:$P32&lt;&gt;"")*ISERROR(SEARCH($G32:$P32,S32)))+SUMPRODUCT(($G32:$P32&lt;&gt;"")*ISERROR(SEARCH($G32:$P32,T32)))+SUMPRODUCT(($G32:$P32&lt;&gt;"")*ISERROR(SEARCH($G32:$P32,U32)))+SUMPRODUCT(($G32:$P32&lt;&gt;"")*ISERROR(SEARCH($G32:$P32,V32)))+SUMPRODUCT(($G32:$P32&lt;&gt;"")*ISERROR(SEARCH($G32:$P32,W32)))</f>
        <v/>
      </c>
      <c r="Y32" s="10" t="n"/>
    </row>
    <row r="33" ht="23.85" customHeight="1" s="8">
      <c r="A33" s="10" t="inlineStr">
        <is>
          <t>c1-32</t>
        </is>
      </c>
      <c r="B33" s="10" t="inlineStr">
        <is>
          <t>resposta a 'Quem chegou primeiro?'</t>
        </is>
      </c>
      <c r="C33" s="10" t="inlineStr">
        <is>
          <t>resposta</t>
        </is>
      </c>
      <c r="D33" s="10" t="inlineStr">
        <is>
          <t>voz(['residente','herdeira'])</t>
        </is>
      </c>
      <c r="E33" s="10" t="inlineStr">
        <is>
          <t>grupo</t>
        </is>
      </c>
      <c r="F33" s="10" t="n"/>
      <c r="G33" s="10" t="inlineStr">
        <is>
          <t>ninguém sabe</t>
        </is>
      </c>
      <c r="H33" s="10" t="inlineStr">
        <is>
          <t>cada um</t>
        </is>
      </c>
      <c r="I33" s="10" t="inlineStr">
        <is>
          <t>já tinha gente aqui</t>
        </is>
      </c>
      <c r="J33" s="10" t="n"/>
      <c r="K33" s="10" t="n"/>
      <c r="L33" s="10" t="n"/>
      <c r="M33" s="10" t="n"/>
      <c r="N33" s="10" t="n"/>
      <c r="O33" s="10" t="n"/>
      <c r="P33" s="10" t="n"/>
      <c r="Q33" s="10" t="inlineStr">
        <is>
          <t>Ninguém sabe. Cada um achou que já tinha gente aqui.</t>
        </is>
      </c>
      <c r="R33" s="13" t="inlineStr">
        <is>
          <t>Ninguém sabe! Cada um achou que já tinha gente aqui, que bagunça.</t>
        </is>
      </c>
      <c r="S33" s="13" t="inlineStr">
        <is>
          <t>Ninguém sabe… Cada um achou… que já tinha gente aqui.</t>
        </is>
      </c>
      <c r="T33" s="13" t="inlineStr">
        <is>
          <t>Ninguém sabe… cada um achou que já tinha gente aqui. Eu também, desculpa.</t>
        </is>
      </c>
      <c r="U33" s="13" t="inlineStr">
        <is>
          <t>Ninguém sabe. Cada um achou que já tinha gente aqui.</t>
        </is>
      </c>
      <c r="V33" s="13" t="inlineStr">
        <is>
          <t>Com essa chuva e essa demora… ninguém sabe. Cada um achou que já tinha gente aqui.</t>
        </is>
      </c>
      <c r="W33" s="13" t="inlineStr">
        <is>
          <t>Ninguém sabe. Consta que cada um achou que já tinha gente aqui.</t>
        </is>
      </c>
      <c r="X33" s="10">
        <f>SUMPRODUCT(($G33:$P33&lt;&gt;"")*ISERROR(SEARCH($G33:$P33,R33)))+SUMPRODUCT(($G33:$P33&lt;&gt;"")*ISERROR(SEARCH($G33:$P33,S33)))+SUMPRODUCT(($G33:$P33&lt;&gt;"")*ISERROR(SEARCH($G33:$P33,T33)))+SUMPRODUCT(($G33:$P33&lt;&gt;"")*ISERROR(SEARCH($G33:$P33,U33)))+SUMPRODUCT(($G33:$P33&lt;&gt;"")*ISERROR(SEARCH($G33:$P33,V33)))+SUMPRODUCT(($G33:$P33&lt;&gt;"")*ISERROR(SEARCH($G33:$P33,W33)))</f>
        <v/>
      </c>
      <c r="Y33" s="10" t="n"/>
    </row>
    <row r="34" ht="23.85" customHeight="1" s="8">
      <c r="A34" s="10" t="inlineStr">
        <is>
          <t>c1-33</t>
        </is>
      </c>
      <c r="B34" s="10" t="inlineStr">
        <is>
          <t>resposta a 'De quem é a xícara com café?'</t>
        </is>
      </c>
      <c r="C34" s="10" t="inlineStr">
        <is>
          <t>resposta</t>
        </is>
      </c>
      <c r="D34" s="10" t="inlineStr">
        <is>
          <t>voz(['herdeira','residente','jornalista'],xq)</t>
        </is>
      </c>
      <c r="E34" s="10" t="inlineStr">
        <is>
          <t>grupo</t>
        </is>
      </c>
      <c r="F34" s="10" t="n"/>
      <c r="G34" s="10" t="inlineStr">
        <is>
          <t>ninguém assumiu</t>
        </is>
      </c>
      <c r="H34" s="10" t="inlineStr">
        <is>
          <t>até agora</t>
        </is>
      </c>
      <c r="I34" s="10" t="n"/>
      <c r="J34" s="10" t="n"/>
      <c r="K34" s="10" t="n"/>
      <c r="L34" s="10" t="n"/>
      <c r="M34" s="10" t="n"/>
      <c r="N34" s="10" t="n"/>
      <c r="O34" s="10" t="n"/>
      <c r="P34" s="10" t="n"/>
      <c r="Q34" s="10" t="inlineStr">
        <is>
          <t>Ninguém assumiu até agora.</t>
        </is>
      </c>
      <c r="R34" s="13" t="inlineStr">
        <is>
          <t>Ninguém assumiu até agora! Que coragem a de vocês.</t>
        </is>
      </c>
      <c r="S34" s="13" t="inlineStr">
        <is>
          <t>Ninguém assumiu… até agora.</t>
        </is>
      </c>
      <c r="T34" s="13" t="inlineStr">
        <is>
          <t>Ninguém assumiu até agora… será que vai?</t>
        </is>
      </c>
      <c r="U34" s="13" t="inlineStr">
        <is>
          <t>Ninguém assumiu até agora.</t>
        </is>
      </c>
      <c r="V34" s="13" t="inlineStr">
        <is>
          <t>Bom… ninguém assumiu até agora.</t>
        </is>
      </c>
      <c r="W34" s="13" t="inlineStr">
        <is>
          <t>Ninguém assumiu até agora. Autoria: não registrada.</t>
        </is>
      </c>
      <c r="X34" s="10">
        <f>SUMPRODUCT(($G34:$P34&lt;&gt;"")*ISERROR(SEARCH($G34:$P34,R34)))+SUMPRODUCT(($G34:$P34&lt;&gt;"")*ISERROR(SEARCH($G34:$P34,S34)))+SUMPRODUCT(($G34:$P34&lt;&gt;"")*ISERROR(SEARCH($G34:$P34,T34)))+SUMPRODUCT(($G34:$P34&lt;&gt;"")*ISERROR(SEARCH($G34:$P34,U34)))+SUMPRODUCT(($G34:$P34&lt;&gt;"")*ISERROR(SEARCH($G34:$P34,V34)))+SUMPRODUCT(($G34:$P34&lt;&gt;"")*ISERROR(SEARCH($G34:$P34,W34)))</f>
        <v/>
      </c>
      <c r="Y34" s="10" t="n"/>
    </row>
    <row r="35" ht="23.85" customHeight="1" s="8">
      <c r="A35" s="10" t="inlineStr">
        <is>
          <t>c1-34</t>
        </is>
      </c>
      <c r="B35" s="10" t="inlineStr">
        <is>
          <t>resposta a 'O relógio não devia estar parado?'</t>
        </is>
      </c>
      <c r="C35" s="10" t="inlineStr">
        <is>
          <t>resposta</t>
        </is>
      </c>
      <c r="D35" s="10" t="inlineStr">
        <is>
          <t>voz(['policial','residente'])</t>
        </is>
      </c>
      <c r="E35" s="10" t="inlineStr">
        <is>
          <t>grupo</t>
        </is>
      </c>
      <c r="F35" s="10" t="n"/>
      <c r="G35" s="10" t="inlineStr">
        <is>
          <t>devia</t>
        </is>
      </c>
      <c r="H35" s="10" t="inlineStr">
        <is>
          <t>adiantado</t>
        </is>
      </c>
      <c r="I35" s="10" t="n"/>
      <c r="J35" s="10" t="n"/>
      <c r="K35" s="10" t="n"/>
      <c r="L35" s="10" t="n"/>
      <c r="M35" s="10" t="n"/>
      <c r="N35" s="10" t="n"/>
      <c r="O35" s="10" t="n"/>
      <c r="P35" s="10" t="n"/>
      <c r="Q35" s="10" t="inlineStr">
        <is>
          <t>Devia. E ainda está adiantado.</t>
        </is>
      </c>
      <c r="R35" s="13" t="inlineStr">
        <is>
          <t>Devia! E ainda por cima está adiantado.</t>
        </is>
      </c>
      <c r="S35" s="13" t="inlineStr">
        <is>
          <t>Devia… E ainda adiantado.</t>
        </is>
      </c>
      <c r="T35" s="13" t="inlineStr">
        <is>
          <t>Devia, não devia? E ainda está adiantado…</t>
        </is>
      </c>
      <c r="U35" s="13" t="inlineStr">
        <is>
          <t>Devia. E ainda está adiantado.</t>
        </is>
      </c>
      <c r="V35" s="13" t="inlineStr">
        <is>
          <t>Devia. E, com essa umidade toda, ainda está adiantado.</t>
        </is>
      </c>
      <c r="W35" s="13" t="inlineStr">
        <is>
          <t>Devia. Anoto: ainda está adiantado.</t>
        </is>
      </c>
      <c r="X35" s="10">
        <f>SUMPRODUCT(($G35:$P35&lt;&gt;"")*ISERROR(SEARCH($G35:$P35,R35)))+SUMPRODUCT(($G35:$P35&lt;&gt;"")*ISERROR(SEARCH($G35:$P35,S35)))+SUMPRODUCT(($G35:$P35&lt;&gt;"")*ISERROR(SEARCH($G35:$P35,T35)))+SUMPRODUCT(($G35:$P35&lt;&gt;"")*ISERROR(SEARCH($G35:$P35,U35)))+SUMPRODUCT(($G35:$P35&lt;&gt;"")*ISERROR(SEARCH($G35:$P35,V35)))+SUMPRODUCT(($G35:$P35&lt;&gt;"")*ISERROR(SEARCH($G35:$P35,W35)))</f>
        <v/>
      </c>
      <c r="Y35" s="10" t="n"/>
    </row>
    <row r="36" ht="35.05" customHeight="1" s="8">
      <c r="A36" s="10" t="inlineStr">
        <is>
          <t>c1-35</t>
        </is>
      </c>
      <c r="B36" s="10" t="inlineStr">
        <is>
          <t>resposta a 'Quem estava perto do quarto de serviço?'</t>
        </is>
      </c>
      <c r="C36" s="10" t="inlineStr">
        <is>
          <t>resposta</t>
        </is>
      </c>
      <c r="D36" s="10" t="inlineStr">
        <is>
          <t>voz(['jornalista','herdeira','policial','residente'],M.macaneta)</t>
        </is>
      </c>
      <c r="E36" s="10" t="inlineStr">
        <is>
          <t>grupo</t>
        </is>
      </c>
      <c r="F36" s="10" t="n"/>
      <c r="G36" s="10" t="inlineStr">
        <is>
          <t>sala do relógio</t>
        </is>
      </c>
      <c r="H36" s="10" t="inlineStr">
        <is>
          <t>com todos</t>
        </is>
      </c>
      <c r="I36" s="10" t="inlineStr">
        <is>
          <t>não vi ninguém sair</t>
        </is>
      </c>
      <c r="J36" s="10" t="n"/>
      <c r="K36" s="10" t="n"/>
      <c r="L36" s="10" t="n"/>
      <c r="M36" s="10" t="n"/>
      <c r="N36" s="10" t="n"/>
      <c r="O36" s="10" t="n"/>
      <c r="P36" s="10" t="n"/>
      <c r="Q36" s="10" t="inlineStr">
        <is>
          <t>Eu estava na sala do relógio, com todos. Não vi ninguém sair.</t>
        </is>
      </c>
      <c r="R36" s="13" t="inlineStr">
        <is>
          <t>Eu estava na sala do relógio, com todos! Não vi ninguém sair, de novo isso?</t>
        </is>
      </c>
      <c r="S36" s="13" t="inlineStr">
        <is>
          <t>Eu estava na sala do relógio… com todos. Não vi ninguém sair.</t>
        </is>
      </c>
      <c r="T36" s="13" t="inlineStr">
        <is>
          <t>Eu estava na sala do relógio, com todos… Não vi ninguém sair. Alguém viu?</t>
        </is>
      </c>
      <c r="U36" s="13" t="inlineStr">
        <is>
          <t>Eu estava na sala do relógio, com todos. Não vi ninguém sair.</t>
        </is>
      </c>
      <c r="V36" s="13" t="inlineStr">
        <is>
          <t>Com essa chuva lá fora… Eu estava na sala do relógio, com todos. Não vi ninguém sair.</t>
        </is>
      </c>
      <c r="W36" s="13" t="inlineStr">
        <is>
          <t>Local: sala do relógio, com todos. Não vi ninguém sair.</t>
        </is>
      </c>
      <c r="X36" s="10">
        <f>SUMPRODUCT(($G36:$P36&lt;&gt;"")*ISERROR(SEARCH($G36:$P36,R36)))+SUMPRODUCT(($G36:$P36&lt;&gt;"")*ISERROR(SEARCH($G36:$P36,S36)))+SUMPRODUCT(($G36:$P36&lt;&gt;"")*ISERROR(SEARCH($G36:$P36,T36)))+SUMPRODUCT(($G36:$P36&lt;&gt;"")*ISERROR(SEARCH($G36:$P36,U36)))+SUMPRODUCT(($G36:$P36&lt;&gt;"")*ISERROR(SEARCH($G36:$P36,V36)))+SUMPRODUCT(($G36:$P36&lt;&gt;"")*ISERROR(SEARCH($G36:$P36,W36)))</f>
        <v/>
      </c>
      <c r="Y36" s="10" t="n"/>
    </row>
    <row r="37" ht="23.85" customHeight="1" s="8">
      <c r="A37" s="10" t="inlineStr">
        <is>
          <t>c1-36</t>
        </is>
      </c>
      <c r="B37" s="10" t="inlineStr">
        <is>
          <t>resposta a 'A xícara prova que alguém mora aqui.'</t>
        </is>
      </c>
      <c r="C37" s="10" t="inlineStr">
        <is>
          <t>resposta</t>
        </is>
      </c>
      <c r="D37" s="10" t="inlineStr">
        <is>
          <t>voz(['observadora','herdeira'])</t>
        </is>
      </c>
      <c r="E37" s="10" t="inlineStr">
        <is>
          <t>grupo</t>
        </is>
      </c>
      <c r="F37" s="10" t="n"/>
      <c r="G37" s="10" t="inlineStr">
        <is>
          <t>ou que</t>
        </is>
      </c>
      <c r="H37" s="10" t="inlineStr">
        <is>
          <t>esteve aqui hoje</t>
        </is>
      </c>
      <c r="I37" s="10" t="n"/>
      <c r="J37" s="10" t="n"/>
      <c r="K37" s="10" t="n"/>
      <c r="L37" s="10" t="n"/>
      <c r="M37" s="10" t="n"/>
      <c r="N37" s="10" t="n"/>
      <c r="O37" s="10" t="n"/>
      <c r="P37" s="10" t="n"/>
      <c r="Q37" s="10" t="inlineStr">
        <is>
          <t>Ou que alguém esteve aqui hoje.</t>
        </is>
      </c>
      <c r="R37" s="13" t="inlineStr">
        <is>
          <t>Ou que alguém esteve aqui hoje, ora!</t>
        </is>
      </c>
      <c r="S37" s="13" t="inlineStr">
        <is>
          <t>Ou que… alguém esteve aqui hoje.</t>
        </is>
      </c>
      <c r="T37" s="13" t="inlineStr">
        <is>
          <t>Ou que alguém esteve aqui hoje, não?</t>
        </is>
      </c>
      <c r="U37" s="13" t="inlineStr">
        <is>
          <t>Ou que alguém esteve aqui hoje.</t>
        </is>
      </c>
      <c r="V37" s="13" t="inlineStr">
        <is>
          <t>Ou que alguém esteve aqui hoje.</t>
        </is>
      </c>
      <c r="W37" s="13" t="inlineStr">
        <is>
          <t>Ou que alguém esteve aqui hoje. Segunda hipótese.</t>
        </is>
      </c>
      <c r="X37" s="10">
        <f>SUMPRODUCT(($G37:$P37&lt;&gt;"")*ISERROR(SEARCH($G37:$P37,R37)))+SUMPRODUCT(($G37:$P37&lt;&gt;"")*ISERROR(SEARCH($G37:$P37,S37)))+SUMPRODUCT(($G37:$P37&lt;&gt;"")*ISERROR(SEARCH($G37:$P37,T37)))+SUMPRODUCT(($G37:$P37&lt;&gt;"")*ISERROR(SEARCH($G37:$P37,U37)))+SUMPRODUCT(($G37:$P37&lt;&gt;"")*ISERROR(SEARCH($G37:$P37,V37)))+SUMPRODUCT(($G37:$P37&lt;&gt;"")*ISERROR(SEARCH($G37:$P37,W37)))</f>
        <v/>
      </c>
      <c r="Y37" s="10" t="n"/>
    </row>
    <row r="38" ht="23.85" customHeight="1" s="8">
      <c r="A38" s="10" t="inlineStr">
        <is>
          <t>c1-37</t>
        </is>
      </c>
      <c r="B38" s="10" t="inlineStr">
        <is>
          <t>resposta a 'Alguém dá corda no relógio. Isso prova.'</t>
        </is>
      </c>
      <c r="C38" s="10" t="inlineStr">
        <is>
          <t>resposta</t>
        </is>
      </c>
      <c r="D38" s="10" t="inlineStr">
        <is>
          <t>voz(['residente','policial'])</t>
        </is>
      </c>
      <c r="E38" s="10" t="inlineStr">
        <is>
          <t>grupo</t>
        </is>
      </c>
      <c r="F38" s="10" t="n"/>
      <c r="G38" s="10" t="inlineStr">
        <is>
          <t>relógio de corda</t>
        </is>
      </c>
      <c r="H38" s="10" t="inlineStr">
        <is>
          <t>cinco meses</t>
        </is>
      </c>
      <c r="I38" s="10" t="inlineStr">
        <is>
          <t>sozinho</t>
        </is>
      </c>
      <c r="J38" s="10" t="n"/>
      <c r="K38" s="10" t="n"/>
      <c r="L38" s="10" t="n"/>
      <c r="M38" s="10" t="n"/>
      <c r="N38" s="10" t="n"/>
      <c r="O38" s="10" t="n"/>
      <c r="P38" s="10" t="n"/>
      <c r="Q38" s="10" t="inlineStr">
        <is>
          <t>Relógio de corda não anda cinco meses sozinho.</t>
        </is>
      </c>
      <c r="R38" s="13" t="inlineStr">
        <is>
          <t>Relógio de corda não anda cinco meses sozinho! Por favor.</t>
        </is>
      </c>
      <c r="S38" s="13" t="inlineStr">
        <is>
          <t>Relógio de corda… não anda cinco meses sozinho.</t>
        </is>
      </c>
      <c r="T38" s="13" t="inlineStr">
        <is>
          <t>Relógio de corda não anda cinco meses sozinho… anda?</t>
        </is>
      </c>
      <c r="U38" s="13" t="inlineStr">
        <is>
          <t>Relógio de corda não anda cinco meses sozinho.</t>
        </is>
      </c>
      <c r="V38" s="13" t="inlineStr">
        <is>
          <t>Essa umidade estraga tudo, mas relógio de corda não anda cinco meses sozinho.</t>
        </is>
      </c>
      <c r="W38" s="13" t="inlineStr">
        <is>
          <t>Fato técnico: relógio de corda não anda cinco meses sozinho.</t>
        </is>
      </c>
      <c r="X38" s="10">
        <f>SUMPRODUCT(($G38:$P38&lt;&gt;"")*ISERROR(SEARCH($G38:$P38,R38)))+SUMPRODUCT(($G38:$P38&lt;&gt;"")*ISERROR(SEARCH($G38:$P38,S38)))+SUMPRODUCT(($G38:$P38&lt;&gt;"")*ISERROR(SEARCH($G38:$P38,T38)))+SUMPRODUCT(($G38:$P38&lt;&gt;"")*ISERROR(SEARCH($G38:$P38,U38)))+SUMPRODUCT(($G38:$P38&lt;&gt;"")*ISERROR(SEARCH($G38:$P38,V38)))+SUMPRODUCT(($G38:$P38&lt;&gt;"")*ISERROR(SEARCH($G38:$P38,W38)))</f>
        <v/>
      </c>
      <c r="Y38" s="10" t="n"/>
    </row>
    <row r="39" ht="35.05" customHeight="1" s="8">
      <c r="A39" s="10" t="inlineStr">
        <is>
          <t>c1-38</t>
        </is>
      </c>
      <c r="B39" s="10" t="inlineStr">
        <is>
          <t>resposta a 'Vamos ficar juntos.'</t>
        </is>
      </c>
      <c r="C39" s="10" t="inlineStr">
        <is>
          <t>resposta</t>
        </is>
      </c>
      <c r="D39" s="10" t="inlineStr">
        <is>
          <t>voz(['policial','herdeira'])</t>
        </is>
      </c>
      <c r="E39" s="10" t="inlineStr">
        <is>
          <t>grupo</t>
        </is>
      </c>
      <c r="F39" s="10" t="n"/>
      <c r="G39" s="10" t="inlineStr">
        <is>
          <t>concordo</t>
        </is>
      </c>
      <c r="H39" s="10" t="n"/>
      <c r="I39" s="10" t="n"/>
      <c r="J39" s="10" t="n"/>
      <c r="K39" s="10" t="n"/>
      <c r="L39" s="10" t="n"/>
      <c r="M39" s="10" t="n"/>
      <c r="N39" s="10" t="n"/>
      <c r="O39" s="10" t="n"/>
      <c r="P39" s="10" t="n"/>
      <c r="Q39" s="10" t="inlineStr">
        <is>
          <t>Concordo.</t>
        </is>
      </c>
      <c r="R39" s="13" t="inlineStr">
        <is>
          <t>Concordo!</t>
        </is>
      </c>
      <c r="S39" s="13" t="inlineStr">
        <is>
          <t>…concordo.</t>
        </is>
      </c>
      <c r="T39" s="13" t="inlineStr">
        <is>
          <t>Concordo…</t>
        </is>
      </c>
      <c r="U39" s="13" t="inlineStr">
        <is>
          <t>Concordo.</t>
        </is>
      </c>
      <c r="V39" s="13" t="inlineStr">
        <is>
          <t>Concordo.</t>
        </is>
      </c>
      <c r="W39" s="13" t="inlineStr">
        <is>
          <t>Concordo.</t>
        </is>
      </c>
      <c r="X39" s="10">
        <f>SUMPRODUCT(($G39:$P39&lt;&gt;"")*ISERROR(SEARCH($G39:$P39,R39)))+SUMPRODUCT(($G39:$P39&lt;&gt;"")*ISERROR(SEARCH($G39:$P39,S39)))+SUMPRODUCT(($G39:$P39&lt;&gt;"")*ISERROR(SEARCH($G39:$P39,T39)))+SUMPRODUCT(($G39:$P39&lt;&gt;"")*ISERROR(SEARCH($G39:$P39,U39)))+SUMPRODUCT(($G39:$P39&lt;&gt;"")*ISERROR(SEARCH($G39:$P39,V39)))+SUMPRODUCT(($G39:$P39&lt;&gt;"")*ISERROR(SEARCH($G39:$P39,W39)))</f>
        <v/>
      </c>
      <c r="Y39" s="10" t="inlineStr">
        <is>
          <t>'juntos' vem da pergunta do jogador; repete o que foi proposto, não acrescenta fato.</t>
        </is>
      </c>
    </row>
    <row r="40" ht="46.25" customHeight="1" s="8">
      <c r="A40" s="10" t="inlineStr">
        <is>
          <t>c1-39</t>
        </is>
      </c>
      <c r="B40" s="10" t="inlineStr">
        <is>
          <t>resposta a 'Por que ninguém avisou que havia funcionários?'</t>
        </is>
      </c>
      <c r="C40" s="10" t="inlineStr">
        <is>
          <t>resposta</t>
        </is>
      </c>
      <c r="D40" s="10" t="inlineStr">
        <is>
          <t>voz(FUNCIONARIOS) = governanta</t>
        </is>
      </c>
      <c r="E40" s="10" t="inlineStr">
        <is>
          <t>grupo</t>
        </is>
      </c>
      <c r="F40" s="10" t="inlineStr">
        <is>
          <t>com funcionários; um só funcionário (casa de 8)</t>
        </is>
      </c>
      <c r="G40" s="10" t="inlineStr">
        <is>
          <t>chamada</t>
        </is>
      </c>
      <c r="H40" s="10" t="inlineStr">
        <is>
          <t>preparar a casa</t>
        </is>
      </c>
      <c r="I40" s="10" t="inlineStr">
        <is>
          <t>ninguém disse para quem</t>
        </is>
      </c>
      <c r="J40" s="10" t="n"/>
      <c r="K40" s="10" t="n"/>
      <c r="L40" s="10" t="n"/>
      <c r="M40" s="10" t="n"/>
      <c r="N40" s="10" t="n"/>
      <c r="O40" s="10" t="n"/>
      <c r="P40" s="10" t="n"/>
      <c r="Q40" s="10" t="inlineStr">
        <is>
          <t>Fui chamada para preparar a casa. Ninguém disse para quem.</t>
        </is>
      </c>
      <c r="R40" s="13" t="inlineStr">
        <is>
          <t>Fui chamada para preparar a casa! Ninguém disse para quem, querem o quê?</t>
        </is>
      </c>
      <c r="S40" s="13" t="inlineStr">
        <is>
          <t>Fui chamada… para preparar a casa. Ninguém disse para quem.</t>
        </is>
      </c>
      <c r="T40" s="13" t="inlineStr">
        <is>
          <t>Fui chamada para preparar a casa, só isso… ninguém disse para quem, desculpem.</t>
        </is>
      </c>
      <c r="U40" s="13" t="inlineStr">
        <is>
          <t>Fui chamada para preparar a casa, e a casa merece. Ninguém disse para quem.</t>
        </is>
      </c>
      <c r="V40" s="13" t="inlineStr">
        <is>
          <t>Fui chamada para preparar a casa. A estrada até aqui, um sofrimento… Ninguém disse para quem.</t>
        </is>
      </c>
      <c r="W40" s="13" t="inlineStr">
        <is>
          <t>Consta: fui chamada para preparar a casa. Ninguém disse para quem.</t>
        </is>
      </c>
      <c r="X40" s="10">
        <f>SUMPRODUCT(($G40:$P40&lt;&gt;"")*ISERROR(SEARCH($G40:$P40,R40)))+SUMPRODUCT(($G40:$P40&lt;&gt;"")*ISERROR(SEARCH($G40:$P40,S40)))+SUMPRODUCT(($G40:$P40&lt;&gt;"")*ISERROR(SEARCH($G40:$P40,T40)))+SUMPRODUCT(($G40:$P40&lt;&gt;"")*ISERROR(SEARCH($G40:$P40,U40)))+SUMPRODUCT(($G40:$P40&lt;&gt;"")*ISERROR(SEARCH($G40:$P40,V40)))+SUMPRODUCT(($G40:$P40&lt;&gt;"")*ISERROR(SEARCH($G40:$P40,W40)))</f>
        <v/>
      </c>
      <c r="Y40" s="10" t="n"/>
    </row>
    <row r="41" ht="46.25" customHeight="1" s="8">
      <c r="A41" s="10" t="inlineStr">
        <is>
          <t>c1-40</t>
        </is>
      </c>
      <c r="B41" s="10" t="inlineStr">
        <is>
          <t>resposta a 'Por que ninguém avisou que havia funcionários?'</t>
        </is>
      </c>
      <c r="C41" s="10" t="inlineStr">
        <is>
          <t>resposta</t>
        </is>
      </c>
      <c r="D41" s="10" t="inlineStr">
        <is>
          <t>voz(FUNCIONARIOS)</t>
        </is>
      </c>
      <c r="E41" s="10" t="inlineStr">
        <is>
          <t>grupo</t>
        </is>
      </c>
      <c r="F41" s="10" t="inlineStr">
        <is>
          <t>com funcionários; mais de um funcionário</t>
        </is>
      </c>
      <c r="G41" s="10" t="inlineStr">
        <is>
          <t>chamados</t>
        </is>
      </c>
      <c r="H41" s="10" t="inlineStr">
        <is>
          <t>preparar a casa</t>
        </is>
      </c>
      <c r="I41" s="10" t="inlineStr">
        <is>
          <t>ninguém disse para quem</t>
        </is>
      </c>
      <c r="J41" s="10" t="n"/>
      <c r="K41" s="10" t="n"/>
      <c r="L41" s="10" t="n"/>
      <c r="M41" s="10" t="n"/>
      <c r="N41" s="10" t="n"/>
      <c r="O41" s="10" t="n"/>
      <c r="P41" s="10" t="n"/>
      <c r="Q41" s="10" t="inlineStr">
        <is>
          <t>Fomos chamados para preparar a casa. Ninguém disse para quem.</t>
        </is>
      </c>
      <c r="R41" s="13" t="inlineStr">
        <is>
          <t>Fomos chamados para preparar a casa! Ninguém disse para quem. Mais alguma pergunta?</t>
        </is>
      </c>
      <c r="S41" s="13" t="inlineStr">
        <is>
          <t>Fomos chamados… para preparar a casa. Ninguém disse para quem.</t>
        </is>
      </c>
      <c r="T41" s="13" t="inlineStr">
        <is>
          <t>Fomos chamados para preparar a casa, só isso… ninguém disse para quem. Desculpem.</t>
        </is>
      </c>
      <c r="U41" s="13" t="inlineStr">
        <is>
          <t>Fomos chamados para preparar a casa, e a casa merece cuidado. Ninguém disse para quem.</t>
        </is>
      </c>
      <c r="V41" s="13" t="inlineStr">
        <is>
          <t>Quanta demora pra chegar até aqui… Fomos chamados para preparar a casa. Ninguém disse para quem.</t>
        </is>
      </c>
      <c r="W41" s="13" t="inlineStr">
        <is>
          <t>Motivo da presença: fomos chamados para preparar a casa. Ninguém disse para quem.</t>
        </is>
      </c>
      <c r="X41" s="10">
        <f>SUMPRODUCT(($G41:$P41&lt;&gt;"")*ISERROR(SEARCH($G41:$P41,R41)))+SUMPRODUCT(($G41:$P41&lt;&gt;"")*ISERROR(SEARCH($G41:$P41,S41)))+SUMPRODUCT(($G41:$P41&lt;&gt;"")*ISERROR(SEARCH($G41:$P41,T41)))+SUMPRODUCT(($G41:$P41&lt;&gt;"")*ISERROR(SEARCH($G41:$P41,U41)))+SUMPRODUCT(($G41:$P41&lt;&gt;"")*ISERROR(SEARCH($G41:$P41,V41)))+SUMPRODUCT(($G41:$P41&lt;&gt;"")*ISERROR(SEARCH($G41:$P41,W41)))</f>
        <v/>
      </c>
      <c r="Y41" s="10" t="inlineStr">
        <is>
          <t>'chamados' é plural genérico do código; o falante pode ser homem ou mulher.</t>
        </is>
      </c>
    </row>
    <row r="42" ht="35.05" customHeight="1" s="8">
      <c r="A42" s="10" t="inlineStr">
        <is>
          <t>c1-41</t>
        </is>
      </c>
      <c r="B42" s="10" t="inlineStr">
        <is>
          <t>privado: 'Você viu alguém chegar antes?'</t>
        </is>
      </c>
      <c r="C42" s="10" t="inlineStr">
        <is>
          <t>resposta</t>
        </is>
      </c>
      <c r="D42" s="10" t="inlineStr">
        <is>
          <t>personagem com quem o jogador fala no privado (varia)</t>
        </is>
      </c>
      <c r="E42" s="10" t="inlineStr">
        <is>
          <t>jogador no privado</t>
        </is>
      </c>
      <c r="F42" s="10" t="n"/>
      <c r="G42" s="10" t="inlineStr">
        <is>
          <t>não</t>
        </is>
      </c>
      <c r="H42" s="10" t="inlineStr">
        <is>
          <t>essa chuva</t>
        </is>
      </c>
      <c r="I42" s="10" t="inlineStr">
        <is>
          <t>ninguém viu nada</t>
        </is>
      </c>
      <c r="J42" s="10" t="n"/>
      <c r="K42" s="10" t="n"/>
      <c r="L42" s="10" t="n"/>
      <c r="M42" s="10" t="n"/>
      <c r="N42" s="10" t="n"/>
      <c r="O42" s="10" t="n"/>
      <c r="P42" s="10" t="n"/>
      <c r="Q42" s="10" t="inlineStr">
        <is>
          <t>Não. Com essa chuva, ninguém viu nada.</t>
        </is>
      </c>
      <c r="R42" s="13" t="inlineStr">
        <is>
          <t>Não! Com essa chuva, ninguém viu nada. Pergunta melhor.</t>
        </is>
      </c>
      <c r="S42" s="13" t="inlineStr">
        <is>
          <t>Não… Com essa chuva… ninguém viu nada.</t>
        </is>
      </c>
      <c r="T42" s="13" t="inlineStr">
        <is>
          <t>Não… com essa chuva, ninguém viu nada. Que pena.</t>
        </is>
      </c>
      <c r="U42" s="13" t="inlineStr">
        <is>
          <t>Não. Com essa chuva, ninguém viu nada.</t>
        </is>
      </c>
      <c r="V42" s="13" t="inlineStr">
        <is>
          <t>Ah, a estrada estava um horror… Não. Com essa chuva, ninguém viu nada.</t>
        </is>
      </c>
      <c r="W42" s="13" t="inlineStr">
        <is>
          <t>Não. Motivo: com essa chuva, ninguém viu nada.</t>
        </is>
      </c>
      <c r="X42" s="10">
        <f>SUMPRODUCT(($G42:$P42&lt;&gt;"")*ISERROR(SEARCH($G42:$P42,R42)))+SUMPRODUCT(($G42:$P42&lt;&gt;"")*ISERROR(SEARCH($G42:$P42,S42)))+SUMPRODUCT(($G42:$P42&lt;&gt;"")*ISERROR(SEARCH($G42:$P42,T42)))+SUMPRODUCT(($G42:$P42&lt;&gt;"")*ISERROR(SEARCH($G42:$P42,U42)))+SUMPRODUCT(($G42:$P42&lt;&gt;"")*ISERROR(SEARCH($G42:$P42,V42)))+SUMPRODUCT(($G42:$P42&lt;&gt;"")*ISERROR(SEARCH($G42:$P42,W42)))</f>
        <v/>
      </c>
      <c r="Y42" s="10" t="inlineStr">
        <is>
          <t>Falante varia: sem adjetivo de gênero.</t>
        </is>
      </c>
    </row>
    <row r="43" ht="35.05" customHeight="1" s="8">
      <c r="A43" s="10" t="inlineStr">
        <is>
          <t>c1-42</t>
        </is>
      </c>
      <c r="B43" s="10" t="inlineStr">
        <is>
          <t>privado: 'Você reconheceu aquela xícara?'</t>
        </is>
      </c>
      <c r="C43" s="10" t="inlineStr">
        <is>
          <t>resposta</t>
        </is>
      </c>
      <c r="D43" s="10" t="inlineStr">
        <is>
          <t>personagem com quem o jogador fala no privado (varia)</t>
        </is>
      </c>
      <c r="E43" s="10" t="inlineStr">
        <is>
          <t>jogador no privado</t>
        </is>
      </c>
      <c r="F43" s="10" t="n"/>
      <c r="G43" s="10" t="inlineStr">
        <is>
          <t>não</t>
        </is>
      </c>
      <c r="H43" s="10" t="inlineStr">
        <is>
          <t>louça da sala</t>
        </is>
      </c>
      <c r="I43" s="10" t="n"/>
      <c r="J43" s="10" t="n"/>
      <c r="K43" s="10" t="n"/>
      <c r="L43" s="10" t="n"/>
      <c r="M43" s="10" t="n"/>
      <c r="N43" s="10" t="n"/>
      <c r="O43" s="10" t="n"/>
      <c r="P43" s="10" t="n"/>
      <c r="Q43" s="10" t="inlineStr">
        <is>
          <t>Não. Mas não é da louça da sala.</t>
        </is>
      </c>
      <c r="R43" s="13" t="inlineStr">
        <is>
          <t>Não! Mas não é da louça da sala, isso eu garanto.</t>
        </is>
      </c>
      <c r="S43" s="13" t="inlineStr">
        <is>
          <t>Não… Mas não é da louça da sala.</t>
        </is>
      </c>
      <c r="T43" s="13" t="inlineStr">
        <is>
          <t>Não… mas não é da louça da sala. Disso eu lembro, viu?</t>
        </is>
      </c>
      <c r="U43" s="13" t="inlineStr">
        <is>
          <t>Não. Mas não é da louça da sala, isso posso afirmar.</t>
        </is>
      </c>
      <c r="V43" s="13" t="inlineStr">
        <is>
          <t>Que cansaço… Não. Mas não é da louça da sala.</t>
        </is>
      </c>
      <c r="W43" s="13" t="inlineStr">
        <is>
          <t>Não. Observação: não é da louça da sala.</t>
        </is>
      </c>
      <c r="X43" s="10">
        <f>SUMPRODUCT(($G43:$P43&lt;&gt;"")*ISERROR(SEARCH($G43:$P43,R43)))+SUMPRODUCT(($G43:$P43&lt;&gt;"")*ISERROR(SEARCH($G43:$P43,S43)))+SUMPRODUCT(($G43:$P43&lt;&gt;"")*ISERROR(SEARCH($G43:$P43,T43)))+SUMPRODUCT(($G43:$P43&lt;&gt;"")*ISERROR(SEARCH($G43:$P43,U43)))+SUMPRODUCT(($G43:$P43&lt;&gt;"")*ISERROR(SEARCH($G43:$P43,V43)))+SUMPRODUCT(($G43:$P43&lt;&gt;"")*ISERROR(SEARCH($G43:$P43,W43)))</f>
        <v/>
      </c>
      <c r="Y43" s="10" t="inlineStr">
        <is>
          <t>Falante varia: sem adjetivo de gênero.</t>
        </is>
      </c>
    </row>
    <row r="44" ht="35.05" customHeight="1" s="8">
      <c r="A44" s="10" t="inlineStr">
        <is>
          <t>c1-43</t>
        </is>
      </c>
      <c r="B44" s="10" t="inlineStr">
        <is>
          <t>privado: 'Você ouviu a maçaneta?'</t>
        </is>
      </c>
      <c r="C44" s="10" t="inlineStr">
        <is>
          <t>resposta</t>
        </is>
      </c>
      <c r="D44" s="10" t="inlineStr">
        <is>
          <t>personagem com quem o jogador fala no privado (varia)</t>
        </is>
      </c>
      <c r="E44" s="10" t="inlineStr">
        <is>
          <t>jogador no privado</t>
        </is>
      </c>
      <c r="F44" s="10" t="n"/>
      <c r="G44" s="10" t="inlineStr">
        <is>
          <t>ouvi</t>
        </is>
      </c>
      <c r="H44" s="10" t="inlineStr">
        <is>
          <t>de dentro</t>
        </is>
      </c>
      <c r="I44" s="10" t="n"/>
      <c r="J44" s="10" t="n"/>
      <c r="K44" s="10" t="n"/>
      <c r="L44" s="10" t="n"/>
      <c r="M44" s="10" t="n"/>
      <c r="N44" s="10" t="n"/>
      <c r="O44" s="10" t="n"/>
      <c r="P44" s="10" t="n"/>
      <c r="Q44" s="10" t="inlineStr">
        <is>
          <t>Ouvi. Veio de dentro.</t>
        </is>
      </c>
      <c r="R44" s="13" t="inlineStr">
        <is>
          <t>Ouvi. Veio de dentro!</t>
        </is>
      </c>
      <c r="S44" s="13" t="inlineStr">
        <is>
          <t>Ouvi… Veio de dentro.</t>
        </is>
      </c>
      <c r="T44" s="13" t="inlineStr">
        <is>
          <t>Ouvi. Veio de dentro…</t>
        </is>
      </c>
      <c r="U44" s="13" t="inlineStr">
        <is>
          <t>Ouvi. Veio de dentro.</t>
        </is>
      </c>
      <c r="V44" s="13" t="inlineStr">
        <is>
          <t>Hum… ouvi. Veio de dentro.</t>
        </is>
      </c>
      <c r="W44" s="13" t="inlineStr">
        <is>
          <t>Ouvi. Veio de dentro.</t>
        </is>
      </c>
      <c r="X44" s="10">
        <f>SUMPRODUCT(($G44:$P44&lt;&gt;"")*ISERROR(SEARCH($G44:$P44,R44)))+SUMPRODUCT(($G44:$P44&lt;&gt;"")*ISERROR(SEARCH($G44:$P44,S44)))+SUMPRODUCT(($G44:$P44&lt;&gt;"")*ISERROR(SEARCH($G44:$P44,T44)))+SUMPRODUCT(($G44:$P44&lt;&gt;"")*ISERROR(SEARCH($G44:$P44,U44)))+SUMPRODUCT(($G44:$P44&lt;&gt;"")*ISERROR(SEARCH($G44:$P44,V44)))+SUMPRODUCT(($G44:$P44&lt;&gt;"")*ISERROR(SEARCH($G44:$P44,W44)))</f>
        <v/>
      </c>
      <c r="Y44" s="10" t="inlineStr">
        <is>
          <t>Falante varia.</t>
        </is>
      </c>
    </row>
    <row r="45" ht="35.05" customHeight="1" s="8">
      <c r="A45" s="10" t="inlineStr">
        <is>
          <t>c1-44</t>
        </is>
      </c>
      <c r="B45" s="10" t="inlineStr">
        <is>
          <t>privado: 'Não confio em ninguém aqui.'</t>
        </is>
      </c>
      <c r="C45" s="10" t="inlineStr">
        <is>
          <t>resposta</t>
        </is>
      </c>
      <c r="D45" s="10" t="inlineStr">
        <is>
          <t>personagem com quem o jogador fala no privado (varia)</t>
        </is>
      </c>
      <c r="E45" s="10" t="inlineStr">
        <is>
          <t>jogador no privado</t>
        </is>
      </c>
      <c r="F45" s="10" t="n"/>
      <c r="G45" s="10" t="inlineStr">
        <is>
          <t>nem eu</t>
        </is>
      </c>
      <c r="H45" s="10" t="n"/>
      <c r="I45" s="10" t="n"/>
      <c r="J45" s="10" t="n"/>
      <c r="K45" s="10" t="n"/>
      <c r="L45" s="10" t="n"/>
      <c r="M45" s="10" t="n"/>
      <c r="N45" s="10" t="n"/>
      <c r="O45" s="10" t="n"/>
      <c r="P45" s="10" t="n"/>
      <c r="Q45" s="10" t="inlineStr">
        <is>
          <t>Nem eu.</t>
        </is>
      </c>
      <c r="R45" s="13" t="inlineStr">
        <is>
          <t>Nem eu!</t>
        </is>
      </c>
      <c r="S45" s="13" t="inlineStr">
        <is>
          <t>… Nem eu.</t>
        </is>
      </c>
      <c r="T45" s="13" t="inlineStr">
        <is>
          <t>Nem eu…</t>
        </is>
      </c>
      <c r="U45" s="13" t="inlineStr">
        <is>
          <t>Nem eu.</t>
        </is>
      </c>
      <c r="V45" s="13" t="inlineStr">
        <is>
          <t>Bem… nem eu.</t>
        </is>
      </c>
      <c r="W45" s="13" t="inlineStr">
        <is>
          <t>Nem eu.</t>
        </is>
      </c>
      <c r="X45" s="10">
        <f>SUMPRODUCT(($G45:$P45&lt;&gt;"")*ISERROR(SEARCH($G45:$P45,R45)))+SUMPRODUCT(($G45:$P45&lt;&gt;"")*ISERROR(SEARCH($G45:$P45,S45)))+SUMPRODUCT(($G45:$P45&lt;&gt;"")*ISERROR(SEARCH($G45:$P45,T45)))+SUMPRODUCT(($G45:$P45&lt;&gt;"")*ISERROR(SEARCH($G45:$P45,U45)))+SUMPRODUCT(($G45:$P45&lt;&gt;"")*ISERROR(SEARCH($G45:$P45,V45)))+SUMPRODUCT(($G45:$P45&lt;&gt;"")*ISERROR(SEARCH($G45:$P45,W45)))</f>
        <v/>
      </c>
      <c r="Y45" s="10" t="inlineStr">
        <is>
          <t>'ninguém' vem da frase do jogador; não acrescenta fato.</t>
        </is>
      </c>
    </row>
    <row r="46" ht="35.05" customHeight="1" s="8">
      <c r="A46" s="10" t="inlineStr">
        <is>
          <t>c1-45</t>
        </is>
      </c>
      <c r="B46" s="10" t="inlineStr">
        <is>
          <t>debate: o que prova que alguém mora aqui (xícara, com funcionários)</t>
        </is>
      </c>
      <c r="C46" s="10" t="inlineStr">
        <is>
          <t>resposta</t>
        </is>
      </c>
      <c r="D46" s="10" t="inlineStr">
        <is>
          <t>voz(['residente','herdeira','jornalista'])</t>
        </is>
      </c>
      <c r="E46" s="10" t="inlineStr">
        <is>
          <t>grupo (debate)</t>
        </is>
      </c>
      <c r="F46" s="10" t="inlineStr">
        <is>
          <t>com funcionários</t>
        </is>
      </c>
      <c r="G46" s="10" t="inlineStr">
        <is>
          <t>xícara</t>
        </is>
      </c>
      <c r="H46" s="10" t="inlineStr">
        <is>
          <t>recolhida ontem à noite</t>
        </is>
      </c>
      <c r="I46" s="10" t="inlineStr">
        <is>
          <t>café frio</t>
        </is>
      </c>
      <c r="J46" s="10" t="inlineStr">
        <is>
          <t>não é da sala</t>
        </is>
      </c>
      <c r="K46" s="10" t="n"/>
      <c r="L46" s="10" t="n"/>
      <c r="M46" s="10" t="n"/>
      <c r="N46" s="10" t="n"/>
      <c r="O46" s="10" t="n"/>
      <c r="P46" s="10" t="n"/>
      <c r="Q46" s="10" t="inlineStr">
        <is>
          <t>A xícara. A louça foi recolhida ontem à noite, e hoje tinha café frio numa xícara que não é da sala.</t>
        </is>
      </c>
      <c r="R46" s="13" t="inlineStr">
        <is>
          <t>A xícara! A louça foi recolhida ontem à noite, e hoje tinha café frio numa xícara que não é da sala. Precisa mais?</t>
        </is>
      </c>
      <c r="S46" s="13" t="inlineStr">
        <is>
          <t>A xícara… A louça, recolhida ontem à noite. E hoje… café frio numa xícara que não é da sala.</t>
        </is>
      </c>
      <c r="T46" s="13" t="inlineStr">
        <is>
          <t>A xícara, não é? A louça foi recolhida ontem à noite, e hoje tinha café frio numa xícara que não é da sala…</t>
        </is>
      </c>
      <c r="U46" s="13" t="inlineStr">
        <is>
          <t>A xícara. A louça foi recolhida ontem à noite, e hoje tinha café frio numa xícara que não é da sala.</t>
        </is>
      </c>
      <c r="V46" s="13" t="inlineStr">
        <is>
          <t>A xícara. A louça foi recolhida ontem à noite, com aquela chuva, e hoje tinha café frio numa xícara que não é da sala.</t>
        </is>
      </c>
      <c r="W46" s="13" t="inlineStr">
        <is>
          <t>Item um: a xícara. Louça recolhida ontem à noite. Hoje, café frio numa xícara que não é da sala.</t>
        </is>
      </c>
      <c r="X46" s="10">
        <f>SUMPRODUCT(($G46:$P46&lt;&gt;"")*ISERROR(SEARCH($G46:$P46,R46)))+SUMPRODUCT(($G46:$P46&lt;&gt;"")*ISERROR(SEARCH($G46:$P46,S46)))+SUMPRODUCT(($G46:$P46&lt;&gt;"")*ISERROR(SEARCH($G46:$P46,T46)))+SUMPRODUCT(($G46:$P46&lt;&gt;"")*ISERROR(SEARCH($G46:$P46,U46)))+SUMPRODUCT(($G46:$P46&lt;&gt;"")*ISERROR(SEARCH($G46:$P46,V46)))+SUMPRODUCT(($G46:$P46&lt;&gt;"")*ISERROR(SEARCH($G46:$P46,W46)))</f>
        <v/>
      </c>
      <c r="Y46" s="10" t="n"/>
    </row>
    <row r="47" ht="35.05" customHeight="1" s="8">
      <c r="A47" s="10" t="inlineStr">
        <is>
          <t>c1-46</t>
        </is>
      </c>
      <c r="B47" s="10" t="inlineStr">
        <is>
          <t>debate: o que prova que alguém mora aqui (xícara, sem funcionários)</t>
        </is>
      </c>
      <c r="C47" s="10" t="inlineStr">
        <is>
          <t>resposta</t>
        </is>
      </c>
      <c r="D47" s="10" t="inlineStr">
        <is>
          <t>voz(['residente','herdeira','jornalista'])</t>
        </is>
      </c>
      <c r="E47" s="10" t="inlineStr">
        <is>
          <t>grupo (debate)</t>
        </is>
      </c>
      <c r="F47" s="10" t="inlineStr">
        <is>
          <t>sem funcionários (casa de 6)</t>
        </is>
      </c>
      <c r="G47" s="10" t="inlineStr">
        <is>
          <t>xícara com café</t>
        </is>
      </c>
      <c r="H47" s="10" t="inlineStr">
        <is>
          <t>fechada</t>
        </is>
      </c>
      <c r="I47" s="10" t="inlineStr">
        <is>
          <t>cinco meses</t>
        </is>
      </c>
      <c r="J47" s="10" t="n"/>
      <c r="K47" s="10" t="n"/>
      <c r="L47" s="10" t="n"/>
      <c r="M47" s="10" t="n"/>
      <c r="N47" s="10" t="n"/>
      <c r="O47" s="10" t="n"/>
      <c r="P47" s="10" t="n"/>
      <c r="Q47" s="10" t="inlineStr">
        <is>
          <t>A xícara com café. A casa estava fechada havia cinco meses.</t>
        </is>
      </c>
      <c r="R47" s="13" t="inlineStr">
        <is>
          <t>A xícara com café! A casa estava fechada havia cinco meses. Precisa desenhar?</t>
        </is>
      </c>
      <c r="S47" s="13" t="inlineStr">
        <is>
          <t>A xícara com café… A casa, fechada havia cinco meses.</t>
        </is>
      </c>
      <c r="T47" s="13" t="inlineStr">
        <is>
          <t>A xícara com café, não é? A casa estava fechada havia cinco meses…</t>
        </is>
      </c>
      <c r="U47" s="13" t="inlineStr">
        <is>
          <t>A xícara com café. A casa dele estava fechada havia cinco meses.</t>
        </is>
      </c>
      <c r="V47" s="13" t="inlineStr">
        <is>
          <t>Frio de casa vazia… A xícara com café. A casa estava fechada havia cinco meses.</t>
        </is>
      </c>
      <c r="W47" s="13" t="inlineStr">
        <is>
          <t>Item um: a xícara com café. A casa estava fechada havia cinco meses.</t>
        </is>
      </c>
      <c r="X47" s="10">
        <f>SUMPRODUCT(($G47:$P47&lt;&gt;"")*ISERROR(SEARCH($G47:$P47,R47)))+SUMPRODUCT(($G47:$P47&lt;&gt;"")*ISERROR(SEARCH($G47:$P47,S47)))+SUMPRODUCT(($G47:$P47&lt;&gt;"")*ISERROR(SEARCH($G47:$P47,T47)))+SUMPRODUCT(($G47:$P47&lt;&gt;"")*ISERROR(SEARCH($G47:$P47,U47)))+SUMPRODUCT(($G47:$P47&lt;&gt;"")*ISERROR(SEARCH($G47:$P47,V47)))+SUMPRODUCT(($G47:$P47&lt;&gt;"")*ISERROR(SEARCH($G47:$P47,W47)))</f>
        <v/>
      </c>
      <c r="Y47" s="10" t="n"/>
    </row>
    <row r="48" ht="35.05" customHeight="1" s="8">
      <c r="A48" s="10" t="inlineStr">
        <is>
          <t>c1-47</t>
        </is>
      </c>
      <c r="B48" s="10" t="inlineStr">
        <is>
          <t>debate: o que prova que alguém mora aqui (relógio)</t>
        </is>
      </c>
      <c r="C48" s="10" t="inlineStr">
        <is>
          <t>resposta</t>
        </is>
      </c>
      <c r="D48" s="10" t="inlineStr">
        <is>
          <t>voz(['policial','observadora','tabeliao'])</t>
        </is>
      </c>
      <c r="E48" s="10" t="inlineStr">
        <is>
          <t>grupo (debate)</t>
        </is>
      </c>
      <c r="F48" s="10" t="n"/>
      <c r="G48" s="10" t="inlineStr">
        <is>
          <t>relógio de corda</t>
        </is>
      </c>
      <c r="H48" s="10" t="inlineStr">
        <is>
          <t>cinco meses</t>
        </is>
      </c>
      <c r="I48" s="10" t="inlineStr">
        <is>
          <t>sozinho</t>
        </is>
      </c>
      <c r="J48" s="10" t="inlineStr">
        <is>
          <t>dá corda</t>
        </is>
      </c>
      <c r="K48" s="10" t="n"/>
      <c r="L48" s="10" t="n"/>
      <c r="M48" s="10" t="n"/>
      <c r="N48" s="10" t="n"/>
      <c r="O48" s="10" t="n"/>
      <c r="P48" s="10" t="n"/>
      <c r="Q48" s="10" t="inlineStr">
        <is>
          <t>O relógio. Relógio de corda não anda cinco meses sozinho. Alguém dá corda nele.</t>
        </is>
      </c>
      <c r="R48" s="13" t="inlineStr">
        <is>
          <t>O relógio! Relógio de corda não anda cinco meses sozinho. Alguém dá corda nele, simples.</t>
        </is>
      </c>
      <c r="S48" s="13" t="inlineStr">
        <is>
          <t>O relógio… Relógio de corda não anda cinco meses sozinho. Alguém dá corda nele.</t>
        </is>
      </c>
      <c r="T48" s="13" t="inlineStr">
        <is>
          <t>O relógio! Relógio de corda não anda cinco meses sozinho… então alguém dá corda nele. Que coisa.</t>
        </is>
      </c>
      <c r="U48" s="13" t="inlineStr">
        <is>
          <t>O relógio. Relógio de corda não anda cinco meses sozinho. Alguém dá corda nele.</t>
        </is>
      </c>
      <c r="V48" s="13" t="inlineStr">
        <is>
          <t>O relógio. Essa umidade enferruja tudo, e mesmo assim… relógio de corda não anda cinco meses sozinho. Alguém dá corda nele.</t>
        </is>
      </c>
      <c r="W48" s="13" t="inlineStr">
        <is>
          <t>Item dois: o relógio. Relógio de corda não anda cinco meses sozinho. Conclusão: alguém dá corda nele.</t>
        </is>
      </c>
      <c r="X48" s="10">
        <f>SUMPRODUCT(($G48:$P48&lt;&gt;"")*ISERROR(SEARCH($G48:$P48,R48)))+SUMPRODUCT(($G48:$P48&lt;&gt;"")*ISERROR(SEARCH($G48:$P48,S48)))+SUMPRODUCT(($G48:$P48&lt;&gt;"")*ISERROR(SEARCH($G48:$P48,T48)))+SUMPRODUCT(($G48:$P48&lt;&gt;"")*ISERROR(SEARCH($G48:$P48,U48)))+SUMPRODUCT(($G48:$P48&lt;&gt;"")*ISERROR(SEARCH($G48:$P48,V48)))+SUMPRODUCT(($G48:$P48&lt;&gt;"")*ISERROR(SEARCH($G48:$P48,W48)))</f>
        <v/>
      </c>
      <c r="Y48" s="10" t="n"/>
    </row>
    <row r="49" ht="46.25" customHeight="1" s="8">
      <c r="A49" s="10" t="inlineStr">
        <is>
          <t>c1-48</t>
        </is>
      </c>
      <c r="B49" s="10" t="inlineStr">
        <is>
          <t>debate: o que prova que alguém mora aqui (maçaneta)</t>
        </is>
      </c>
      <c r="C49" s="10" t="inlineStr">
        <is>
          <t>resposta</t>
        </is>
      </c>
      <c r="D49" s="10" t="inlineStr">
        <is>
          <t>voz(['jornalista','advogado','herdeira','residente'], exceto quem falou da xícara)</t>
        </is>
      </c>
      <c r="E49" s="10" t="inlineStr">
        <is>
          <t>grupo (debate)</t>
        </is>
      </c>
      <c r="F49" s="10" t="n"/>
      <c r="G49" s="10" t="inlineStr">
        <is>
          <t>maçaneta</t>
        </is>
      </c>
      <c r="H49" s="10" t="inlineStr">
        <is>
          <t>por dentro</t>
        </is>
      </c>
      <c r="I49" s="10" t="inlineStr">
        <is>
          <t>não tem mola</t>
        </is>
      </c>
      <c r="J49" s="10" t="inlineStr">
        <is>
          <t>naquele quarto</t>
        </is>
      </c>
      <c r="K49" s="10" t="n"/>
      <c r="L49" s="10" t="n"/>
      <c r="M49" s="10" t="n"/>
      <c r="N49" s="10" t="n"/>
      <c r="O49" s="10" t="n"/>
      <c r="P49" s="10" t="n"/>
      <c r="Q49" s="10" t="inlineStr">
        <is>
          <t>A maçaneta. Desceu por dentro, e a porta não tem mola. Tem alguém naquele quarto.</t>
        </is>
      </c>
      <c r="R49" s="13" t="inlineStr">
        <is>
          <t>A maçaneta! Desceu por dentro, e a porta não tem mola. Tem alguém naquele quarto, quantas provas mais?</t>
        </is>
      </c>
      <c r="S49" s="13" t="inlineStr">
        <is>
          <t>A maçaneta… Desceu por dentro. A porta não tem mola. Tem alguém… naquele quarto.</t>
        </is>
      </c>
      <c r="T49" s="13" t="inlineStr">
        <is>
          <t>A maçaneta, não é? Desceu por dentro, e a porta não tem mola… então tem alguém naquele quarto?</t>
        </is>
      </c>
      <c r="U49" s="13" t="inlineStr">
        <is>
          <t>A maçaneta. Desceu por dentro, e a porta não tem mola. Tem alguém naquele quarto.</t>
        </is>
      </c>
      <c r="V49" s="13" t="inlineStr">
        <is>
          <t>Noite comprida, essa… A maçaneta. Desceu por dentro, e a porta não tem mola. Tem alguém naquele quarto.</t>
        </is>
      </c>
      <c r="W49" s="13" t="inlineStr">
        <is>
          <t>Item três: a maçaneta. Desceu por dentro; a porta não tem mola. Conclusão: tem alguém naquele quarto.</t>
        </is>
      </c>
      <c r="X49" s="10">
        <f>SUMPRODUCT(($G49:$P49&lt;&gt;"")*ISERROR(SEARCH($G49:$P49,R49)))+SUMPRODUCT(($G49:$P49&lt;&gt;"")*ISERROR(SEARCH($G49:$P49,S49)))+SUMPRODUCT(($G49:$P49&lt;&gt;"")*ISERROR(SEARCH($G49:$P49,T49)))+SUMPRODUCT(($G49:$P49&lt;&gt;"")*ISERROR(SEARCH($G49:$P49,U49)))+SUMPRODUCT(($G49:$P49&lt;&gt;"")*ISERROR(SEARCH($G49:$P49,V49)))+SUMPRODUCT(($G49:$P49&lt;&gt;"")*ISERROR(SEARCH($G49:$P49,W49)))</f>
        <v/>
      </c>
      <c r="Y49" s="10" t="n"/>
    </row>
    <row r="50">
      <c r="A50" s="7" t="inlineStr">
        <is>
          <t>c1-39m</t>
        </is>
      </c>
      <c r="B50" s="7" t="inlineStr">
        <is>
          <t>resposta a 'Por que ninguém avisou que havia funcionários?'</t>
        </is>
      </c>
      <c r="C50" s="7" t="inlineStr">
        <is>
          <t>resposta</t>
        </is>
      </c>
      <c r="D50" s="7" t="inlineStr">
        <is>
          <t>voz(FUNCIONARIOS) = governanta</t>
        </is>
      </c>
      <c r="E50" s="7" t="inlineStr">
        <is>
          <t>grupo</t>
        </is>
      </c>
      <c r="F50" s="7" t="inlineStr">
        <is>
          <t>com funcionários; um só funcionário (casa de 8)</t>
        </is>
      </c>
      <c r="G50" s="7" t="inlineStr">
        <is>
          <t>chamado</t>
        </is>
      </c>
      <c r="H50" s="7" t="inlineStr">
        <is>
          <t>preparar a casa</t>
        </is>
      </c>
      <c r="I50" s="7" t="inlineStr">
        <is>
          <t>ninguém disse para quem</t>
        </is>
      </c>
      <c r="Q50" s="7" t="inlineStr">
        <is>
          <t>Fui chamado para preparar a casa. Ninguém disse para quem.</t>
        </is>
      </c>
      <c r="R50" s="7" t="inlineStr">
        <is>
          <t>Fui chamado para preparar a casa! Ninguém disse para quem, querem o quê?</t>
        </is>
      </c>
      <c r="S50" s="7" t="inlineStr">
        <is>
          <t>Fui chamado… para preparar a casa. Ninguém disse para quem.</t>
        </is>
      </c>
      <c r="T50" s="7" t="inlineStr">
        <is>
          <t>Fui chamado para preparar a casa, só isso… ninguém disse para quem, desculpem.</t>
        </is>
      </c>
      <c r="U50" s="7" t="inlineStr">
        <is>
          <t>Fui chamado para preparar a casa, e a casa merece. Ninguém disse para quem.</t>
        </is>
      </c>
      <c r="V50" s="7" t="inlineStr">
        <is>
          <t>Fui chamado para preparar a casa. A estrada até aqui, um sofrimento… Ninguém disse para quem.</t>
        </is>
      </c>
      <c r="W50" s="7" t="inlineStr">
        <is>
          <t>Consta: fui chamado para preparar a casa. Ninguém disse para quem.</t>
        </is>
      </c>
      <c r="X50" s="7">
        <f>SUMPRODUCT(($G50:$P50&lt;&gt;"")*ISERROR(SEARCH($G50:$P50,R50)))+SUMPRODUCT(($G50:$P50&lt;&gt;"")*ISERROR(SEARCH($G50:$P50,S50)))+SUMPRODUCT(($G50:$P50&lt;&gt;"")*ISERROR(SEARCH($G50:$P50,T50)))+SUMPRODUCT(($G50:$P50&lt;&gt;"")*ISERROR(SEARCH($G50:$P50,U50)))+SUMPRODUCT(($G50:$P50&lt;&gt;"")*ISERROR(SEARCH($G50:$P50,V50)))+SUMPRODUCT(($G50:$P50&lt;&gt;"")*ISERROR(SEARCH($G50:$P50,W50)))</f>
        <v/>
      </c>
      <c r="Y50" s="7" t="inlineStr">
        <is>
          <t>11/10 (Tarefa 2): a mesma fala na forma masculina (o funcionário único pode ser qualquer um do fundo).</t>
        </is>
      </c>
    </row>
  </sheetData>
  <autoFilter ref="A1:Y49"/>
  <conditionalFormatting sqref="X2:X49">
    <cfRule type="expression" rank="0" priority="2" equalAverage="0" aboveAverage="0" dxfId="4" text="" percent="0" bottom="0">
      <formula>X2&gt;0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43"/>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1"/>
    <col width="24" customWidth="1" style="7" min="2" max="2"/>
    <col width="12" customWidth="1" style="7" min="3" max="3"/>
    <col width="18" customWidth="1" style="7" min="4" max="4"/>
    <col width="12" customWidth="1" style="7" min="5" max="5"/>
    <col width="14" customWidth="1" style="7" min="6" max="6"/>
    <col width="12" customWidth="1" style="7" min="7" max="16"/>
    <col width="40" customWidth="1" style="7" min="17" max="17"/>
    <col width="38" customWidth="1" style="7" min="18" max="23"/>
    <col width="8" customWidth="1" style="7" min="24" max="24"/>
    <col width="34" customWidth="1" style="7" min="25" max="25"/>
  </cols>
  <sheetData>
    <row r="1" ht="15" customHeight="1" s="8">
      <c r="A1" s="12" t="inlineStr">
        <is>
          <t>ID</t>
        </is>
      </c>
      <c r="B1" s="12" t="inlineStr">
        <is>
          <t>Cena</t>
        </is>
      </c>
      <c r="C1" s="12" t="inlineStr">
        <is>
          <t>Momento</t>
        </is>
      </c>
      <c r="D1" s="12" t="inlineStr">
        <is>
          <t>Quem fala</t>
        </is>
      </c>
      <c r="E1" s="12" t="inlineStr">
        <is>
          <t>Com quem</t>
        </is>
      </c>
      <c r="F1" s="12" t="inlineStr">
        <is>
          <t>Condição</t>
        </is>
      </c>
      <c r="G1" s="12" t="inlineStr">
        <is>
          <t>Item 1</t>
        </is>
      </c>
      <c r="H1" s="12" t="inlineStr">
        <is>
          <t>Item 2</t>
        </is>
      </c>
      <c r="I1" s="12" t="inlineStr">
        <is>
          <t>Item 3</t>
        </is>
      </c>
      <c r="J1" s="12" t="inlineStr">
        <is>
          <t>Item 4</t>
        </is>
      </c>
      <c r="K1" s="12" t="inlineStr">
        <is>
          <t>Item 5</t>
        </is>
      </c>
      <c r="L1" s="12" t="inlineStr">
        <is>
          <t>Item 6</t>
        </is>
      </c>
      <c r="M1" s="12" t="inlineStr">
        <is>
          <t>Item 7</t>
        </is>
      </c>
      <c r="N1" s="12" t="inlineStr">
        <is>
          <t>Item 8</t>
        </is>
      </c>
      <c r="O1" s="12" t="inlineStr">
        <is>
          <t>Item 9</t>
        </is>
      </c>
      <c r="P1" s="12" t="inlineStr">
        <is>
          <t>Item 10</t>
        </is>
      </c>
      <c r="Q1" s="12" t="inlineStr">
        <is>
          <t>Fala original</t>
        </is>
      </c>
      <c r="R1" s="12" t="inlineStr">
        <is>
          <t>Explosivo</t>
        </is>
      </c>
      <c r="S1" s="12" t="inlineStr">
        <is>
          <t>Calmo opaco</t>
        </is>
      </c>
      <c r="T1" s="12" t="inlineStr">
        <is>
          <t>Ingênuo</t>
        </is>
      </c>
      <c r="U1" s="12" t="inlineStr">
        <is>
          <t>Leal cego</t>
        </is>
      </c>
      <c r="V1" s="12" t="inlineStr">
        <is>
          <t>Evasivo</t>
        </is>
      </c>
      <c r="W1" s="12" t="inlineStr">
        <is>
          <t>Burocrata</t>
        </is>
      </c>
      <c r="X1" s="12" t="inlineStr">
        <is>
          <t>Faltam</t>
        </is>
      </c>
      <c r="Y1" s="12" t="inlineStr">
        <is>
          <t>Nota</t>
        </is>
      </c>
    </row>
    <row r="2" ht="57.45" customHeight="1" s="8">
      <c r="A2" s="10" t="inlineStr">
        <is>
          <t>c2-01</t>
        </is>
      </c>
      <c r="B2" s="10" t="inlineStr">
        <is>
          <t>o rádio do farol avisa da ponte</t>
        </is>
      </c>
      <c r="C2" s="10" t="inlineStr">
        <is>
          <t>roteiro</t>
        </is>
      </c>
      <c r="D2" s="10" t="inlineStr">
        <is>
          <t>faroleiro</t>
        </is>
      </c>
      <c r="E2" s="10" t="inlineStr">
        <is>
          <t>a casa, pelo rádio</t>
        </is>
      </c>
      <c r="F2" s="10" t="n"/>
      <c r="G2" s="10" t="inlineStr">
        <is>
          <t>farol</t>
        </is>
      </c>
      <c r="H2" s="10" t="inlineStr">
        <is>
          <t>ponte caiu</t>
        </is>
      </c>
      <c r="I2" s="10" t="inlineStr">
        <is>
          <t>cheia</t>
        </is>
      </c>
      <c r="J2" s="10" t="inlineStr">
        <is>
          <t>ninguém sobe nem desce</t>
        </is>
      </c>
      <c r="K2" s="10" t="inlineStr">
        <is>
          <t>de manhã</t>
        </is>
      </c>
      <c r="L2" s="10" t="n"/>
      <c r="M2" s="10" t="n"/>
      <c r="N2" s="10" t="n"/>
      <c r="O2" s="10" t="n"/>
      <c r="P2" s="10" t="n"/>
      <c r="Q2" s="10" t="inlineStr">
        <is>
          <t>Casa da Costa, aqui é o farol. A ponte caiu com a cheia. Ninguém sobe nem desce até de manhã. Repito: ninguém sobe nem desce.</t>
        </is>
      </c>
      <c r="R2" s="13" t="inlineStr">
        <is>
          <t>Casa da Costa, é o farol! A ponte caiu com a cheia. Ninguém sobe nem desce até de manhã. Ninguém sobe nem desce, ouviram?</t>
        </is>
      </c>
      <c r="S2" s="13" t="inlineStr">
        <is>
          <t>Casa da Costa… aqui, o farol. A ponte caiu. A cheia. Ninguém sobe nem desce… até de manhã. Ninguém sobe nem desce.</t>
        </is>
      </c>
      <c r="T2" s="13" t="inlineStr">
        <is>
          <t>Casa da Costa? Aqui é o farol… A ponte caiu com a cheia. Ninguém sobe nem desce até de manhã. Ninguém sobe nem desce, tá?</t>
        </is>
      </c>
      <c r="U2" s="13" t="inlineStr">
        <is>
          <t>Casa da Costa, aqui é o farol. A ponte caiu com a cheia. Ninguém sobe nem desce até de manhã. Repito: ninguém sobe nem desce.</t>
        </is>
      </c>
      <c r="V2" s="13" t="inlineStr">
        <is>
          <t>Casa da Costa, aqui é o farol. Chove sem parar por aqui… A ponte caiu com a cheia. Ninguém sobe nem desce até de manhã. Ninguém sobe nem desce.</t>
        </is>
      </c>
      <c r="W2" s="13" t="inlineStr">
        <is>
          <t>Casa da Costa, farol na escuta. Ocorrência: a ponte caiu com a cheia. Ninguém sobe nem desce até de manhã. Repito: ninguém sobe nem desce.</t>
        </is>
      </c>
      <c r="X2" s="10">
        <f>SUMPRODUCT(($G2:$P2&lt;&gt;"")*ISERROR(SEARCH($G2:$P2,R2)))+SUMPRODUCT(($G2:$P2&lt;&gt;"")*ISERROR(SEARCH($G2:$P2,S2)))+SUMPRODUCT(($G2:$P2&lt;&gt;"")*ISERROR(SEARCH($G2:$P2,T2)))+SUMPRODUCT(($G2:$P2&lt;&gt;"")*ISERROR(SEARCH($G2:$P2,U2)))+SUMPRODUCT(($G2:$P2&lt;&gt;"")*ISERROR(SEARCH($G2:$P2,V2)))+SUMPRODUCT(($G2:$P2&lt;&gt;"")*ISERROR(SEARCH($G2:$P2,W2)))</f>
        <v/>
      </c>
      <c r="Y2" s="10" t="inlineStr">
        <is>
          <t>Primeira fala citada da narração (enquadre: "A voz do Faroleiro veio cortada pela estática, mas firme"). "Casa da Costa" é o nome da casa usado como chamada de rádio, não de personagem.</t>
        </is>
      </c>
    </row>
    <row r="3" ht="35.05" customHeight="1" s="8">
      <c r="A3" s="10" t="inlineStr">
        <is>
          <t>c2-02</t>
        </is>
      </c>
      <c r="B3" s="10" t="inlineStr">
        <is>
          <t>o rádio do farol avisa da ponte</t>
        </is>
      </c>
      <c r="C3" s="10" t="inlineStr">
        <is>
          <t>roteiro</t>
        </is>
      </c>
      <c r="D3" s="10" t="inlineStr">
        <is>
          <t>investigador</t>
        </is>
      </c>
      <c r="E3" s="10" t="inlineStr">
        <is>
          <t>faroleiro, pelo rádio</t>
        </is>
      </c>
      <c r="F3" s="10" t="n"/>
      <c r="G3" s="10" t="inlineStr">
        <is>
          <t>entendido</t>
        </is>
      </c>
      <c r="H3" s="10" t="inlineStr">
        <is>
          <t>luz</t>
        </is>
      </c>
      <c r="I3" s="10" t="n"/>
      <c r="J3" s="10" t="n"/>
      <c r="K3" s="10" t="n"/>
      <c r="L3" s="10" t="n"/>
      <c r="M3" s="10" t="n"/>
      <c r="N3" s="10" t="n"/>
      <c r="O3" s="10" t="n"/>
      <c r="P3" s="10" t="n"/>
      <c r="Q3" s="10" t="inlineStr">
        <is>
          <t>Entendido. Tem luz aí?</t>
        </is>
      </c>
      <c r="R3" s="13" t="inlineStr">
        <is>
          <t>Entendido. Tem luz aí?!</t>
        </is>
      </c>
      <c r="S3" s="13" t="inlineStr">
        <is>
          <t>Entendido… Tem luz aí?</t>
        </is>
      </c>
      <c r="T3" s="13" t="inlineStr">
        <is>
          <t>Entendido. Tem luz aí…?</t>
        </is>
      </c>
      <c r="U3" s="13" t="inlineStr">
        <is>
          <t>Entendido. Tem luz aí?</t>
        </is>
      </c>
      <c r="V3" s="13" t="inlineStr">
        <is>
          <t>Ah… entendido. Tem luz aí?</t>
        </is>
      </c>
      <c r="W3" s="13" t="inlineStr">
        <is>
          <t>Entendido. Tem luz aí?</t>
        </is>
      </c>
      <c r="X3" s="10">
        <f>SUMPRODUCT(($G3:$P3&lt;&gt;"")*ISERROR(SEARCH($G3:$P3,R3)))+SUMPRODUCT(($G3:$P3&lt;&gt;"")*ISERROR(SEARCH($G3:$P3,S3)))+SUMPRODUCT(($G3:$P3&lt;&gt;"")*ISERROR(SEARCH($G3:$P3,T3)))+SUMPRODUCT(($G3:$P3&lt;&gt;"")*ISERROR(SEARCH($G3:$P3,U3)))+SUMPRODUCT(($G3:$P3&lt;&gt;"")*ISERROR(SEARCH($G3:$P3,V3)))+SUMPRODUCT(($G3:$P3&lt;&gt;"")*ISERROR(SEARCH($G3:$P3,W3)))</f>
        <v/>
      </c>
      <c r="Y3" s="10" t="inlineStr">
        <is>
          <t>Fala do Investigador (ele alcançou o rádio). A narração não marca o falante; deduzido pelo contexto.</t>
        </is>
      </c>
    </row>
    <row r="4" ht="23.85" customHeight="1" s="8">
      <c r="A4" s="10" t="inlineStr">
        <is>
          <t>c2-03</t>
        </is>
      </c>
      <c r="B4" s="10" t="inlineStr">
        <is>
          <t>o rádio do farol avisa da ponte</t>
        </is>
      </c>
      <c r="C4" s="10" t="inlineStr">
        <is>
          <t>roteiro</t>
        </is>
      </c>
      <c r="D4" s="10" t="inlineStr">
        <is>
          <t>faroleiro</t>
        </is>
      </c>
      <c r="E4" s="10" t="inlineStr">
        <is>
          <t>a casa, pelo rádio</t>
        </is>
      </c>
      <c r="F4" s="10" t="n"/>
      <c r="G4" s="10" t="inlineStr">
        <is>
          <t>farol</t>
        </is>
      </c>
      <c r="H4" s="10" t="inlineStr">
        <is>
          <t>gerador</t>
        </is>
      </c>
      <c r="I4" s="10" t="inlineStr">
        <is>
          <t>costa</t>
        </is>
      </c>
      <c r="J4" s="10" t="inlineStr">
        <is>
          <t>não sei por quanto tempo</t>
        </is>
      </c>
      <c r="K4" s="10" t="n"/>
      <c r="L4" s="10" t="n"/>
      <c r="M4" s="10" t="n"/>
      <c r="N4" s="10" t="n"/>
      <c r="O4" s="10" t="n"/>
      <c r="P4" s="10" t="n"/>
      <c r="Q4" s="10" t="inlineStr">
        <is>
          <t>O farol tem gerador. A costa, não sei por quanto tempo.</t>
        </is>
      </c>
      <c r="R4" s="13" t="inlineStr">
        <is>
          <t>O farol tem gerador! A costa, não sei por quanto tempo, e não me peçam milagre.</t>
        </is>
      </c>
      <c r="S4" s="13" t="inlineStr">
        <is>
          <t>O farol… tem gerador. A costa… não sei por quanto tempo.</t>
        </is>
      </c>
      <c r="T4" s="13" t="inlineStr">
        <is>
          <t>O farol tem gerador, isso eu sei. A costa… não sei por quanto tempo, desculpa.</t>
        </is>
      </c>
      <c r="U4" s="13" t="inlineStr">
        <is>
          <t>O farol tem gerador. A costa, não sei por quanto tempo.</t>
        </is>
      </c>
      <c r="V4" s="13" t="inlineStr">
        <is>
          <t>O farol tem gerador. Com esse frio, essa umidade… a costa, não sei por quanto tempo.</t>
        </is>
      </c>
      <c r="W4" s="13" t="inlineStr">
        <is>
          <t>Situação: o farol tem gerador. A costa, não sei por quanto tempo.</t>
        </is>
      </c>
      <c r="X4" s="10">
        <f>SUMPRODUCT(($G4:$P4&lt;&gt;"")*ISERROR(SEARCH($G4:$P4,R4)))+SUMPRODUCT(($G4:$P4&lt;&gt;"")*ISERROR(SEARCH($G4:$P4,S4)))+SUMPRODUCT(($G4:$P4&lt;&gt;"")*ISERROR(SEARCH($G4:$P4,T4)))+SUMPRODUCT(($G4:$P4&lt;&gt;"")*ISERROR(SEARCH($G4:$P4,U4)))+SUMPRODUCT(($G4:$P4&lt;&gt;"")*ISERROR(SEARCH($G4:$P4,V4)))+SUMPRODUCT(($G4:$P4&lt;&gt;"")*ISERROR(SEARCH($G4:$P4,W4)))</f>
        <v/>
      </c>
      <c r="Y4" s="10" t="n"/>
    </row>
    <row r="5" ht="23.85" customHeight="1" s="8">
      <c r="A5" s="10" t="inlineStr">
        <is>
          <t>c2-04</t>
        </is>
      </c>
      <c r="B5" s="10" t="inlineStr">
        <is>
          <t>a ponte caiu</t>
        </is>
      </c>
      <c r="C5" s="10" t="inlineStr">
        <is>
          <t>chat</t>
        </is>
      </c>
      <c r="D5" s="10" t="inlineStr">
        <is>
          <t>voz(['herdeira','advogado','jornalista'])</t>
        </is>
      </c>
      <c r="E5" s="10" t="inlineStr">
        <is>
          <t>grupo</t>
        </is>
      </c>
      <c r="F5" s="10" t="n"/>
      <c r="G5" s="10" t="inlineStr">
        <is>
          <t>ponte caiu</t>
        </is>
      </c>
      <c r="H5" s="10" t="inlineStr">
        <is>
          <t>ninguém vai embora</t>
        </is>
      </c>
      <c r="I5" s="10" t="n"/>
      <c r="J5" s="10" t="n"/>
      <c r="K5" s="10" t="n"/>
      <c r="L5" s="10" t="n"/>
      <c r="M5" s="10" t="n"/>
      <c r="N5" s="10" t="n"/>
      <c r="O5" s="10" t="n"/>
      <c r="P5" s="10" t="n"/>
      <c r="Q5" s="10" t="inlineStr">
        <is>
          <t>A ponte caiu. Então ninguém vai embora.</t>
        </is>
      </c>
      <c r="R5" s="13" t="inlineStr">
        <is>
          <t>A ponte caiu! Pronto, ninguém vai embora, que beleza.</t>
        </is>
      </c>
      <c r="S5" s="13" t="inlineStr">
        <is>
          <t>A ponte caiu… Então… ninguém vai embora.</t>
        </is>
      </c>
      <c r="T5" s="13" t="inlineStr">
        <is>
          <t>A ponte caiu… então ninguém vai embora? Nossa.</t>
        </is>
      </c>
      <c r="U5" s="13" t="inlineStr">
        <is>
          <t>A ponte caiu. Então ninguém vai embora.</t>
        </is>
      </c>
      <c r="V5" s="13" t="inlineStr">
        <is>
          <t>A ponte caiu. Essa chuva, essa estrada… Então ninguém vai embora.</t>
        </is>
      </c>
      <c r="W5" s="13" t="inlineStr">
        <is>
          <t>Consta: a ponte caiu. Consequência: ninguém vai embora.</t>
        </is>
      </c>
      <c r="X5" s="10">
        <f>SUMPRODUCT(($G5:$P5&lt;&gt;"")*ISERROR(SEARCH($G5:$P5,R5)))+SUMPRODUCT(($G5:$P5&lt;&gt;"")*ISERROR(SEARCH($G5:$P5,S5)))+SUMPRODUCT(($G5:$P5&lt;&gt;"")*ISERROR(SEARCH($G5:$P5,T5)))+SUMPRODUCT(($G5:$P5&lt;&gt;"")*ISERROR(SEARCH($G5:$P5,U5)))+SUMPRODUCT(($G5:$P5&lt;&gt;"")*ISERROR(SEARCH($G5:$P5,V5)))+SUMPRODUCT(($G5:$P5&lt;&gt;"")*ISERROR(SEARCH($G5:$P5,W5)))</f>
        <v/>
      </c>
      <c r="Y5" s="10" t="n"/>
    </row>
    <row r="6" ht="35.05" customHeight="1" s="8">
      <c r="A6" s="10" t="inlineStr">
        <is>
          <t>c2-05</t>
        </is>
      </c>
      <c r="B6" s="10" t="inlineStr">
        <is>
          <t>a luz no corredor de serviço</t>
        </is>
      </c>
      <c r="C6" s="10" t="inlineStr">
        <is>
          <t>roteiro</t>
        </is>
      </c>
      <c r="D6" s="10" t="inlineStr">
        <is>
          <t>quem viu a luz (MATRIZ_C2.luz)</t>
        </is>
      </c>
      <c r="E6" s="10" t="inlineStr">
        <is>
          <t>sala</t>
        </is>
      </c>
      <c r="F6" s="10" t="n"/>
      <c r="G6" s="10" t="inlineStr">
        <is>
          <t>alguém lá</t>
        </is>
      </c>
      <c r="H6" s="10" t="n"/>
      <c r="I6" s="10" t="n"/>
      <c r="J6" s="10" t="n"/>
      <c r="K6" s="10" t="n"/>
      <c r="L6" s="10" t="n"/>
      <c r="M6" s="10" t="n"/>
      <c r="N6" s="10" t="n"/>
      <c r="O6" s="10" t="n"/>
      <c r="P6" s="10" t="n"/>
      <c r="Q6" s="10" t="inlineStr">
        <is>
          <t>Tem alguém lá.</t>
        </is>
      </c>
      <c r="R6" s="13" t="inlineStr">
        <is>
          <t>Tem alguém lá!</t>
        </is>
      </c>
      <c r="S6" s="13" t="inlineStr">
        <is>
          <t>Tem… alguém lá.</t>
        </is>
      </c>
      <c r="T6" s="13" t="inlineStr">
        <is>
          <t>Tem alguém lá…</t>
        </is>
      </c>
      <c r="U6" s="13" t="inlineStr">
        <is>
          <t>Tem alguém lá.</t>
        </is>
      </c>
      <c r="V6" s="13" t="inlineStr">
        <is>
          <t>Tem alguém lá.</t>
        </is>
      </c>
      <c r="W6" s="13" t="inlineStr">
        <is>
          <t>Tem alguém lá.</t>
        </is>
      </c>
      <c r="X6" s="10">
        <f>SUMPRODUCT(($G6:$P6&lt;&gt;"")*ISERROR(SEARCH($G6:$P6,R6)))+SUMPRODUCT(($G6:$P6&lt;&gt;"")*ISERROR(SEARCH($G6:$P6,S6)))+SUMPRODUCT(($G6:$P6&lt;&gt;"")*ISERROR(SEARCH($G6:$P6,T6)))+SUMPRODUCT(($G6:$P6&lt;&gt;"")*ISERROR(SEARCH($G6:$P6,U6)))+SUMPRODUCT(($G6:$P6&lt;&gt;"")*ISERROR(SEARCH($G6:$P6,V6)))+SUMPRODUCT(($G6:$P6&lt;&gt;"")*ISERROR(SEARCH($G6:$P6,W6)))</f>
        <v/>
      </c>
      <c r="Y6" s="10" t="inlineStr">
        <is>
          <t>Fala citada na narração; falante é M.luz (varia por partida), texto fixo. Não usar adjetivo de gênero.</t>
        </is>
      </c>
    </row>
    <row r="7" ht="46.25" customHeight="1" s="8">
      <c r="A7" s="10" t="inlineStr">
        <is>
          <t>c2-06</t>
        </is>
      </c>
      <c r="B7" s="10" t="inlineStr">
        <is>
          <t>a luz no corredor de serviço</t>
        </is>
      </c>
      <c r="C7" s="10" t="inlineStr">
        <is>
          <t>roteiro</t>
        </is>
      </c>
      <c r="D7" s="10" t="inlineStr">
        <is>
          <t>tabeliao | policial | residente (quem não viu a luz)</t>
        </is>
      </c>
      <c r="E7" s="10" t="inlineStr">
        <is>
          <t>sala</t>
        </is>
      </c>
      <c r="F7" s="10" t="n"/>
      <c r="G7" s="10" t="inlineStr">
        <is>
          <t>porta trancada</t>
        </is>
      </c>
      <c r="H7" s="10" t="inlineStr">
        <is>
          <t>diferente</t>
        </is>
      </c>
      <c r="I7" s="10" t="n"/>
      <c r="J7" s="10" t="n"/>
      <c r="K7" s="10" t="n"/>
      <c r="L7" s="10" t="n"/>
      <c r="M7" s="10" t="n"/>
      <c r="N7" s="10" t="n"/>
      <c r="O7" s="10" t="n"/>
      <c r="P7" s="10" t="n"/>
      <c r="Q7" s="10" t="inlineStr">
        <is>
          <t>Tem uma porta trancada lá. O que é diferente.</t>
        </is>
      </c>
      <c r="R7" s="13" t="inlineStr">
        <is>
          <t>Tem uma porta trancada lá! O que é bem diferente.</t>
        </is>
      </c>
      <c r="S7" s="13" t="inlineStr">
        <is>
          <t>Tem uma porta trancada lá… O que é diferente.</t>
        </is>
      </c>
      <c r="T7" s="13" t="inlineStr">
        <is>
          <t>Tem uma porta trancada lá… o que é diferente, não é?</t>
        </is>
      </c>
      <c r="U7" s="13" t="inlineStr">
        <is>
          <t>Tem uma porta trancada lá. O que é diferente.</t>
        </is>
      </c>
      <c r="V7" s="13" t="inlineStr">
        <is>
          <t>Olha, com esse cansaço todo… tem uma porta trancada lá. O que é diferente.</t>
        </is>
      </c>
      <c r="W7" s="13" t="inlineStr">
        <is>
          <t>Correção: tem uma porta trancada lá. O que é diferente.</t>
        </is>
      </c>
      <c r="X7" s="10">
        <f>SUMPRODUCT(($G7:$P7&lt;&gt;"")*ISERROR(SEARCH($G7:$P7,R7)))+SUMPRODUCT(($G7:$P7&lt;&gt;"")*ISERROR(SEARCH($G7:$P7,S7)))+SUMPRODUCT(($G7:$P7&lt;&gt;"")*ISERROR(SEARCH($G7:$P7,T7)))+SUMPRODUCT(($G7:$P7&lt;&gt;"")*ISERROR(SEARCH($G7:$P7,U7)))+SUMPRODUCT(($G7:$P7&lt;&gt;"")*ISERROR(SEARCH($G7:$P7,V7)))+SUMPRODUCT(($G7:$P7&lt;&gt;"")*ISERROR(SEARCH($G7:$P7,W7)))</f>
        <v/>
      </c>
      <c r="Y7" s="10" t="inlineStr">
        <is>
          <t>Enquadre: "corrigiu X". Falante: tabelião se presente e não for M.luz; senão policial; senão residente. Gênero variável.</t>
        </is>
      </c>
    </row>
    <row r="8" ht="57.45" customHeight="1" s="8">
      <c r="A8" s="10" t="inlineStr">
        <is>
          <t>c2-07</t>
        </is>
      </c>
      <c r="B8" s="10" t="inlineStr">
        <is>
          <t>a voz a mais chega ao grupo</t>
        </is>
      </c>
      <c r="C8" s="10" t="inlineStr">
        <is>
          <t>voz</t>
        </is>
      </c>
      <c r="D8" s="10" t="inlineStr">
        <is>
          <t>acompanhante</t>
        </is>
      </c>
      <c r="E8" s="10" t="inlineStr">
        <is>
          <t>grupo</t>
        </is>
      </c>
      <c r="F8" s="10" t="n"/>
      <c r="G8" s="10" t="inlineStr">
        <is>
          <t>boa noite</t>
        </is>
      </c>
      <c r="H8" s="10" t="n"/>
      <c r="I8" s="10" t="n"/>
      <c r="J8" s="10" t="n"/>
      <c r="K8" s="10" t="n"/>
      <c r="L8" s="10" t="n"/>
      <c r="M8" s="10" t="n"/>
      <c r="N8" s="10" t="n"/>
      <c r="O8" s="10" t="n"/>
      <c r="P8" s="10" t="n"/>
      <c r="Q8" s="10" t="inlineStr">
        <is>
          <t>Boa noite.</t>
        </is>
      </c>
      <c r="R8" s="13" t="inlineStr">
        <is>
          <t>Boa noite.</t>
        </is>
      </c>
      <c r="S8" s="13" t="inlineStr">
        <is>
          <t>… Boa noite.</t>
        </is>
      </c>
      <c r="T8" s="13" t="inlineStr">
        <is>
          <t>Boa noite.</t>
        </is>
      </c>
      <c r="U8" s="13" t="inlineStr">
        <is>
          <t>Boa noite.</t>
        </is>
      </c>
      <c r="V8" s="13" t="inlineStr">
        <is>
          <t>Boa noite.</t>
        </is>
      </c>
      <c r="W8" s="13" t="inlineStr">
        <is>
          <t>Boa noite.</t>
        </is>
      </c>
      <c r="X8" s="10">
        <f>SUMPRODUCT(($G8:$P8&lt;&gt;"")*ISERROR(SEARCH($G8:$P8,R8)))+SUMPRODUCT(($G8:$P8&lt;&gt;"")*ISERROR(SEARCH($G8:$P8,S8)))+SUMPRODUCT(($G8:$P8&lt;&gt;"")*ISERROR(SEARCH($G8:$P8,T8)))+SUMPRODUCT(($G8:$P8&lt;&gt;"")*ISERROR(SEARCH($G8:$P8,U8)))+SUMPRODUCT(($G8:$P8&lt;&gt;"")*ISERROR(SEARCH($G8:$P8,V8)))+SUMPRODUCT(($G8:$P8&lt;&gt;"")*ISERROR(SEARCH($G8:$P8,W8)))</f>
        <v/>
      </c>
      <c r="Y8" s="10" t="inlineStr">
        <is>
          <t>Função: chegada da voz, sem se apresentar. O código diz que a chegada é igual para todas as personalidades; mantive igual nos 6 (só o calmo_opaco com reticência). Decidir se deve variar.</t>
        </is>
      </c>
    </row>
    <row r="9" ht="23.85" customHeight="1" s="8">
      <c r="A9" s="10" t="inlineStr">
        <is>
          <t>c2-08</t>
        </is>
      </c>
      <c r="B9" s="10" t="inlineStr">
        <is>
          <t>a voz a mais chega ao grupo</t>
        </is>
      </c>
      <c r="C9" s="10" t="inlineStr">
        <is>
          <t>chat</t>
        </is>
      </c>
      <c r="D9" s="10" t="inlineStr">
        <is>
          <t>voz(['jornalista','policial'])</t>
        </is>
      </c>
      <c r="E9" s="10" t="inlineStr">
        <is>
          <t>grupo</t>
        </is>
      </c>
      <c r="F9" s="10" t="n"/>
      <c r="G9" s="10" t="inlineStr">
        <is>
          <t>número</t>
        </is>
      </c>
      <c r="H9" s="10" t="n"/>
      <c r="I9" s="10" t="n"/>
      <c r="J9" s="10" t="n"/>
      <c r="K9" s="10" t="n"/>
      <c r="L9" s="10" t="n"/>
      <c r="M9" s="10" t="n"/>
      <c r="N9" s="10" t="n"/>
      <c r="O9" s="10" t="n"/>
      <c r="P9" s="10" t="n"/>
      <c r="Q9" s="10" t="inlineStr">
        <is>
          <t>Quem é esse número?</t>
        </is>
      </c>
      <c r="R9" s="13" t="inlineStr">
        <is>
          <t>Quem é esse número?!</t>
        </is>
      </c>
      <c r="S9" s="13" t="inlineStr">
        <is>
          <t>Quem… é esse número?</t>
        </is>
      </c>
      <c r="T9" s="13" t="inlineStr">
        <is>
          <t>Quem é esse número…?</t>
        </is>
      </c>
      <c r="U9" s="13" t="inlineStr">
        <is>
          <t>Quem é esse número?</t>
        </is>
      </c>
      <c r="V9" s="13" t="inlineStr">
        <is>
          <t>Hum… quem é esse número?</t>
        </is>
      </c>
      <c r="W9" s="13" t="inlineStr">
        <is>
          <t>Quem é esse número?</t>
        </is>
      </c>
      <c r="X9" s="10">
        <f>SUMPRODUCT(($G9:$P9&lt;&gt;"")*ISERROR(SEARCH($G9:$P9,R9)))+SUMPRODUCT(($G9:$P9&lt;&gt;"")*ISERROR(SEARCH($G9:$P9,S9)))+SUMPRODUCT(($G9:$P9&lt;&gt;"")*ISERROR(SEARCH($G9:$P9,T9)))+SUMPRODUCT(($G9:$P9&lt;&gt;"")*ISERROR(SEARCH($G9:$P9,U9)))+SUMPRODUCT(($G9:$P9&lt;&gt;"")*ISERROR(SEARCH($G9:$P9,V9)))+SUMPRODUCT(($G9:$P9&lt;&gt;"")*ISERROR(SEARCH($G9:$P9,W9)))</f>
        <v/>
      </c>
      <c r="Y9" s="10" t="n"/>
    </row>
    <row r="10" ht="46.25" customHeight="1" s="8">
      <c r="A10" s="10" t="inlineStr">
        <is>
          <t>c2-09</t>
        </is>
      </c>
      <c r="B10" s="10" t="inlineStr">
        <is>
          <t>a chamada no grupo</t>
        </is>
      </c>
      <c r="C10" s="10" t="inlineStr">
        <is>
          <t>roteiro</t>
        </is>
      </c>
      <c r="D10" s="10" t="inlineStr">
        <is>
          <t>quem conduz (MATRIZ_C2.conduz)</t>
        </is>
      </c>
      <c r="E10" s="10" t="inlineStr">
        <is>
          <t>sala</t>
        </is>
      </c>
      <c r="F10" s="10" t="n"/>
      <c r="G10" s="10" t="inlineStr">
        <is>
          <t>direito</t>
        </is>
      </c>
      <c r="H10" s="10" t="inlineStr">
        <is>
          <t>uma palavra no grupo</t>
        </is>
      </c>
      <c r="I10" s="10" t="inlineStr">
        <is>
          <t>ordem da roda</t>
        </is>
      </c>
      <c r="J10" s="10" t="inlineStr">
        <is>
          <t>sobrou</t>
        </is>
      </c>
      <c r="K10" s="10" t="n"/>
      <c r="L10" s="10" t="n"/>
      <c r="M10" s="10" t="n"/>
      <c r="N10" s="10" t="n"/>
      <c r="O10" s="10" t="n"/>
      <c r="P10" s="10" t="n"/>
      <c r="Q10" s="10" t="inlineStr">
        <is>
          <t>Vamos fazer isso direito. Cada um manda uma palavra no grupo, na ordem da roda. Quem sobrar, sobrou.</t>
        </is>
      </c>
      <c r="R10" s="13" t="inlineStr">
        <is>
          <t>Vamos fazer isso direito, chega! Cada um manda uma palavra no grupo, na ordem da roda. Quem sobrar, sobrou.</t>
        </is>
      </c>
      <c r="S10" s="13" t="inlineStr">
        <is>
          <t>Vamos fazer direito… Cada um… uma palavra no grupo. Na ordem da roda. Quem sobrar… sobrou.</t>
        </is>
      </c>
      <c r="T10" s="13" t="inlineStr">
        <is>
          <t>Vamos fazer isso direito, pode ser? Cada um manda uma palavra no grupo, na ordem da roda… quem sobrar, sobrou, tá?</t>
        </is>
      </c>
      <c r="U10" s="13" t="inlineStr">
        <is>
          <t>Vamos fazer isso direito. Cada um manda uma palavra no grupo, na ordem da roda. Quem sobrar, sobrou.</t>
        </is>
      </c>
      <c r="V10" s="13" t="inlineStr">
        <is>
          <t>Bom, já que a noite vai ser longa… vamos fazer direito. Cada um manda uma palavra no grupo, na ordem da roda. Quem sobrar, sobrou.</t>
        </is>
      </c>
      <c r="W10" s="13" t="inlineStr">
        <is>
          <t>Procedimento, para fazer direito: cada um manda uma palavra no grupo, na ordem da roda. Quem sobrar, sobrou.</t>
        </is>
      </c>
      <c r="X10" s="10">
        <f>SUMPRODUCT(($G10:$P10&lt;&gt;"")*ISERROR(SEARCH($G10:$P10,R10)))+SUMPRODUCT(($G10:$P10&lt;&gt;"")*ISERROR(SEARCH($G10:$P10,S10)))+SUMPRODUCT(($G10:$P10&lt;&gt;"")*ISERROR(SEARCH($G10:$P10,T10)))+SUMPRODUCT(($G10:$P10&lt;&gt;"")*ISERROR(SEARCH($G10:$P10,U10)))+SUMPRODUCT(($G10:$P10&lt;&gt;"")*ISERROR(SEARCH($G10:$P10,V10)))+SUMPRODUCT(($G10:$P10&lt;&gt;"")*ISERROR(SEARCH($G10:$P10,W10)))</f>
        <v/>
      </c>
      <c r="Y10" s="10" t="inlineStr">
        <is>
          <t>Enquadre: "X pôs o celular na mesa:". Falante varia por partida (M.conduz), texto fixo.</t>
        </is>
      </c>
    </row>
    <row r="11" ht="46.25" customHeight="1" s="8">
      <c r="A11" s="10" t="inlineStr">
        <is>
          <t>c2-10</t>
        </is>
      </c>
      <c r="B11" s="10" t="inlineStr">
        <is>
          <t>a chamada no grupo</t>
        </is>
      </c>
      <c r="C11" s="10" t="inlineStr">
        <is>
          <t>chat</t>
        </is>
      </c>
      <c r="D11" s="10" t="inlineStr">
        <is>
          <t>cada personagem da roda (não o jogador)</t>
        </is>
      </c>
      <c r="E11" s="10" t="inlineStr">
        <is>
          <t>grupo</t>
        </is>
      </c>
      <c r="F11" s="10" t="n"/>
      <c r="G11" s="10" t="inlineStr">
        <is>
          <t>Aqui</t>
        </is>
      </c>
      <c r="H11" s="10" t="n"/>
      <c r="I11" s="10" t="n"/>
      <c r="J11" s="10" t="n"/>
      <c r="K11" s="10" t="n"/>
      <c r="L11" s="10" t="n"/>
      <c r="M11" s="10" t="n"/>
      <c r="N11" s="10" t="n"/>
      <c r="O11" s="10" t="n"/>
      <c r="P11" s="10" t="n"/>
      <c r="Q11" s="10" t="inlineStr">
        <is>
          <t>Aqui.</t>
        </is>
      </c>
      <c r="R11" s="13" t="inlineStr">
        <is>
          <t>Aqui!</t>
        </is>
      </c>
      <c r="S11" s="13" t="inlineStr">
        <is>
          <t>…aqui.</t>
        </is>
      </c>
      <c r="T11" s="13" t="inlineStr">
        <is>
          <t>Aqui?</t>
        </is>
      </c>
      <c r="U11" s="13" t="inlineStr">
        <is>
          <t>Aqui.</t>
        </is>
      </c>
      <c r="V11" s="13" t="inlineStr">
        <is>
          <t>Aqui…</t>
        </is>
      </c>
      <c r="W11" s="13" t="inlineStr">
        <is>
          <t>Aqui.</t>
        </is>
      </c>
      <c r="X11" s="10">
        <f>SUMPRODUCT(($G11:$P11&lt;&gt;"")*ISERROR(SEARCH($G11:$P11,R11)))+SUMPRODUCT(($G11:$P11&lt;&gt;"")*ISERROR(SEARCH($G11:$P11,S11)))+SUMPRODUCT(($G11:$P11&lt;&gt;"")*ISERROR(SEARCH($G11:$P11,T11)))+SUMPRODUCT(($G11:$P11&lt;&gt;"")*ISERROR(SEARCH($G11:$P11,U11)))+SUMPRODUCT(($G11:$P11&lt;&gt;"")*ISERROR(SEARCH($G11:$P11,V11)))+SUMPRODUCT(($G11:$P11&lt;&gt;"")*ISERROR(SEARCH($G11:$P11,W11)))</f>
        <v/>
      </c>
      <c r="Y11" s="10" t="inlineStr">
        <is>
          <t>Resposta de chamada: precisa continuar curtíssima (a cena conta "uma palavra" por pessoa). O código distribui as palavras em rodízio pela lista pal.</t>
        </is>
      </c>
    </row>
    <row r="12" ht="46.25" customHeight="1" s="8">
      <c r="A12" s="10" t="inlineStr">
        <is>
          <t>c2-11</t>
        </is>
      </c>
      <c r="B12" s="10" t="inlineStr">
        <is>
          <t>a chamada no grupo</t>
        </is>
      </c>
      <c r="C12" s="10" t="inlineStr">
        <is>
          <t>chat</t>
        </is>
      </c>
      <c r="D12" s="10" t="inlineStr">
        <is>
          <t>cada personagem da roda (não o jogador)</t>
        </is>
      </c>
      <c r="E12" s="10" t="inlineStr">
        <is>
          <t>grupo</t>
        </is>
      </c>
      <c r="F12" s="10" t="n"/>
      <c r="G12" s="10" t="inlineStr">
        <is>
          <t>Presente</t>
        </is>
      </c>
      <c r="H12" s="10" t="n"/>
      <c r="I12" s="10" t="n"/>
      <c r="J12" s="10" t="n"/>
      <c r="K12" s="10" t="n"/>
      <c r="L12" s="10" t="n"/>
      <c r="M12" s="10" t="n"/>
      <c r="N12" s="10" t="n"/>
      <c r="O12" s="10" t="n"/>
      <c r="P12" s="10" t="n"/>
      <c r="Q12" s="10" t="inlineStr">
        <is>
          <t>Presente.</t>
        </is>
      </c>
      <c r="R12" s="13" t="inlineStr">
        <is>
          <t>Presente!</t>
        </is>
      </c>
      <c r="S12" s="13" t="inlineStr">
        <is>
          <t>…presente.</t>
        </is>
      </c>
      <c r="T12" s="13" t="inlineStr">
        <is>
          <t>Presente?</t>
        </is>
      </c>
      <c r="U12" s="13" t="inlineStr">
        <is>
          <t>Presente.</t>
        </is>
      </c>
      <c r="V12" s="13" t="inlineStr">
        <is>
          <t>Presente…</t>
        </is>
      </c>
      <c r="W12" s="13" t="inlineStr">
        <is>
          <t>Presente.</t>
        </is>
      </c>
      <c r="X12" s="10">
        <f>SUMPRODUCT(($G12:$P12&lt;&gt;"")*ISERROR(SEARCH($G12:$P12,R12)))+SUMPRODUCT(($G12:$P12&lt;&gt;"")*ISERROR(SEARCH($G12:$P12,S12)))+SUMPRODUCT(($G12:$P12&lt;&gt;"")*ISERROR(SEARCH($G12:$P12,T12)))+SUMPRODUCT(($G12:$P12&lt;&gt;"")*ISERROR(SEARCH($G12:$P12,U12)))+SUMPRODUCT(($G12:$P12&lt;&gt;"")*ISERROR(SEARCH($G12:$P12,V12)))+SUMPRODUCT(($G12:$P12&lt;&gt;"")*ISERROR(SEARCH($G12:$P12,W12)))</f>
        <v/>
      </c>
      <c r="Y12" s="10" t="inlineStr">
        <is>
          <t>Resposta de chamada: precisa continuar curtíssima (a cena conta "uma palavra" por pessoa). O código distribui as palavras em rodízio pela lista pal.</t>
        </is>
      </c>
    </row>
    <row r="13" ht="46.25" customHeight="1" s="8">
      <c r="A13" s="10" t="inlineStr">
        <is>
          <t>c2-12</t>
        </is>
      </c>
      <c r="B13" s="10" t="inlineStr">
        <is>
          <t>a chamada no grupo</t>
        </is>
      </c>
      <c r="C13" s="10" t="inlineStr">
        <is>
          <t>chat</t>
        </is>
      </c>
      <c r="D13" s="10" t="inlineStr">
        <is>
          <t>cada personagem da roda (não o jogador)</t>
        </is>
      </c>
      <c r="E13" s="10" t="inlineStr">
        <is>
          <t>grupo</t>
        </is>
      </c>
      <c r="F13" s="10" t="n"/>
      <c r="G13" s="10" t="inlineStr">
        <is>
          <t>Eu</t>
        </is>
      </c>
      <c r="H13" s="10" t="n"/>
      <c r="I13" s="10" t="n"/>
      <c r="J13" s="10" t="n"/>
      <c r="K13" s="10" t="n"/>
      <c r="L13" s="10" t="n"/>
      <c r="M13" s="10" t="n"/>
      <c r="N13" s="10" t="n"/>
      <c r="O13" s="10" t="n"/>
      <c r="P13" s="10" t="n"/>
      <c r="Q13" s="10" t="inlineStr">
        <is>
          <t>Eu.</t>
        </is>
      </c>
      <c r="R13" s="13" t="inlineStr">
        <is>
          <t>Eu!</t>
        </is>
      </c>
      <c r="S13" s="13" t="inlineStr">
        <is>
          <t>…eu.</t>
        </is>
      </c>
      <c r="T13" s="13" t="inlineStr">
        <is>
          <t>Eu?</t>
        </is>
      </c>
      <c r="U13" s="13" t="inlineStr">
        <is>
          <t>Eu.</t>
        </is>
      </c>
      <c r="V13" s="13" t="inlineStr">
        <is>
          <t>Eu…</t>
        </is>
      </c>
      <c r="W13" s="13" t="inlineStr">
        <is>
          <t>Eu.</t>
        </is>
      </c>
      <c r="X13" s="10">
        <f>SUMPRODUCT(($G13:$P13&lt;&gt;"")*ISERROR(SEARCH($G13:$P13,R13)))+SUMPRODUCT(($G13:$P13&lt;&gt;"")*ISERROR(SEARCH($G13:$P13,S13)))+SUMPRODUCT(($G13:$P13&lt;&gt;"")*ISERROR(SEARCH($G13:$P13,T13)))+SUMPRODUCT(($G13:$P13&lt;&gt;"")*ISERROR(SEARCH($G13:$P13,U13)))+SUMPRODUCT(($G13:$P13&lt;&gt;"")*ISERROR(SEARCH($G13:$P13,V13)))+SUMPRODUCT(($G13:$P13&lt;&gt;"")*ISERROR(SEARCH($G13:$P13,W13)))</f>
        <v/>
      </c>
      <c r="Y13" s="10" t="inlineStr">
        <is>
          <t>Resposta de chamada: precisa continuar curtíssima (a cena conta "uma palavra" por pessoa). O código distribui as palavras em rodízio pela lista pal.</t>
        </is>
      </c>
    </row>
    <row r="14" ht="46.25" customHeight="1" s="8">
      <c r="A14" s="10" t="inlineStr">
        <is>
          <t>c2-13</t>
        </is>
      </c>
      <c r="B14" s="10" t="inlineStr">
        <is>
          <t>a chamada no grupo</t>
        </is>
      </c>
      <c r="C14" s="10" t="inlineStr">
        <is>
          <t>chat</t>
        </is>
      </c>
      <c r="D14" s="10" t="inlineStr">
        <is>
          <t>cada personagem da roda (não o jogador)</t>
        </is>
      </c>
      <c r="E14" s="10" t="inlineStr">
        <is>
          <t>grupo</t>
        </is>
      </c>
      <c r="F14" s="10" t="n"/>
      <c r="G14" s="10" t="inlineStr">
        <is>
          <t>Sim</t>
        </is>
      </c>
      <c r="H14" s="10" t="n"/>
      <c r="I14" s="10" t="n"/>
      <c r="J14" s="10" t="n"/>
      <c r="K14" s="10" t="n"/>
      <c r="L14" s="10" t="n"/>
      <c r="M14" s="10" t="n"/>
      <c r="N14" s="10" t="n"/>
      <c r="O14" s="10" t="n"/>
      <c r="P14" s="10" t="n"/>
      <c r="Q14" s="10" t="inlineStr">
        <is>
          <t>Sim.</t>
        </is>
      </c>
      <c r="R14" s="13" t="inlineStr">
        <is>
          <t>Sim!</t>
        </is>
      </c>
      <c r="S14" s="13" t="inlineStr">
        <is>
          <t>…sim.</t>
        </is>
      </c>
      <c r="T14" s="13" t="inlineStr">
        <is>
          <t>Sim?</t>
        </is>
      </c>
      <c r="U14" s="13" t="inlineStr">
        <is>
          <t>Sim.</t>
        </is>
      </c>
      <c r="V14" s="13" t="inlineStr">
        <is>
          <t>Sim…</t>
        </is>
      </c>
      <c r="W14" s="13" t="inlineStr">
        <is>
          <t>Sim.</t>
        </is>
      </c>
      <c r="X14" s="10">
        <f>SUMPRODUCT(($G14:$P14&lt;&gt;"")*ISERROR(SEARCH($G14:$P14,R14)))+SUMPRODUCT(($G14:$P14&lt;&gt;"")*ISERROR(SEARCH($G14:$P14,S14)))+SUMPRODUCT(($G14:$P14&lt;&gt;"")*ISERROR(SEARCH($G14:$P14,T14)))+SUMPRODUCT(($G14:$P14&lt;&gt;"")*ISERROR(SEARCH($G14:$P14,U14)))+SUMPRODUCT(($G14:$P14&lt;&gt;"")*ISERROR(SEARCH($G14:$P14,V14)))+SUMPRODUCT(($G14:$P14&lt;&gt;"")*ISERROR(SEARCH($G14:$P14,W14)))</f>
        <v/>
      </c>
      <c r="Y14" s="10" t="inlineStr">
        <is>
          <t>Resposta de chamada: precisa continuar curtíssima (a cena conta "uma palavra" por pessoa). O código distribui as palavras em rodízio pela lista pal.</t>
        </is>
      </c>
    </row>
    <row r="15" ht="68.65000000000001" customHeight="1" s="8">
      <c r="A15" s="10" t="inlineStr">
        <is>
          <t>c2-14</t>
        </is>
      </c>
      <c r="B15" s="10" t="inlineStr">
        <is>
          <t>o número do pai</t>
        </is>
      </c>
      <c r="C15" s="10" t="inlineStr">
        <is>
          <t>roteiro</t>
        </is>
      </c>
      <c r="D15" s="10" t="inlineStr">
        <is>
          <t>jornalista</t>
        </is>
      </c>
      <c r="E15" s="10" t="inlineStr">
        <is>
          <t>herdeira</t>
        </is>
      </c>
      <c r="F15" s="10" t="inlineStr">
        <is>
          <t>só quando o jogador não é o Jornalista (se for, a narração diz "você pergunta")</t>
        </is>
      </c>
      <c r="G15" s="10" t="inlineStr">
        <is>
          <t>número</t>
        </is>
      </c>
      <c r="H15" s="10" t="inlineStr">
        <is>
          <t>seu pai</t>
        </is>
      </c>
      <c r="I15" s="10" t="n"/>
      <c r="J15" s="10" t="n"/>
      <c r="K15" s="10" t="n"/>
      <c r="L15" s="10" t="n"/>
      <c r="M15" s="10" t="n"/>
      <c r="N15" s="10" t="n"/>
      <c r="O15" s="10" t="n"/>
      <c r="P15" s="10" t="n"/>
      <c r="Q15" s="10" t="inlineStr">
        <is>
          <t>É o número do seu pai?</t>
        </is>
      </c>
      <c r="R15" s="13" t="inlineStr">
        <is>
          <t>É o número do seu pai?!</t>
        </is>
      </c>
      <c r="S15" s="13" t="inlineStr">
        <is>
          <t>É… o número do seu pai?</t>
        </is>
      </c>
      <c r="T15" s="13" t="inlineStr">
        <is>
          <t>É o número do seu pai…?</t>
        </is>
      </c>
      <c r="U15" s="13" t="inlineStr">
        <is>
          <t>É o número do seu pai?</t>
        </is>
      </c>
      <c r="V15" s="13" t="inlineStr">
        <is>
          <t>Bem… é o número do seu pai?</t>
        </is>
      </c>
      <c r="W15" s="13" t="inlineStr">
        <is>
          <t>É o número do seu pai?</t>
        </is>
      </c>
      <c r="X15" s="10">
        <f>SUMPRODUCT(($G15:$P15&lt;&gt;"")*ISERROR(SEARCH($G15:$P15,R15)))+SUMPRODUCT(($G15:$P15&lt;&gt;"")*ISERROR(SEARCH($G15:$P15,S15)))+SUMPRODUCT(($G15:$P15&lt;&gt;"")*ISERROR(SEARCH($G15:$P15,T15)))+SUMPRODUCT(($G15:$P15&lt;&gt;"")*ISERROR(SEARCH($G15:$P15,U15)))+SUMPRODUCT(($G15:$P15&lt;&gt;"")*ISERROR(SEARCH($G15:$P15,V15)))+SUMPRODUCT(($G15:$P15&lt;&gt;"")*ISERROR(SEARCH($G15:$P15,W15)))</f>
        <v/>
      </c>
      <c r="Y15" s="10" t="inlineStr">
        <is>
          <t>Enquadre: "o Jornalista perguntou à Herdeira".</t>
        </is>
      </c>
    </row>
    <row r="16" ht="35.05" customHeight="1" s="8">
      <c r="A16" s="10" t="inlineStr">
        <is>
          <t>c2-15</t>
        </is>
      </c>
      <c r="B16" s="10" t="inlineStr">
        <is>
          <t>o número do pai</t>
        </is>
      </c>
      <c r="C16" s="10" t="inlineStr">
        <is>
          <t>roteiro</t>
        </is>
      </c>
      <c r="D16" s="10" t="inlineStr">
        <is>
          <t>herdeira</t>
        </is>
      </c>
      <c r="E16" s="10" t="inlineStr">
        <is>
          <t>jornalista</t>
        </is>
      </c>
      <c r="F16" s="10" t="n"/>
      <c r="G16" s="10" t="inlineStr">
        <is>
          <t>não sei</t>
        </is>
      </c>
      <c r="H16" s="10" t="n"/>
      <c r="I16" s="10" t="n"/>
      <c r="J16" s="10" t="n"/>
      <c r="K16" s="10" t="n"/>
      <c r="L16" s="10" t="n"/>
      <c r="M16" s="10" t="n"/>
      <c r="N16" s="10" t="n"/>
      <c r="O16" s="10" t="n"/>
      <c r="P16" s="10" t="n"/>
      <c r="Q16" s="10" t="inlineStr">
        <is>
          <t>Não sei.</t>
        </is>
      </c>
      <c r="R16" s="13" t="inlineStr">
        <is>
          <t>Não sei!</t>
        </is>
      </c>
      <c r="S16" s="13" t="inlineStr">
        <is>
          <t>… Não sei.</t>
        </is>
      </c>
      <c r="T16" s="13" t="inlineStr">
        <is>
          <t>Não sei…</t>
        </is>
      </c>
      <c r="U16" s="13" t="inlineStr">
        <is>
          <t>Não sei.</t>
        </is>
      </c>
      <c r="V16" s="13" t="inlineStr">
        <is>
          <t>Ah… não sei.</t>
        </is>
      </c>
      <c r="W16" s="13" t="inlineStr">
        <is>
          <t>Não sei.</t>
        </is>
      </c>
      <c r="X16" s="10">
        <f>SUMPRODUCT(($G16:$P16&lt;&gt;"")*ISERROR(SEARCH($G16:$P16,R16)))+SUMPRODUCT(($G16:$P16&lt;&gt;"")*ISERROR(SEARCH($G16:$P16,S16)))+SUMPRODUCT(($G16:$P16&lt;&gt;"")*ISERROR(SEARCH($G16:$P16,T16)))+SUMPRODUCT(($G16:$P16&lt;&gt;"")*ISERROR(SEARCH($G16:$P16,U16)))+SUMPRODUCT(($G16:$P16&lt;&gt;"")*ISERROR(SEARCH($G16:$P16,V16)))+SUMPRODUCT(($G16:$P16&lt;&gt;"")*ISERROR(SEARCH($G16:$P16,W16)))</f>
        <v/>
      </c>
      <c r="Y16" s="10" t="inlineStr">
        <is>
          <t>Na narração a Herdeira fala mesmo se o jogador for a Herdeira (o código não trata esse caso).</t>
        </is>
      </c>
    </row>
    <row r="17" ht="35.05" customHeight="1" s="8">
      <c r="A17" s="10" t="inlineStr">
        <is>
          <t>c2-16</t>
        </is>
      </c>
      <c r="B17" s="10" t="inlineStr">
        <is>
          <t>o número do pai</t>
        </is>
      </c>
      <c r="C17" s="10" t="inlineStr">
        <is>
          <t>roteiro</t>
        </is>
      </c>
      <c r="D17" s="10" t="inlineStr">
        <is>
          <t>jornalista</t>
        </is>
      </c>
      <c r="E17" s="10" t="inlineStr">
        <is>
          <t>herdeira</t>
        </is>
      </c>
      <c r="F17" s="10" t="inlineStr">
        <is>
          <t>só quando o jogador não é o Jornalista</t>
        </is>
      </c>
      <c r="G17" s="10" t="inlineStr">
        <is>
          <t>como não sabe</t>
        </is>
      </c>
      <c r="H17" s="10" t="n"/>
      <c r="I17" s="10" t="n"/>
      <c r="J17" s="10" t="n"/>
      <c r="K17" s="10" t="n"/>
      <c r="L17" s="10" t="n"/>
      <c r="M17" s="10" t="n"/>
      <c r="N17" s="10" t="n"/>
      <c r="O17" s="10" t="n"/>
      <c r="P17" s="10" t="n"/>
      <c r="Q17" s="10" t="inlineStr">
        <is>
          <t>Como não sabe?</t>
        </is>
      </c>
      <c r="R17" s="13" t="inlineStr">
        <is>
          <t>Como não sabe?!</t>
        </is>
      </c>
      <c r="S17" s="13" t="inlineStr">
        <is>
          <t>… Como não sabe?</t>
        </is>
      </c>
      <c r="T17" s="13" t="inlineStr">
        <is>
          <t>Como não sabe…?</t>
        </is>
      </c>
      <c r="U17" s="13" t="inlineStr">
        <is>
          <t>Como não sabe?</t>
        </is>
      </c>
      <c r="V17" s="13" t="inlineStr">
        <is>
          <t>Como não sabe?</t>
        </is>
      </c>
      <c r="W17" s="13" t="inlineStr">
        <is>
          <t>Como não sabe?</t>
        </is>
      </c>
      <c r="X17" s="10">
        <f>SUMPRODUCT(($G17:$P17&lt;&gt;"")*ISERROR(SEARCH($G17:$P17,R17)))+SUMPRODUCT(($G17:$P17&lt;&gt;"")*ISERROR(SEARCH($G17:$P17,S17)))+SUMPRODUCT(($G17:$P17&lt;&gt;"")*ISERROR(SEARCH($G17:$P17,T17)))+SUMPRODUCT(($G17:$P17&lt;&gt;"")*ISERROR(SEARCH($G17:$P17,U17)))+SUMPRODUCT(($G17:$P17&lt;&gt;"")*ISERROR(SEARCH($G17:$P17,V17)))+SUMPRODUCT(($G17:$P17&lt;&gt;"")*ISERROR(SEARCH($G17:$P17,W17)))</f>
        <v/>
      </c>
      <c r="Y17" s="10" t="n"/>
    </row>
    <row r="18" ht="35.05" customHeight="1" s="8">
      <c r="A18" s="10" t="inlineStr">
        <is>
          <t>c2-17</t>
        </is>
      </c>
      <c r="B18" s="10" t="inlineStr">
        <is>
          <t>o número do pai</t>
        </is>
      </c>
      <c r="C18" s="10" t="inlineStr">
        <is>
          <t>roteiro</t>
        </is>
      </c>
      <c r="D18" s="10" t="inlineStr">
        <is>
          <t>herdeira</t>
        </is>
      </c>
      <c r="E18" s="10" t="inlineStr">
        <is>
          <t>jornalista</t>
        </is>
      </c>
      <c r="F18" s="10" t="n"/>
      <c r="G18" s="10" t="inlineStr">
        <is>
          <t>trocou de número</t>
        </is>
      </c>
      <c r="H18" s="10" t="inlineStr">
        <is>
          <t>no fim</t>
        </is>
      </c>
      <c r="I18" s="10" t="inlineStr">
        <is>
          <t>não tinha o novo</t>
        </is>
      </c>
      <c r="J18" s="10" t="inlineStr">
        <is>
          <t>motivo</t>
        </is>
      </c>
      <c r="K18" s="10" t="n"/>
      <c r="L18" s="10" t="n"/>
      <c r="M18" s="10" t="n"/>
      <c r="N18" s="10" t="n"/>
      <c r="O18" s="10" t="n"/>
      <c r="P18" s="10" t="n"/>
      <c r="Q18" s="10" t="inlineStr">
        <is>
          <t>Ele trocou de número no fim. Eu não tinha o novo. Não tinha motivo para ter.</t>
        </is>
      </c>
      <c r="R18" s="13" t="inlineStr">
        <is>
          <t>Ele trocou de número no fim! Eu não tinha o novo, tá? Não tinha motivo para ter.</t>
        </is>
      </c>
      <c r="S18" s="13" t="inlineStr">
        <is>
          <t>Ele trocou de número… no fim. Eu não tinha o novo. Não tinha motivo… para ter.</t>
        </is>
      </c>
      <c r="T18" s="13" t="inlineStr">
        <is>
          <t>Ele trocou de número no fim… Eu não tinha o novo. Não tinha motivo para ter, não é?</t>
        </is>
      </c>
      <c r="U18" s="13" t="inlineStr">
        <is>
          <t>Ele trocou de número no fim, era direito dele. Eu não tinha o novo. Não tinha motivo para ter.</t>
        </is>
      </c>
      <c r="V18" s="13" t="inlineStr">
        <is>
          <t>A gente se falava pouco, a estrada, a demora… Ele trocou de número no fim. Eu não tinha o novo. Não tinha motivo para ter.</t>
        </is>
      </c>
      <c r="W18" s="13" t="inlineStr">
        <is>
          <t>Fato: ele trocou de número no fim. Eu não tinha o novo. Motivo para ter: nenhum.</t>
        </is>
      </c>
      <c r="X18" s="10">
        <f>SUMPRODUCT(($G18:$P18&lt;&gt;"")*ISERROR(SEARCH($G18:$P18,R18)))+SUMPRODUCT(($G18:$P18&lt;&gt;"")*ISERROR(SEARCH($G18:$P18,S18)))+SUMPRODUCT(($G18:$P18&lt;&gt;"")*ISERROR(SEARCH($G18:$P18,T18)))+SUMPRODUCT(($G18:$P18&lt;&gt;"")*ISERROR(SEARCH($G18:$P18,U18)))+SUMPRODUCT(($G18:$P18&lt;&gt;"")*ISERROR(SEARCH($G18:$P18,V18)))+SUMPRODUCT(($G18:$P18&lt;&gt;"")*ISERROR(SEARCH($G18:$P18,W18)))</f>
        <v/>
      </c>
      <c r="Y18" s="10" t="n"/>
    </row>
    <row r="19" ht="57.45" customHeight="1" s="8">
      <c r="A19" s="10" t="inlineStr">
        <is>
          <t>c2-18</t>
        </is>
      </c>
      <c r="B19" s="10" t="inlineStr">
        <is>
          <t>lembranças do proprietário</t>
        </is>
      </c>
      <c r="C19" s="10" t="inlineStr">
        <is>
          <t>roteiro</t>
        </is>
      </c>
      <c r="D19" s="10" t="inlineStr">
        <is>
          <t>chefe_de_cozinha</t>
        </is>
      </c>
      <c r="E19" s="10" t="inlineStr">
        <is>
          <t>sala</t>
        </is>
      </c>
      <c r="F19" s="10" t="inlineStr">
        <is>
          <t>chefe presente, não é o impostor da partida e M.chefeCaldo (hoje só P15)</t>
        </is>
      </c>
      <c r="G19" s="10" t="inlineStr">
        <is>
          <t>caldo</t>
        </is>
      </c>
      <c r="H19" s="10" t="inlineStr">
        <is>
          <t>até o fim</t>
        </is>
      </c>
      <c r="I19" s="10" t="n"/>
      <c r="J19" s="10" t="n"/>
      <c r="K19" s="10" t="n"/>
      <c r="L19" s="10" t="n"/>
      <c r="M19" s="10" t="n"/>
      <c r="N19" s="10" t="n"/>
      <c r="O19" s="10" t="n"/>
      <c r="P19" s="10" t="n"/>
      <c r="Q19" s="10" t="inlineStr">
        <is>
          <t>Fiz o caldo dele até o fim.</t>
        </is>
      </c>
      <c r="R19" s="13" t="inlineStr">
        <is>
          <t>Ora, fiz o caldo dele até o fim</t>
        </is>
      </c>
      <c r="S19" s="13" t="inlineStr">
        <is>
          <t>Fiz o caldo… dele. Até o fim</t>
        </is>
      </c>
      <c r="T19" s="13" t="inlineStr">
        <is>
          <t>Fiz o caldo dele até o fim, sabe</t>
        </is>
      </c>
      <c r="U19" s="13" t="inlineStr">
        <is>
          <t>Fiz o caldo dele até o fim, com todo o respeito por ele</t>
        </is>
      </c>
      <c r="V19" s="13" t="inlineStr">
        <is>
          <t>Com essa fome, lembro… fiz o caldo dele até o fim</t>
        </is>
      </c>
      <c r="W19" s="13" t="inlineStr">
        <is>
          <t>Anoto: fiz o caldo dele até o fim</t>
        </is>
      </c>
      <c r="X19" s="10">
        <f>SUMPRODUCT(($G19:$P19&lt;&gt;"")*ISERROR(SEARCH($G19:$P19,R19)))+SUMPRODUCT(($G19:$P19&lt;&gt;"")*ISERROR(SEARCH($G19:$P19,S19)))+SUMPRODUCT(($G19:$P19&lt;&gt;"")*ISERROR(SEARCH($G19:$P19,T19)))+SUMPRODUCT(($G19:$P19&lt;&gt;"")*ISERROR(SEARCH($G19:$P19,U19)))+SUMPRODUCT(($G19:$P19&lt;&gt;"")*ISERROR(SEARCH($G19:$P19,V19)))+SUMPRODUCT(($G19:$P19&lt;&gt;"")*ISERROR(SEARCH($G19:$P19,W19)))</f>
        <v/>
      </c>
      <c r="Y19" s="10" t="inlineStr">
        <is>
          <t>O código tira o ponto final (replace(/\.$/,'')) e fecha com ", diz X." Por isso as versões não terminam em ponto.</t>
        </is>
      </c>
    </row>
    <row r="20" ht="46.25" customHeight="1" s="8">
      <c r="A20" s="10" t="inlineStr">
        <is>
          <t>c2-19</t>
        </is>
      </c>
      <c r="B20" s="10" t="inlineStr">
        <is>
          <t>lembranças do proprietário</t>
        </is>
      </c>
      <c r="C20" s="10" t="inlineStr">
        <is>
          <t>roteiro</t>
        </is>
      </c>
      <c r="D20" s="10" t="inlineStr">
        <is>
          <t>chefe_de_cozinha</t>
        </is>
      </c>
      <c r="E20" s="10" t="inlineStr">
        <is>
          <t>sala</t>
        </is>
      </c>
      <c r="F20" s="10" t="inlineStr">
        <is>
          <t>chefe presente, não é o impostor e sem M.chefeCaldo</t>
        </is>
      </c>
      <c r="G20" s="10" t="inlineStr">
        <is>
          <t>peixe de domingo</t>
        </is>
      </c>
      <c r="H20" s="10" t="inlineStr">
        <is>
          <t>começo do ano</t>
        </is>
      </c>
      <c r="I20" s="10" t="inlineStr">
        <is>
          <t>parei de vir</t>
        </is>
      </c>
      <c r="J20" s="10" t="n"/>
      <c r="K20" s="10" t="n"/>
      <c r="L20" s="10" t="n"/>
      <c r="M20" s="10" t="n"/>
      <c r="N20" s="10" t="n"/>
      <c r="O20" s="10" t="n"/>
      <c r="P20" s="10" t="n"/>
      <c r="Q20" s="10" t="inlineStr">
        <is>
          <t>Ele não abria mão do meu peixe de domingo. Pelo menos até o começo do ano, que foi quando parei de vir.</t>
        </is>
      </c>
      <c r="R20" s="13" t="inlineStr">
        <is>
          <t>Ele não abria mão do meu peixe de domingo! Pelo menos até o começo do ano, que foi quando parei de vir</t>
        </is>
      </c>
      <c r="S20" s="13" t="inlineStr">
        <is>
          <t>Ele não abria mão… do meu peixe de domingo. Até o começo do ano. Quando parei de vir</t>
        </is>
      </c>
      <c r="T20" s="13" t="inlineStr">
        <is>
          <t>Ele não abria mão do meu peixe de domingo… Pelo menos até o começo do ano, que foi quando parei de vir, sabe</t>
        </is>
      </c>
      <c r="U20" s="13" t="inlineStr">
        <is>
          <t>Ele não abria mão do meu peixe de domingo, e eu fazia com gosto. Até o começo do ano, que foi quando parei de vir</t>
        </is>
      </c>
      <c r="V20" s="13" t="inlineStr">
        <is>
          <t>Fome dá saudade, né… Ele não abria mão do meu peixe de domingo. Até o começo do ano, que foi quando parei de vir</t>
        </is>
      </c>
      <c r="W20" s="13" t="inlineStr">
        <is>
          <t>Consta: ele não abria mão do meu peixe de domingo. Até o começo do ano, data em que parei de vir</t>
        </is>
      </c>
      <c r="X20" s="10">
        <f>SUMPRODUCT(($G20:$P20&lt;&gt;"")*ISERROR(SEARCH($G20:$P20,R20)))+SUMPRODUCT(($G20:$P20&lt;&gt;"")*ISERROR(SEARCH($G20:$P20,S20)))+SUMPRODUCT(($G20:$P20&lt;&gt;"")*ISERROR(SEARCH($G20:$P20,T20)))+SUMPRODUCT(($G20:$P20&lt;&gt;"")*ISERROR(SEARCH($G20:$P20,U20)))+SUMPRODUCT(($G20:$P20&lt;&gt;"")*ISERROR(SEARCH($G20:$P20,V20)))+SUMPRODUCT(($G20:$P20&lt;&gt;"")*ISERROR(SEARCH($G20:$P20,W20)))</f>
        <v/>
      </c>
      <c r="Y20" s="10" t="inlineStr">
        <is>
          <t>Ponto final é cortado pelo código.</t>
        </is>
      </c>
    </row>
    <row r="21" ht="35.05" customHeight="1" s="8">
      <c r="A21" s="10" t="inlineStr">
        <is>
          <t>c2-20</t>
        </is>
      </c>
      <c r="B21" s="10" t="inlineStr">
        <is>
          <t>lembranças do proprietário</t>
        </is>
      </c>
      <c r="C21" s="10" t="inlineStr">
        <is>
          <t>roteiro</t>
        </is>
      </c>
      <c r="D21" s="10" t="inlineStr">
        <is>
          <t>herdeira</t>
        </is>
      </c>
      <c r="E21" s="10" t="inlineStr">
        <is>
          <t>sala</t>
        </is>
      </c>
      <c r="F21" s="10" t="inlineStr">
        <is>
          <t>a Herdeira não é a impostora da partida</t>
        </is>
      </c>
      <c r="G21" s="10" t="inlineStr">
        <is>
          <t>meu pai detestava bicho</t>
        </is>
      </c>
      <c r="H21" s="10" t="inlineStr">
        <is>
          <t>dentro de casa</t>
        </is>
      </c>
      <c r="I21" s="10" t="inlineStr">
        <is>
          <t>passarinho</t>
        </is>
      </c>
      <c r="J21" s="10" t="n"/>
      <c r="K21" s="10" t="n"/>
      <c r="L21" s="10" t="n"/>
      <c r="M21" s="10" t="n"/>
      <c r="N21" s="10" t="n"/>
      <c r="O21" s="10" t="n"/>
      <c r="P21" s="10" t="n"/>
      <c r="Q21" s="10" t="inlineStr">
        <is>
          <t>Meu pai detestava bicho dentro de casa. Nunca deixou eu ter nem um passarinho.</t>
        </is>
      </c>
      <c r="R21" s="13" t="inlineStr">
        <is>
          <t>Meu pai detestava bicho dentro de casa! Nunca deixou eu ter nem um passarinho, imagina</t>
        </is>
      </c>
      <c r="S21" s="13" t="inlineStr">
        <is>
          <t>Meu pai detestava bicho… dentro de casa. Nunca deixou. Nem um passarinho</t>
        </is>
      </c>
      <c r="T21" s="13" t="inlineStr">
        <is>
          <t>Meu pai detestava bicho dentro de casa. Nunca deixou eu ter nem um passarinho, acreditam?</t>
        </is>
      </c>
      <c r="U21" s="13" t="inlineStr">
        <is>
          <t>Meu pai detestava bicho dentro de casa, e era a casa dele. Nunca deixou eu ter nem um passarinho</t>
        </is>
      </c>
      <c r="V21" s="13" t="inlineStr">
        <is>
          <t>Lembro da chuva batendo, da casa fria… Meu pai detestava bicho dentro de casa. Nem um passarinho ele deixou</t>
        </is>
      </c>
      <c r="W21" s="13" t="inlineStr">
        <is>
          <t>Para a ata: meu pai detestava bicho dentro de casa. Nunca deixou eu ter nem um passarinho</t>
        </is>
      </c>
      <c r="X21" s="10">
        <f>SUMPRODUCT(($G21:$P21&lt;&gt;"")*ISERROR(SEARCH($G21:$P21,R21)))+SUMPRODUCT(($G21:$P21&lt;&gt;"")*ISERROR(SEARCH($G21:$P21,S21)))+SUMPRODUCT(($G21:$P21&lt;&gt;"")*ISERROR(SEARCH($G21:$P21,T21)))+SUMPRODUCT(($G21:$P21&lt;&gt;"")*ISERROR(SEARCH($G21:$P21,U21)))+SUMPRODUCT(($G21:$P21&lt;&gt;"")*ISERROR(SEARCH($G21:$P21,V21)))+SUMPRODUCT(($G21:$P21&lt;&gt;"")*ISERROR(SEARCH($G21:$P21,W21)))</f>
        <v/>
      </c>
      <c r="Y21" s="10" t="inlineStr">
        <is>
          <t>Ponto final é cortado pelo código.</t>
        </is>
      </c>
    </row>
    <row r="22" ht="46.25" customHeight="1" s="8">
      <c r="A22" s="10" t="inlineStr">
        <is>
          <t>c2-21</t>
        </is>
      </c>
      <c r="B22" s="10" t="inlineStr">
        <is>
          <t>lembranças do proprietário</t>
        </is>
      </c>
      <c r="C22" s="10" t="inlineStr">
        <is>
          <t>roteiro</t>
        </is>
      </c>
      <c r="D22" s="10" t="inlineStr">
        <is>
          <t>eletricista</t>
        </is>
      </c>
      <c r="E22" s="10" t="inlineStr">
        <is>
          <t>sala</t>
        </is>
      </c>
      <c r="F22" s="10" t="inlineStr">
        <is>
          <t>eletricista presente e não é o impostor</t>
        </is>
      </c>
      <c r="G22" s="10" t="inlineStr">
        <is>
          <t>março</t>
        </is>
      </c>
      <c r="H22" s="10" t="inlineStr">
        <is>
          <t>tomada</t>
        </is>
      </c>
      <c r="I22" s="10" t="inlineStr">
        <is>
          <t>quarto dos fundos</t>
        </is>
      </c>
      <c r="J22" s="10" t="inlineStr">
        <is>
          <t>por telefone</t>
        </is>
      </c>
      <c r="K22" s="10" t="inlineStr">
        <is>
          <t>para quê</t>
        </is>
      </c>
      <c r="L22" s="10" t="n"/>
      <c r="M22" s="10" t="n"/>
      <c r="N22" s="10" t="n"/>
      <c r="O22" s="10" t="n"/>
      <c r="P22" s="10" t="n"/>
      <c r="Q22" s="10" t="inlineStr">
        <is>
          <t>Eu vim em março ligar uma tomada no quarto dos fundos. Ele pediu por telefone. Não perguntei para quê.</t>
        </is>
      </c>
      <c r="R22" s="13" t="inlineStr">
        <is>
          <t>Eu vim em março ligar uma tomada no quarto dos fundos! Ele pediu por telefone. Não perguntei para quê, não é da minha conta</t>
        </is>
      </c>
      <c r="S22" s="13" t="inlineStr">
        <is>
          <t>Vim em março… uma tomada. Quarto dos fundos. Ele pediu por telefone. Não perguntei para quê</t>
        </is>
      </c>
      <c r="T22" s="13" t="inlineStr">
        <is>
          <t>Eu vim em março ligar uma tomada no quarto dos fundos. Ele pediu por telefone. Não perguntei para quê… devia?</t>
        </is>
      </c>
      <c r="U22" s="13" t="inlineStr">
        <is>
          <t>Eu vim em março ligar uma tomada no quarto dos fundos. Ele pediu por telefone, e pedido dele eu fazia. Não perguntei para quê</t>
        </is>
      </c>
      <c r="V22" s="13" t="inlineStr">
        <is>
          <t>A estrada estava ruim, lembro… Eu vim em março ligar uma tomada no quarto dos fundos. Ele pediu por telefone. Não perguntei para quê</t>
        </is>
      </c>
      <c r="W22" s="13" t="inlineStr">
        <is>
          <t>Serviço de março: tomada no quarto dos fundos. Pedido por telefone. Não perguntei para quê</t>
        </is>
      </c>
      <c r="X22" s="10">
        <f>SUMPRODUCT(($G22:$P22&lt;&gt;"")*ISERROR(SEARCH($G22:$P22,R22)))+SUMPRODUCT(($G22:$P22&lt;&gt;"")*ISERROR(SEARCH($G22:$P22,S22)))+SUMPRODUCT(($G22:$P22&lt;&gt;"")*ISERROR(SEARCH($G22:$P22,T22)))+SUMPRODUCT(($G22:$P22&lt;&gt;"")*ISERROR(SEARCH($G22:$P22,U22)))+SUMPRODUCT(($G22:$P22&lt;&gt;"")*ISERROR(SEARCH($G22:$P22,V22)))+SUMPRODUCT(($G22:$P22&lt;&gt;"")*ISERROR(SEARCH($G22:$P22,W22)))</f>
        <v/>
      </c>
      <c r="Y22" s="10" t="inlineStr">
        <is>
          <t>Ponto final é cortado pelo código.</t>
        </is>
      </c>
    </row>
    <row r="23" ht="23.85" customHeight="1" s="8">
      <c r="A23" s="10" t="inlineStr">
        <is>
          <t>c2-22</t>
        </is>
      </c>
      <c r="B23" s="10" t="inlineStr">
        <is>
          <t>o recorte e o laudo</t>
        </is>
      </c>
      <c r="C23" s="10" t="inlineStr">
        <is>
          <t>roteiro</t>
        </is>
      </c>
      <c r="D23" s="10" t="inlineStr">
        <is>
          <t>jornalista</t>
        </is>
      </c>
      <c r="E23" s="10" t="inlineStr">
        <is>
          <t>sala</t>
        </is>
      </c>
      <c r="F23" s="10" t="n"/>
      <c r="G23" s="10" t="inlineStr">
        <is>
          <t>aqui diz</t>
        </is>
      </c>
      <c r="H23" s="10" t="inlineStr">
        <is>
          <t>sexta</t>
        </is>
      </c>
      <c r="I23" s="10" t="n"/>
      <c r="J23" s="10" t="n"/>
      <c r="K23" s="10" t="n"/>
      <c r="L23" s="10" t="n"/>
      <c r="M23" s="10" t="n"/>
      <c r="N23" s="10" t="n"/>
      <c r="O23" s="10" t="n"/>
      <c r="P23" s="10" t="n"/>
      <c r="Q23" s="10" t="inlineStr">
        <is>
          <t>Aqui diz que ele morreu numa sexta.</t>
        </is>
      </c>
      <c r="R23" s="13" t="inlineStr">
        <is>
          <t>Aqui diz que ele morreu numa sexta! Está escrito.</t>
        </is>
      </c>
      <c r="S23" s="13" t="inlineStr">
        <is>
          <t>Aqui diz… que ele morreu numa sexta.</t>
        </is>
      </c>
      <c r="T23" s="13" t="inlineStr">
        <is>
          <t>Aqui diz que ele morreu numa sexta… isso está certo?</t>
        </is>
      </c>
      <c r="U23" s="13" t="inlineStr">
        <is>
          <t>Aqui diz que ele morreu numa sexta.</t>
        </is>
      </c>
      <c r="V23" s="13" t="inlineStr">
        <is>
          <t>Papel velho, úmido… Aqui diz que ele morreu numa sexta.</t>
        </is>
      </c>
      <c r="W23" s="13" t="inlineStr">
        <is>
          <t>Aqui diz: óbito numa sexta.</t>
        </is>
      </c>
      <c r="X23" s="10">
        <f>SUMPRODUCT(($G23:$P23&lt;&gt;"")*ISERROR(SEARCH($G23:$P23,R23)))+SUMPRODUCT(($G23:$P23&lt;&gt;"")*ISERROR(SEARCH($G23:$P23,S23)))+SUMPRODUCT(($G23:$P23&lt;&gt;"")*ISERROR(SEARCH($G23:$P23,T23)))+SUMPRODUCT(($G23:$P23&lt;&gt;"")*ISERROR(SEARCH($G23:$P23,U23)))+SUMPRODUCT(($G23:$P23&lt;&gt;"")*ISERROR(SEARCH($G23:$P23,V23)))+SUMPRODUCT(($G23:$P23&lt;&gt;"")*ISERROR(SEARCH($G23:$P23,W23)))</f>
        <v/>
      </c>
      <c r="Y23" s="10" t="inlineStr">
        <is>
          <t>Enquadre: "X mostrou um recorte dobrado".</t>
        </is>
      </c>
    </row>
    <row r="24" ht="57.45" customHeight="1" s="8">
      <c r="A24" s="10" t="inlineStr">
        <is>
          <t>c2-23</t>
        </is>
      </c>
      <c r="B24" s="10" t="inlineStr">
        <is>
          <t>o recorte e o laudo</t>
        </is>
      </c>
      <c r="C24" s="10" t="inlineStr">
        <is>
          <t>roteiro</t>
        </is>
      </c>
      <c r="D24" s="10" t="inlineStr">
        <is>
          <t>investigador</t>
        </is>
      </c>
      <c r="E24" s="10" t="inlineStr">
        <is>
          <t>jornalista</t>
        </is>
      </c>
      <c r="F24" s="10" t="inlineStr">
        <is>
          <t>só quando o jogador não é o Investigador (se for, "você responde")</t>
        </is>
      </c>
      <c r="G24" s="10" t="inlineStr">
        <is>
          <t>laudo</t>
        </is>
      </c>
      <c r="H24" s="10" t="inlineStr">
        <is>
          <t>dia</t>
        </is>
      </c>
      <c r="I24" s="10" t="inlineStr">
        <is>
          <t>hora indeterminada</t>
        </is>
      </c>
      <c r="J24" s="10" t="inlineStr">
        <is>
          <t>trinta e seis e sessenta horas</t>
        </is>
      </c>
      <c r="K24" s="10" t="inlineStr">
        <is>
          <t>exame</t>
        </is>
      </c>
      <c r="L24" s="10" t="n"/>
      <c r="M24" s="10" t="n"/>
      <c r="N24" s="10" t="n"/>
      <c r="O24" s="10" t="n"/>
      <c r="P24" s="10" t="n"/>
      <c r="Q24" s="10" t="inlineStr">
        <is>
          <t>O laudo não diz dia. Diz hora indeterminada. Entre trinta e seis e sessenta horas antes do exame.</t>
        </is>
      </c>
      <c r="R24" s="13" t="inlineStr">
        <is>
          <t>O laudo não diz dia! Diz hora indeterminada. Entre trinta e seis e sessenta horas antes do exame. Está aí, para quem souber ler.</t>
        </is>
      </c>
      <c r="S24" s="13" t="inlineStr">
        <is>
          <t>O laudo… não diz dia. Hora indeterminada. Entre trinta e seis e sessenta horas… antes do exame.</t>
        </is>
      </c>
      <c r="T24" s="13" t="inlineStr">
        <is>
          <t>O laudo não diz dia… Diz hora indeterminada, entre trinta e seis e sessenta horas antes do exame. Entendi certo?</t>
        </is>
      </c>
      <c r="U24" s="13" t="inlineStr">
        <is>
          <t>O laudo não diz dia. Diz hora indeterminada. Entre trinta e seis e sessenta horas antes do exame.</t>
        </is>
      </c>
      <c r="V24" s="13" t="inlineStr">
        <is>
          <t>Papel e mais papel, que cansaço… O laudo não diz dia. Diz hora indeterminada. Entre trinta e seis e sessenta horas antes do exame.</t>
        </is>
      </c>
      <c r="W24" s="13" t="inlineStr">
        <is>
          <t>O laudo não diz dia. Consta hora indeterminada: entre trinta e seis e sessenta horas antes do exame.</t>
        </is>
      </c>
      <c r="X24" s="10">
        <f>SUMPRODUCT(($G24:$P24&lt;&gt;"")*ISERROR(SEARCH($G24:$P24,R24)))+SUMPRODUCT(($G24:$P24&lt;&gt;"")*ISERROR(SEARCH($G24:$P24,S24)))+SUMPRODUCT(($G24:$P24&lt;&gt;"")*ISERROR(SEARCH($G24:$P24,T24)))+SUMPRODUCT(($G24:$P24&lt;&gt;"")*ISERROR(SEARCH($G24:$P24,U24)))+SUMPRODUCT(($G24:$P24&lt;&gt;"")*ISERROR(SEARCH($G24:$P24,V24)))+SUMPRODUCT(($G24:$P24&lt;&gt;"")*ISERROR(SEARCH($G24:$P24,W24)))</f>
        <v/>
      </c>
      <c r="Y24" s="10" t="inlineStr">
        <is>
          <t>Junta as duas falas citadas seguidas do Investigador.</t>
        </is>
      </c>
    </row>
    <row r="25" ht="46.25" customHeight="1" s="8">
      <c r="A25" s="10" t="inlineStr">
        <is>
          <t>c2-23m</t>
        </is>
      </c>
      <c r="B25" s="10" t="inlineStr">
        <is>
          <t>o recorte e o laudo (com o Médico na casa)</t>
        </is>
      </c>
      <c r="C25" s="10" t="inlineStr">
        <is>
          <t>roteiro</t>
        </is>
      </c>
      <c r="D25" s="10" t="inlineStr">
        <is>
          <t>medico</t>
        </is>
      </c>
      <c r="E25" s="10" t="inlineStr">
        <is>
          <t>jornalista</t>
        </is>
      </c>
      <c r="F25" s="10" t="inlineStr">
        <is>
          <t>Médico na casa (substitui c2-23); se for o jogador, "você responde"</t>
        </is>
      </c>
      <c r="G25" s="10" t="inlineStr">
        <is>
          <t>laudo</t>
        </is>
      </c>
      <c r="H25" s="10" t="inlineStr">
        <is>
          <t>dia</t>
        </is>
      </c>
      <c r="I25" s="10" t="inlineStr">
        <is>
          <t>assinei</t>
        </is>
      </c>
      <c r="J25" s="10" t="inlineStr">
        <is>
          <t>hora indeterminada</t>
        </is>
      </c>
      <c r="K25" s="10" t="inlineStr">
        <is>
          <t>trinta e seis e sessenta horas</t>
        </is>
      </c>
      <c r="L25" s="10" t="inlineStr">
        <is>
          <t>exame</t>
        </is>
      </c>
      <c r="M25" s="10" t="n"/>
      <c r="N25" s="10" t="n"/>
      <c r="O25" s="10" t="n"/>
      <c r="P25" s="10" t="n"/>
      <c r="Q25" s="10" t="inlineStr">
        <is>
          <t>O laudo não diz dia. Fui eu que assinei. Diz hora indeterminada. Entre trinta e seis e sessenta horas antes do exame.</t>
        </is>
      </c>
      <c r="R25" s="13" t="inlineStr">
        <is>
          <t>O laudo não diz dia! Fui eu que assinei. Diz hora indeterminada. Entre trinta e seis e sessenta horas antes do exame. Está aí, para quem souber ler.</t>
        </is>
      </c>
      <c r="S25" s="13" t="inlineStr">
        <is>
          <t>O laudo… não diz dia. Fui eu que assinei. Hora indeterminada. Entre trinta e seis e sessenta horas… antes do exame.</t>
        </is>
      </c>
      <c r="T25" s="13" t="inlineStr">
        <is>
          <t>O laudo não diz dia… Fui eu que assinei. Diz hora indeterminada, entre trinta e seis e sessenta horas antes do exame. Ficou claro?</t>
        </is>
      </c>
      <c r="U25" s="13" t="inlineStr">
        <is>
          <t>O laudo não diz dia. Fui eu que assinei. Diz hora indeterminada. Entre trinta e seis e sessenta horas antes do exame.</t>
        </is>
      </c>
      <c r="V25" s="13" t="inlineStr">
        <is>
          <t>Papel e mais papel, que cansaço… O laudo não diz dia. Fui eu que assinei. Diz hora indeterminada. Entre trinta e seis e sessenta horas antes do exame.</t>
        </is>
      </c>
      <c r="W25" s="13" t="inlineStr">
        <is>
          <t>O laudo não diz dia. Eu assinei. Consta hora indeterminada: entre trinta e seis e sessenta horas antes do exame.</t>
        </is>
      </c>
      <c r="X25" s="10">
        <f>SUMPRODUCT(($G25:$P25&lt;&gt;"")*ISERROR(SEARCH($G25:$P25,R25)))+SUMPRODUCT(($G25:$P25&lt;&gt;"")*ISERROR(SEARCH($G25:$P25,S25)))+SUMPRODUCT(($G25:$P25&lt;&gt;"")*ISERROR(SEARCH($G25:$P25,T25)))+SUMPRODUCT(($G25:$P25&lt;&gt;"")*ISERROR(SEARCH($G25:$P25,U25)))+SUMPRODUCT(($G25:$P25&lt;&gt;"")*ISERROR(SEARCH($G25:$P25,V25)))+SUMPRODUCT(($G25:$P25&lt;&gt;"")*ISERROR(SEARCH($G25:$P25,W25)))</f>
        <v/>
      </c>
      <c r="Y25" s="10" t="inlineStr">
        <is>
          <t>Médico (02/10): 13º personagem, só com 12 humanos, então é sempre humano; os tipos servem ao narrador.</t>
        </is>
      </c>
    </row>
    <row r="26" ht="35.05" customHeight="1" s="8">
      <c r="A26" s="10" t="inlineStr">
        <is>
          <t>c2-24</t>
        </is>
      </c>
      <c r="B26" s="10" t="inlineStr">
        <is>
          <t>o recorte e o laudo</t>
        </is>
      </c>
      <c r="C26" s="10" t="inlineStr">
        <is>
          <t>roteiro</t>
        </is>
      </c>
      <c r="D26" s="10" t="inlineStr">
        <is>
          <t>jornalista</t>
        </is>
      </c>
      <c r="E26" s="10" t="inlineStr">
        <is>
          <t>investigador</t>
        </is>
      </c>
      <c r="F26" s="10" t="n"/>
      <c r="G26" s="10" t="inlineStr">
        <is>
          <t>achou o corpo</t>
        </is>
      </c>
      <c r="H26" s="10" t="inlineStr">
        <is>
          <t>dois dias depois</t>
        </is>
      </c>
      <c r="I26" s="10" t="n"/>
      <c r="J26" s="10" t="n"/>
      <c r="K26" s="10" t="n"/>
      <c r="L26" s="10" t="n"/>
      <c r="M26" s="10" t="n"/>
      <c r="N26" s="10" t="n"/>
      <c r="O26" s="10" t="n"/>
      <c r="P26" s="10" t="n"/>
      <c r="Q26" s="10" t="inlineStr">
        <is>
          <t>Então alguém achou o corpo dois dias depois.</t>
        </is>
      </c>
      <c r="R26" s="13" t="inlineStr">
        <is>
          <t>Então alguém achou o corpo dois dias depois! Dois dias.</t>
        </is>
      </c>
      <c r="S26" s="13" t="inlineStr">
        <is>
          <t>Então… alguém achou o corpo. Dois dias depois.</t>
        </is>
      </c>
      <c r="T26" s="13" t="inlineStr">
        <is>
          <t>Então alguém achou o corpo dois dias depois? É isso?</t>
        </is>
      </c>
      <c r="U26" s="13" t="inlineStr">
        <is>
          <t>Então alguém achou o corpo dois dias depois.</t>
        </is>
      </c>
      <c r="V26" s="13" t="inlineStr">
        <is>
          <t>Hum… então alguém achou o corpo dois dias depois.</t>
        </is>
      </c>
      <c r="W26" s="13" t="inlineStr">
        <is>
          <t>Então, para a ata: alguém achou o corpo dois dias depois.</t>
        </is>
      </c>
      <c r="X26" s="10">
        <f>SUMPRODUCT(($G26:$P26&lt;&gt;"")*ISERROR(SEARCH($G26:$P26,R26)))+SUMPRODUCT(($G26:$P26&lt;&gt;"")*ISERROR(SEARCH($G26:$P26,S26)))+SUMPRODUCT(($G26:$P26&lt;&gt;"")*ISERROR(SEARCH($G26:$P26,T26)))+SUMPRODUCT(($G26:$P26&lt;&gt;"")*ISERROR(SEARCH($G26:$P26,U26)))+SUMPRODUCT(($G26:$P26&lt;&gt;"")*ISERROR(SEARCH($G26:$P26,V26)))+SUMPRODUCT(($G26:$P26&lt;&gt;"")*ISERROR(SEARCH($G26:$P26,W26)))</f>
        <v/>
      </c>
      <c r="Y26" s="10" t="inlineStr">
        <is>
          <t xml:space="preserve">Falante não marcado na narração; atribuído ao Jornalista pela alternância do diálogo. </t>
        </is>
      </c>
    </row>
    <row r="27" ht="23.85" customHeight="1" s="8">
      <c r="A27" s="10" t="inlineStr">
        <is>
          <t>c2-25</t>
        </is>
      </c>
      <c r="B27" s="10" t="inlineStr">
        <is>
          <t>o recorte e o laudo</t>
        </is>
      </c>
      <c r="C27" s="10" t="inlineStr">
        <is>
          <t>roteiro</t>
        </is>
      </c>
      <c r="D27" s="10" t="inlineStr">
        <is>
          <t>investigador</t>
        </is>
      </c>
      <c r="E27" s="10" t="inlineStr">
        <is>
          <t>jornalista</t>
        </is>
      </c>
      <c r="F27" s="10" t="n"/>
      <c r="G27" s="10" t="inlineStr">
        <is>
          <t>avisou</t>
        </is>
      </c>
      <c r="H27" s="10" t="inlineStr">
        <is>
          <t>dois dias depois</t>
        </is>
      </c>
      <c r="I27" s="10" t="n"/>
      <c r="J27" s="10" t="n"/>
      <c r="K27" s="10" t="n"/>
      <c r="L27" s="10" t="n"/>
      <c r="M27" s="10" t="n"/>
      <c r="N27" s="10" t="n"/>
      <c r="O27" s="10" t="n"/>
      <c r="P27" s="10" t="n"/>
      <c r="Q27" s="10" t="inlineStr">
        <is>
          <t>Ou alguém avisou dois dias depois.</t>
        </is>
      </c>
      <c r="R27" s="13" t="inlineStr">
        <is>
          <t>Ou alguém avisou dois dias depois! Já pensou nisso?</t>
        </is>
      </c>
      <c r="S27" s="13" t="inlineStr">
        <is>
          <t>Ou… alguém avisou. Dois dias depois.</t>
        </is>
      </c>
      <c r="T27" s="13" t="inlineStr">
        <is>
          <t>Ou alguém avisou dois dias depois… também pode ser, não pode?</t>
        </is>
      </c>
      <c r="U27" s="13" t="inlineStr">
        <is>
          <t>Ou alguém avisou dois dias depois.</t>
        </is>
      </c>
      <c r="V27" s="13" t="inlineStr">
        <is>
          <t>Ou, quem sabe… alguém avisou dois dias depois.</t>
        </is>
      </c>
      <c r="W27" s="13" t="inlineStr">
        <is>
          <t>Ou: alguém avisou dois dias depois.</t>
        </is>
      </c>
      <c r="X27" s="10">
        <f>SUMPRODUCT(($G27:$P27&lt;&gt;"")*ISERROR(SEARCH($G27:$P27,R27)))+SUMPRODUCT(($G27:$P27&lt;&gt;"")*ISERROR(SEARCH($G27:$P27,S27)))+SUMPRODUCT(($G27:$P27&lt;&gt;"")*ISERROR(SEARCH($G27:$P27,T27)))+SUMPRODUCT(($G27:$P27&lt;&gt;"")*ISERROR(SEARCH($G27:$P27,U27)))+SUMPRODUCT(($G27:$P27&lt;&gt;"")*ISERROR(SEARCH($G27:$P27,V27)))+SUMPRODUCT(($G27:$P27&lt;&gt;"")*ISERROR(SEARCH($G27:$P27,W27)))</f>
        <v/>
      </c>
      <c r="Y27" s="10" t="inlineStr">
        <is>
          <t>Falante não marcado; atribuído ao Investigador pela alternância.</t>
        </is>
      </c>
    </row>
    <row r="28" ht="35.05" customHeight="1" s="8">
      <c r="A28" s="10" t="inlineStr">
        <is>
          <t>c2-26</t>
        </is>
      </c>
      <c r="B28" s="10" t="inlineStr">
        <is>
          <t>a resposta da voz à frase dita baixinho</t>
        </is>
      </c>
      <c r="C28" s="10" t="inlineStr">
        <is>
          <t>roteiro</t>
        </is>
      </c>
      <c r="D28" s="10" t="inlineStr">
        <is>
          <t>voz(['policial','tabeliao','residente'],fq) ou policial</t>
        </is>
      </c>
      <c r="E28" s="10" t="inlineStr">
        <is>
          <t>sala</t>
        </is>
      </c>
      <c r="F28" s="10" t="n"/>
      <c r="G28" s="10" t="inlineStr">
        <is>
          <t>aqui dentro</t>
        </is>
      </c>
      <c r="H28" s="10" t="inlineStr">
        <is>
          <t>voz baixa</t>
        </is>
      </c>
      <c r="I28" s="10" t="inlineStr">
        <is>
          <t>escrevendo está ouvindo</t>
        </is>
      </c>
      <c r="J28" s="10" t="n"/>
      <c r="K28" s="10" t="n"/>
      <c r="L28" s="10" t="n"/>
      <c r="M28" s="10" t="n"/>
      <c r="N28" s="10" t="n"/>
      <c r="O28" s="10" t="n"/>
      <c r="P28" s="10" t="n"/>
      <c r="Q28" s="10" t="inlineStr">
        <is>
          <t>Isso foi dito aqui dentro. Em voz baixa. Quem está escrevendo está ouvindo.</t>
        </is>
      </c>
      <c r="R28" s="13" t="inlineStr">
        <is>
          <t>Isso foi dito aqui dentro! Em voz baixa. Quem está escrevendo está ouvindo, e ninguém percebeu?</t>
        </is>
      </c>
      <c r="S28" s="13" t="inlineStr">
        <is>
          <t>Isso foi dito… aqui dentro. Em voz baixa. Quem está escrevendo está ouvindo.</t>
        </is>
      </c>
      <c r="T28" s="13" t="inlineStr">
        <is>
          <t>Isso foi dito aqui dentro, não foi? Em voz baixa… quem está escrevendo está ouvindo?</t>
        </is>
      </c>
      <c r="U28" s="13" t="inlineStr">
        <is>
          <t>Isso foi dito aqui dentro. Em voz baixa. Quem está escrevendo está ouvindo.</t>
        </is>
      </c>
      <c r="V28" s="13" t="inlineStr">
        <is>
          <t>Isso foi dito aqui dentro. Com a chuva lá fora, em voz baixa… Quem está escrevendo está ouvindo.</t>
        </is>
      </c>
      <c r="W28" s="13" t="inlineStr">
        <is>
          <t>Registre: dito aqui dentro, em voz baixa. Quem está escrevendo está ouvindo.</t>
        </is>
      </c>
      <c r="X28" s="10">
        <f>SUMPRODUCT(($G28:$P28&lt;&gt;"")*ISERROR(SEARCH($G28:$P28,R28)))+SUMPRODUCT(($G28:$P28&lt;&gt;"")*ISERROR(SEARCH($G28:$P28,S28)))+SUMPRODUCT(($G28:$P28&lt;&gt;"")*ISERROR(SEARCH($G28:$P28,T28)))+SUMPRODUCT(($G28:$P28&lt;&gt;"")*ISERROR(SEARCH($G28:$P28,U28)))+SUMPRODUCT(($G28:$P28&lt;&gt;"")*ISERROR(SEARCH($G28:$P28,V28)))+SUMPRODUCT(($G28:$P28&lt;&gt;"")*ISERROR(SEARCH($G28:$P28,W28)))</f>
        <v/>
      </c>
      <c r="Y28" s="10" t="inlineStr">
        <is>
          <t>Enquadre: "disse X". Gênero variável.</t>
        </is>
      </c>
    </row>
    <row r="29" ht="35.05" customHeight="1" s="8">
      <c r="A29" s="10" t="inlineStr">
        <is>
          <t>c2-27</t>
        </is>
      </c>
      <c r="B29" s="10" t="inlineStr">
        <is>
          <t>a resposta da voz à frase dita baixinho</t>
        </is>
      </c>
      <c r="C29" s="10" t="inlineStr">
        <is>
          <t>roteiro</t>
        </is>
      </c>
      <c r="D29" s="10" t="inlineStr">
        <is>
          <t>voz(['jornalista','advogado','herdeira'],fq) ou jornalista</t>
        </is>
      </c>
      <c r="E29" s="10" t="inlineStr">
        <is>
          <t>sala</t>
        </is>
      </c>
      <c r="F29" s="10" t="n"/>
      <c r="G29" s="10" t="inlineStr">
        <is>
          <t>nesta sala</t>
        </is>
      </c>
      <c r="H29" s="10" t="n"/>
      <c r="I29" s="10" t="n"/>
      <c r="J29" s="10" t="n"/>
      <c r="K29" s="10" t="n"/>
      <c r="L29" s="10" t="n"/>
      <c r="M29" s="10" t="n"/>
      <c r="N29" s="10" t="n"/>
      <c r="O29" s="10" t="n"/>
      <c r="P29" s="10" t="n"/>
      <c r="Q29" s="10" t="inlineStr">
        <is>
          <t>Ou está nesta sala.</t>
        </is>
      </c>
      <c r="R29" s="13" t="inlineStr">
        <is>
          <t>Ou está nesta sala!</t>
        </is>
      </c>
      <c r="S29" s="13" t="inlineStr">
        <is>
          <t>Ou… está nesta sala.</t>
        </is>
      </c>
      <c r="T29" s="13" t="inlineStr">
        <is>
          <t>Ou está nesta sala…</t>
        </is>
      </c>
      <c r="U29" s="13" t="inlineStr">
        <is>
          <t>Ou está nesta sala.</t>
        </is>
      </c>
      <c r="V29" s="13" t="inlineStr">
        <is>
          <t>Hum… ou está nesta sala.</t>
        </is>
      </c>
      <c r="W29" s="13" t="inlineStr">
        <is>
          <t>Ou está nesta sala.</t>
        </is>
      </c>
      <c r="X29" s="10">
        <f>SUMPRODUCT(($G29:$P29&lt;&gt;"")*ISERROR(SEARCH($G29:$P29,R29)))+SUMPRODUCT(($G29:$P29&lt;&gt;"")*ISERROR(SEARCH($G29:$P29,S29)))+SUMPRODUCT(($G29:$P29&lt;&gt;"")*ISERROR(SEARCH($G29:$P29,T29)))+SUMPRODUCT(($G29:$P29&lt;&gt;"")*ISERROR(SEARCH($G29:$P29,U29)))+SUMPRODUCT(($G29:$P29&lt;&gt;"")*ISERROR(SEARCH($G29:$P29,V29)))+SUMPRODUCT(($G29:$P29&lt;&gt;"")*ISERROR(SEARCH($G29:$P29,W29)))</f>
        <v/>
      </c>
      <c r="Y29" s="10" t="inlineStr">
        <is>
          <t>Responde à fala anterior ("quem está escrevendo está ouvindo").</t>
        </is>
      </c>
    </row>
    <row r="30" ht="35.05" customHeight="1" s="8">
      <c r="A30" s="10" t="inlineStr">
        <is>
          <t>c2-28</t>
        </is>
      </c>
      <c r="B30" s="10" t="inlineStr">
        <is>
          <t>a resposta da voz à frase dita baixinho</t>
        </is>
      </c>
      <c r="C30" s="10" t="inlineStr">
        <is>
          <t>privado</t>
        </is>
      </c>
      <c r="D30" s="10" t="inlineStr">
        <is>
          <t>voz(['herdeira','observadora','residente'],fq)</t>
        </is>
      </c>
      <c r="E30" s="10" t="inlineStr">
        <is>
          <t>jogador no privado</t>
        </is>
      </c>
      <c r="F30" s="10" t="n"/>
      <c r="G30" s="10" t="inlineStr">
        <is>
          <t>resposta no grupo</t>
        </is>
      </c>
      <c r="H30" s="10" t="inlineStr">
        <is>
          <t>perto do corredor de serviço</t>
        </is>
      </c>
      <c r="I30" s="10" t="inlineStr">
        <is>
          <t>mais ninguém</t>
        </is>
      </c>
      <c r="J30" s="10" t="n"/>
      <c r="K30" s="10" t="n"/>
      <c r="L30" s="10" t="n"/>
      <c r="M30" s="10" t="n"/>
      <c r="N30" s="10" t="n"/>
      <c r="O30" s="10" t="n"/>
      <c r="P30" s="10" t="n"/>
      <c r="Q30" s="10" t="inlineStr">
        <is>
          <t>Você viu a resposta no grupo? Quem falou estava perto do corredor de serviço, e mais ninguém.</t>
        </is>
      </c>
      <c r="R30" s="13" t="inlineStr">
        <is>
          <t>Viu a resposta no grupo? Quem falou estava perto do corredor de serviço, e mais ninguém!</t>
        </is>
      </c>
      <c r="S30" s="13" t="inlineStr">
        <is>
          <t>A resposta no grupo… viu? Quem falou… perto do corredor de serviço. E mais ninguém.</t>
        </is>
      </c>
      <c r="T30" s="13" t="inlineStr">
        <is>
          <t>Você viu a resposta no grupo? Quem falou estava perto do corredor de serviço, e mais ninguém… alguém mais reparou?</t>
        </is>
      </c>
      <c r="U30" s="13" t="inlineStr">
        <is>
          <t>Você viu a resposta no grupo? Quem falou estava perto do corredor de serviço, e mais ninguém.</t>
        </is>
      </c>
      <c r="V30" s="13" t="inlineStr">
        <is>
          <t>Que noite comprida… Viu a resposta no grupo? Quem falou estava perto do corredor de serviço, e mais ninguém.</t>
        </is>
      </c>
      <c r="W30" s="13" t="inlineStr">
        <is>
          <t>Verificou a resposta no grupo? Consta: quem falou estava perto do corredor de serviço, e mais ninguém.</t>
        </is>
      </c>
      <c r="X30" s="10">
        <f>SUMPRODUCT(($G30:$P30&lt;&gt;"")*ISERROR(SEARCH($G30:$P30,R30)))+SUMPRODUCT(($G30:$P30&lt;&gt;"")*ISERROR(SEARCH($G30:$P30,S30)))+SUMPRODUCT(($G30:$P30&lt;&gt;"")*ISERROR(SEARCH($G30:$P30,T30)))+SUMPRODUCT(($G30:$P30&lt;&gt;"")*ISERROR(SEARCH($G30:$P30,U30)))+SUMPRODUCT(($G30:$P30&lt;&gt;"")*ISERROR(SEARCH($G30:$P30,V30)))+SUMPRODUCT(($G30:$P30&lt;&gt;"")*ISERROR(SEARCH($G30:$P30,W30)))</f>
        <v/>
      </c>
      <c r="Y30" s="10" t="n"/>
    </row>
    <row r="31" ht="35.05" customHeight="1" s="8">
      <c r="A31" s="10" t="inlineStr">
        <is>
          <t>c2-29</t>
        </is>
      </c>
      <c r="B31" s="10" t="inlineStr">
        <is>
          <t>réplica à chamada</t>
        </is>
      </c>
      <c r="C31" s="10" t="inlineStr">
        <is>
          <t>resposta</t>
        </is>
      </c>
      <c r="D31" s="10" t="inlineStr">
        <is>
          <t>voz([M.conduz,'policial','tabeliao'])</t>
        </is>
      </c>
      <c r="E31" s="10" t="inlineStr">
        <is>
          <t>grupo (jogador disse "Aqui.")</t>
        </is>
      </c>
      <c r="F31" s="10" t="n"/>
      <c r="G31" s="10" t="inlineStr">
        <is>
          <t>anotado</t>
        </is>
      </c>
      <c r="H31" s="10" t="n"/>
      <c r="I31" s="10" t="n"/>
      <c r="J31" s="10" t="n"/>
      <c r="K31" s="10" t="n"/>
      <c r="L31" s="10" t="n"/>
      <c r="M31" s="10" t="n"/>
      <c r="N31" s="10" t="n"/>
      <c r="O31" s="10" t="n"/>
      <c r="P31" s="10" t="n"/>
      <c r="Q31" s="10" t="inlineStr">
        <is>
          <t>Anotado.</t>
        </is>
      </c>
      <c r="R31" s="13" t="inlineStr">
        <is>
          <t>Anotado!</t>
        </is>
      </c>
      <c r="S31" s="13" t="inlineStr">
        <is>
          <t>…anotado.</t>
        </is>
      </c>
      <c r="T31" s="13" t="inlineStr">
        <is>
          <t>Anotado…</t>
        </is>
      </c>
      <c r="U31" s="13" t="inlineStr">
        <is>
          <t>Anotado.</t>
        </is>
      </c>
      <c r="V31" s="13" t="inlineStr">
        <is>
          <t>Bem… anotado.</t>
        </is>
      </c>
      <c r="W31" s="13" t="inlineStr">
        <is>
          <t>Anotado.</t>
        </is>
      </c>
      <c r="X31" s="10">
        <f>SUMPRODUCT(($G31:$P31&lt;&gt;"")*ISERROR(SEARCH($G31:$P31,R31)))+SUMPRODUCT(($G31:$P31&lt;&gt;"")*ISERROR(SEARCH($G31:$P31,S31)))+SUMPRODUCT(($G31:$P31&lt;&gt;"")*ISERROR(SEARCH($G31:$P31,T31)))+SUMPRODUCT(($G31:$P31&lt;&gt;"")*ISERROR(SEARCH($G31:$P31,U31)))+SUMPRODUCT(($G31:$P31&lt;&gt;"")*ISERROR(SEARCH($G31:$P31,V31)))+SUMPRODUCT(($G31:$P31&lt;&gt;"")*ISERROR(SEARCH($G31:$P31,W31)))</f>
        <v/>
      </c>
      <c r="Y31" s="10" t="n"/>
    </row>
    <row r="32" ht="35.05" customHeight="1" s="8">
      <c r="A32" s="10" t="inlineStr">
        <is>
          <t>c2-30</t>
        </is>
      </c>
      <c r="B32" s="10" t="inlineStr">
        <is>
          <t>o jogador pergunta quem é o número</t>
        </is>
      </c>
      <c r="C32" s="10" t="inlineStr">
        <is>
          <t>voz</t>
        </is>
      </c>
      <c r="D32" s="10" t="inlineStr">
        <is>
          <t>acompanhante</t>
        </is>
      </c>
      <c r="E32" s="10" t="inlineStr">
        <is>
          <t>grupo</t>
        </is>
      </c>
      <c r="F32" s="10" t="n"/>
      <c r="G32" s="10" t="inlineStr">
        <is>
          <t>quem</t>
        </is>
      </c>
      <c r="H32" s="10" t="n"/>
      <c r="I32" s="10" t="n"/>
      <c r="J32" s="10" t="n"/>
      <c r="K32" s="10" t="n"/>
      <c r="L32" s="10" t="n"/>
      <c r="M32" s="10" t="n"/>
      <c r="N32" s="10" t="n"/>
      <c r="O32" s="10" t="n"/>
      <c r="P32" s="10" t="n"/>
      <c r="Q32" s="10" t="inlineStr">
        <is>
          <t>guardia: Alguém que não quer problema. | explosiva: Não interessa. | ardilosa: Quem vocês acham? | quieta: ...</t>
        </is>
      </c>
      <c r="R32" s="13" t="inlineStr">
        <is>
          <t>Não interessa quem! Vocês que adivinhem.</t>
        </is>
      </c>
      <c r="S32" s="13" t="inlineStr">
        <is>
          <t>... quem? ... vocês dizem.</t>
        </is>
      </c>
      <c r="T32" s="13" t="inlineStr">
        <is>
          <t>Quem eu sou? Ah, não posso dizer, desculpa… quem vocês imaginam?</t>
        </is>
      </c>
      <c r="U32" s="13" t="inlineStr">
        <is>
          <t>Quem eu sou não importa. Digam vocês.</t>
        </is>
      </c>
      <c r="V32" s="13" t="inlineStr">
        <is>
          <t>Quem vocês acham?</t>
        </is>
      </c>
      <c r="W32" s="13" t="inlineStr">
        <is>
          <t>Quem: não informado. Hipóteses, por conta de vocês.</t>
        </is>
      </c>
      <c r="X32" s="10">
        <f>SUMPRODUCT(($G32:$P32&lt;&gt;"")*ISERROR(SEARCH($G32:$P32,R32)))+SUMPRODUCT(($G32:$P32&lt;&gt;"")*ISERROR(SEARCH($G32:$P32,S32)))+SUMPRODUCT(($G32:$P32&lt;&gt;"")*ISERROR(SEARCH($G32:$P32,T32)))+SUMPRODUCT(($G32:$P32&lt;&gt;"")*ISERROR(SEARCH($G32:$P32,U32)))+SUMPRODUCT(($G32:$P32&lt;&gt;"")*ISERROR(SEARCH($G32:$P32,V32)))+SUMPRODUCT(($G32:$P32&lt;&gt;"")*ISERROR(SEARCH($G32:$P32,W32)))</f>
        <v/>
      </c>
      <c r="Y32" s="10" t="inlineStr">
        <is>
          <t>Função: a voz se recusa a dizer quem é e devolve a pergunta. Evasivo = texto exato da ardilosa.</t>
        </is>
      </c>
    </row>
    <row r="33" ht="23.85" customHeight="1" s="8">
      <c r="A33" s="10" t="inlineStr">
        <is>
          <t>c2-31</t>
        </is>
      </c>
      <c r="B33" s="10" t="inlineStr">
        <is>
          <t>réplica sobre a luz</t>
        </is>
      </c>
      <c r="C33" s="10" t="inlineStr">
        <is>
          <t>resposta</t>
        </is>
      </c>
      <c r="D33" s="10" t="inlineStr">
        <is>
          <t>quem viu a luz (M.luz)</t>
        </is>
      </c>
      <c r="E33" s="10" t="inlineStr">
        <is>
          <t>grupo</t>
        </is>
      </c>
      <c r="F33" s="10" t="n"/>
      <c r="G33" s="10" t="inlineStr">
        <is>
          <t>eu vi</t>
        </is>
      </c>
      <c r="H33" s="10" t="inlineStr">
        <is>
          <t>azul</t>
        </is>
      </c>
      <c r="I33" s="10" t="inlineStr">
        <is>
          <t>tela de celular</t>
        </is>
      </c>
      <c r="J33" s="10" t="n"/>
      <c r="K33" s="10" t="n"/>
      <c r="L33" s="10" t="n"/>
      <c r="M33" s="10" t="n"/>
      <c r="N33" s="10" t="n"/>
      <c r="O33" s="10" t="n"/>
      <c r="P33" s="10" t="n"/>
      <c r="Q33" s="10" t="inlineStr">
        <is>
          <t>Eu vi. Azul, como tela de celular.</t>
        </is>
      </c>
      <c r="R33" s="13" t="inlineStr">
        <is>
          <t>Eu vi! Azul, como tela de celular.</t>
        </is>
      </c>
      <c r="S33" s="13" t="inlineStr">
        <is>
          <t>Eu vi… Azul. Como tela de celular.</t>
        </is>
      </c>
      <c r="T33" s="13" t="inlineStr">
        <is>
          <t>Eu vi! Azul, como tela de celular. Juro.</t>
        </is>
      </c>
      <c r="U33" s="13" t="inlineStr">
        <is>
          <t>Eu vi. Azul, como tela de celular.</t>
        </is>
      </c>
      <c r="V33" s="13" t="inlineStr">
        <is>
          <t>Era tarde, eu com fome… mas eu vi. Azul, como tela de celular.</t>
        </is>
      </c>
      <c r="W33" s="13" t="inlineStr">
        <is>
          <t>Eu vi. Cor: azul, como tela de celular.</t>
        </is>
      </c>
      <c r="X33" s="10">
        <f>SUMPRODUCT(($G33:$P33&lt;&gt;"")*ISERROR(SEARCH($G33:$P33,R33)))+SUMPRODUCT(($G33:$P33&lt;&gt;"")*ISERROR(SEARCH($G33:$P33,S33)))+SUMPRODUCT(($G33:$P33&lt;&gt;"")*ISERROR(SEARCH($G33:$P33,T33)))+SUMPRODUCT(($G33:$P33&lt;&gt;"")*ISERROR(SEARCH($G33:$P33,U33)))+SUMPRODUCT(($G33:$P33&lt;&gt;"")*ISERROR(SEARCH($G33:$P33,V33)))+SUMPRODUCT(($G33:$P33&lt;&gt;"")*ISERROR(SEARCH($G33:$P33,W33)))</f>
        <v/>
      </c>
      <c r="Y33" s="10" t="n"/>
    </row>
    <row r="34" ht="23.85" customHeight="1" s="8">
      <c r="A34" s="10" t="inlineStr">
        <is>
          <t>c2-32</t>
        </is>
      </c>
      <c r="B34" s="10" t="inlineStr">
        <is>
          <t>réplica: número novo do dono</t>
        </is>
      </c>
      <c r="C34" s="10" t="inlineStr">
        <is>
          <t>resposta</t>
        </is>
      </c>
      <c r="D34" s="10" t="inlineStr">
        <is>
          <t>voz(['herdeira','advogado'])</t>
        </is>
      </c>
      <c r="E34" s="10" t="inlineStr">
        <is>
          <t>grupo</t>
        </is>
      </c>
      <c r="F34" s="10" t="n"/>
      <c r="G34" s="10" t="inlineStr">
        <is>
          <t>se for</t>
        </is>
      </c>
      <c r="H34" s="10" t="inlineStr">
        <is>
          <t>celular dele</t>
        </is>
      </c>
      <c r="I34" s="10" t="n"/>
      <c r="J34" s="10" t="n"/>
      <c r="K34" s="10" t="n"/>
      <c r="L34" s="10" t="n"/>
      <c r="M34" s="10" t="n"/>
      <c r="N34" s="10" t="n"/>
      <c r="O34" s="10" t="n"/>
      <c r="P34" s="10" t="n"/>
      <c r="Q34" s="10" t="inlineStr">
        <is>
          <t>Se for, quem está com o celular dele?</t>
        </is>
      </c>
      <c r="R34" s="13" t="inlineStr">
        <is>
          <t>Se for, quem está com o celular dele? Ninguém pensou nisso?</t>
        </is>
      </c>
      <c r="S34" s="13" t="inlineStr">
        <is>
          <t>Se for… quem está com o celular dele?</t>
        </is>
      </c>
      <c r="T34" s="13" t="inlineStr">
        <is>
          <t>Se for, quem está com o celular dele? Alguém sabe?</t>
        </is>
      </c>
      <c r="U34" s="13" t="inlineStr">
        <is>
          <t>Se for, quem está com o celular dele? Isso era dele.</t>
        </is>
      </c>
      <c r="V34" s="13" t="inlineStr">
        <is>
          <t>Pode ser, tudo pode… Se for, quem está com o celular dele?</t>
        </is>
      </c>
      <c r="W34" s="13" t="inlineStr">
        <is>
          <t>Se for: quem está com o celular dele?</t>
        </is>
      </c>
      <c r="X34" s="10">
        <f>SUMPRODUCT(($G34:$P34&lt;&gt;"")*ISERROR(SEARCH($G34:$P34,R34)))+SUMPRODUCT(($G34:$P34&lt;&gt;"")*ISERROR(SEARCH($G34:$P34,S34)))+SUMPRODUCT(($G34:$P34&lt;&gt;"")*ISERROR(SEARCH($G34:$P34,T34)))+SUMPRODUCT(($G34:$P34&lt;&gt;"")*ISERROR(SEARCH($G34:$P34,U34)))+SUMPRODUCT(($G34:$P34&lt;&gt;"")*ISERROR(SEARCH($G34:$P34,V34)))+SUMPRODUCT(($G34:$P34&lt;&gt;"")*ISERROR(SEARCH($G34:$P34,W34)))</f>
        <v/>
      </c>
      <c r="Y34" s="10" t="n"/>
    </row>
    <row r="35" ht="23.85" customHeight="1" s="8">
      <c r="A35" s="10" t="inlineStr">
        <is>
          <t>c2-33</t>
        </is>
      </c>
      <c r="B35" s="10" t="inlineStr">
        <is>
          <t>réplica: quem estava perto do corredor</t>
        </is>
      </c>
      <c r="C35" s="10" t="inlineStr">
        <is>
          <t>resposta</t>
        </is>
      </c>
      <c r="D35" s="10" t="inlineStr">
        <is>
          <t>voz(['policial','residente','jornalista'],fq)</t>
        </is>
      </c>
      <c r="E35" s="10" t="inlineStr">
        <is>
          <t>grupo</t>
        </is>
      </c>
      <c r="F35" s="10" t="n"/>
      <c r="G35" s="10" t="inlineStr">
        <is>
          <t>mais de um</t>
        </is>
      </c>
      <c r="H35" s="10" t="inlineStr">
        <is>
          <t>não vi quem falou</t>
        </is>
      </c>
      <c r="I35" s="10" t="n"/>
      <c r="J35" s="10" t="n"/>
      <c r="K35" s="10" t="n"/>
      <c r="L35" s="10" t="n"/>
      <c r="M35" s="10" t="n"/>
      <c r="N35" s="10" t="n"/>
      <c r="O35" s="10" t="n"/>
      <c r="P35" s="10" t="n"/>
      <c r="Q35" s="10" t="inlineStr">
        <is>
          <t>Mais de um. Eu não vi quem falou.</t>
        </is>
      </c>
      <c r="R35" s="13" t="inlineStr">
        <is>
          <t>Mais de um! E eu não vi quem falou, pronto?</t>
        </is>
      </c>
      <c r="S35" s="13" t="inlineStr">
        <is>
          <t>Mais de um… Eu não vi quem falou.</t>
        </is>
      </c>
      <c r="T35" s="13" t="inlineStr">
        <is>
          <t>Mais de um… Eu não vi quem falou, desculpa.</t>
        </is>
      </c>
      <c r="U35" s="13" t="inlineStr">
        <is>
          <t>Mais de um. Eu não vi quem falou, e não aponto ninguém.</t>
        </is>
      </c>
      <c r="V35" s="13" t="inlineStr">
        <is>
          <t>Ah, gente indo e vindo… mais de um. Eu não vi quem falou.</t>
        </is>
      </c>
      <c r="W35" s="13" t="inlineStr">
        <is>
          <t>Mais de um. Registre: eu não vi quem falou.</t>
        </is>
      </c>
      <c r="X35" s="10">
        <f>SUMPRODUCT(($G35:$P35&lt;&gt;"")*ISERROR(SEARCH($G35:$P35,R35)))+SUMPRODUCT(($G35:$P35&lt;&gt;"")*ISERROR(SEARCH($G35:$P35,S35)))+SUMPRODUCT(($G35:$P35&lt;&gt;"")*ISERROR(SEARCH($G35:$P35,T35)))+SUMPRODUCT(($G35:$P35&lt;&gt;"")*ISERROR(SEARCH($G35:$P35,U35)))+SUMPRODUCT(($G35:$P35&lt;&gt;"")*ISERROR(SEARCH($G35:$P35,V35)))+SUMPRODUCT(($G35:$P35&lt;&gt;"")*ISERROR(SEARCH($G35:$P35,W35)))</f>
        <v/>
      </c>
      <c r="Y35" s="10" t="inlineStr">
        <is>
          <t>Gênero do falante variável; sem adjetivo de si.</t>
        </is>
      </c>
    </row>
    <row r="36" ht="23.85" customHeight="1" s="8">
      <c r="A36" s="10" t="inlineStr">
        <is>
          <t>c2-34</t>
        </is>
      </c>
      <c r="B36" s="10" t="inlineStr">
        <is>
          <t>réplica: ficar juntos</t>
        </is>
      </c>
      <c r="C36" s="10" t="inlineStr">
        <is>
          <t>resposta</t>
        </is>
      </c>
      <c r="D36" s="10" t="inlineStr">
        <is>
          <t>voz(['policial','herdeira'])</t>
        </is>
      </c>
      <c r="E36" s="10" t="inlineStr">
        <is>
          <t>grupo</t>
        </is>
      </c>
      <c r="F36" s="10" t="n"/>
      <c r="G36" s="10" t="inlineStr">
        <is>
          <t>concordo</t>
        </is>
      </c>
      <c r="H36" s="10" t="n"/>
      <c r="I36" s="10" t="n"/>
      <c r="J36" s="10" t="n"/>
      <c r="K36" s="10" t="n"/>
      <c r="L36" s="10" t="n"/>
      <c r="M36" s="10" t="n"/>
      <c r="N36" s="10" t="n"/>
      <c r="O36" s="10" t="n"/>
      <c r="P36" s="10" t="n"/>
      <c r="Q36" s="10" t="inlineStr">
        <is>
          <t>Concordo.</t>
        </is>
      </c>
      <c r="R36" s="13" t="inlineStr">
        <is>
          <t>Concordo!</t>
        </is>
      </c>
      <c r="S36" s="13" t="inlineStr">
        <is>
          <t>…concordo.</t>
        </is>
      </c>
      <c r="T36" s="13" t="inlineStr">
        <is>
          <t>Concordo…</t>
        </is>
      </c>
      <c r="U36" s="13" t="inlineStr">
        <is>
          <t>Concordo.</t>
        </is>
      </c>
      <c r="V36" s="13" t="inlineStr">
        <is>
          <t>Ah… concordo.</t>
        </is>
      </c>
      <c r="W36" s="13" t="inlineStr">
        <is>
          <t>Concordo.</t>
        </is>
      </c>
      <c r="X36" s="10">
        <f>SUMPRODUCT(($G36:$P36&lt;&gt;"")*ISERROR(SEARCH($G36:$P36,R36)))+SUMPRODUCT(($G36:$P36&lt;&gt;"")*ISERROR(SEARCH($G36:$P36,S36)))+SUMPRODUCT(($G36:$P36&lt;&gt;"")*ISERROR(SEARCH($G36:$P36,T36)))+SUMPRODUCT(($G36:$P36&lt;&gt;"")*ISERROR(SEARCH($G36:$P36,U36)))+SUMPRODUCT(($G36:$P36&lt;&gt;"")*ISERROR(SEARCH($G36:$P36,V36)))+SUMPRODUCT(($G36:$P36&lt;&gt;"")*ISERROR(SEARCH($G36:$P36,W36)))</f>
        <v/>
      </c>
      <c r="Y36" s="10" t="n"/>
    </row>
    <row r="37" ht="23.85" customHeight="1" s="8">
      <c r="A37" s="10" t="inlineStr">
        <is>
          <t>c2-35</t>
        </is>
      </c>
      <c r="B37" s="10" t="inlineStr">
        <is>
          <t>réplica no privado: onde está</t>
        </is>
      </c>
      <c r="C37" s="10" t="inlineStr">
        <is>
          <t>resposta</t>
        </is>
      </c>
      <c r="D37" s="10" t="inlineStr">
        <is>
          <t>o personagem do privado</t>
        </is>
      </c>
      <c r="E37" s="10" t="inlineStr">
        <is>
          <t>jogador no privado</t>
        </is>
      </c>
      <c r="F37" s="10" t="n"/>
      <c r="G37" s="10" t="inlineStr">
        <is>
          <t>na sala</t>
        </is>
      </c>
      <c r="H37" s="10" t="inlineStr">
        <is>
          <t>todo mundo</t>
        </is>
      </c>
      <c r="I37" s="10" t="n"/>
      <c r="J37" s="10" t="n"/>
      <c r="K37" s="10" t="n"/>
      <c r="L37" s="10" t="n"/>
      <c r="M37" s="10" t="n"/>
      <c r="N37" s="10" t="n"/>
      <c r="O37" s="10" t="n"/>
      <c r="P37" s="10" t="n"/>
      <c r="Q37" s="10" t="inlineStr">
        <is>
          <t>Na sala, com todo mundo.</t>
        </is>
      </c>
      <c r="R37" s="13" t="inlineStr">
        <is>
          <t>Na sala, com todo mundo! Onde mais?</t>
        </is>
      </c>
      <c r="S37" s="13" t="inlineStr">
        <is>
          <t>Na sala… com todo mundo.</t>
        </is>
      </c>
      <c r="T37" s="13" t="inlineStr">
        <is>
          <t>Na sala, com todo mundo… Por quê?</t>
        </is>
      </c>
      <c r="U37" s="13" t="inlineStr">
        <is>
          <t>Na sala, com todo mundo.</t>
        </is>
      </c>
      <c r="V37" s="13" t="inlineStr">
        <is>
          <t>Ah, tudo úmido por aqui… na sala, com todo mundo.</t>
        </is>
      </c>
      <c r="W37" s="13" t="inlineStr">
        <is>
          <t>Localização: na sala, com todo mundo.</t>
        </is>
      </c>
      <c r="X37" s="10">
        <f>SUMPRODUCT(($G37:$P37&lt;&gt;"")*ISERROR(SEARCH($G37:$P37,R37)))+SUMPRODUCT(($G37:$P37&lt;&gt;"")*ISERROR(SEARCH($G37:$P37,S37)))+SUMPRODUCT(($G37:$P37&lt;&gt;"")*ISERROR(SEARCH($G37:$P37,T37)))+SUMPRODUCT(($G37:$P37&lt;&gt;"")*ISERROR(SEARCH($G37:$P37,U37)))+SUMPRODUCT(($G37:$P37&lt;&gt;"")*ISERROR(SEARCH($G37:$P37,V37)))+SUMPRODUCT(($G37:$P37&lt;&gt;"")*ISERROR(SEARCH($G37:$P37,W37)))</f>
        <v/>
      </c>
      <c r="Y37" s="10" t="inlineStr">
        <is>
          <t>Falante qualquer (privado), gênero variável.</t>
        </is>
      </c>
    </row>
    <row r="38" ht="35.05" customHeight="1" s="8">
      <c r="A38" s="10" t="inlineStr">
        <is>
          <t>c2-36</t>
        </is>
      </c>
      <c r="B38" s="10" t="inlineStr">
        <is>
          <t>réplica no privado: a frase</t>
        </is>
      </c>
      <c r="C38" s="10" t="inlineStr">
        <is>
          <t>resposta</t>
        </is>
      </c>
      <c r="D38" s="10" t="inlineStr">
        <is>
          <t>o personagem do privado</t>
        </is>
      </c>
      <c r="E38" s="10" t="inlineStr">
        <is>
          <t>jogador no privado</t>
        </is>
      </c>
      <c r="F38" s="10" t="n"/>
      <c r="G38" s="10" t="inlineStr">
        <is>
          <t>ouvi a resposta no grupo</t>
        </is>
      </c>
      <c r="H38" s="10" t="inlineStr">
        <is>
          <t>a frase, não</t>
        </is>
      </c>
      <c r="I38" s="10" t="n"/>
      <c r="J38" s="10" t="n"/>
      <c r="K38" s="10" t="n"/>
      <c r="L38" s="10" t="n"/>
      <c r="M38" s="10" t="n"/>
      <c r="N38" s="10" t="n"/>
      <c r="O38" s="10" t="n"/>
      <c r="P38" s="10" t="n"/>
      <c r="Q38" s="10" t="inlineStr">
        <is>
          <t>Ouvi a resposta no grupo. A frase, não.</t>
        </is>
      </c>
      <c r="R38" s="13" t="inlineStr">
        <is>
          <t>Ouvi a resposta no grupo. A frase, não! De novo isso?</t>
        </is>
      </c>
      <c r="S38" s="13" t="inlineStr">
        <is>
          <t>Ouvi a resposta no grupo… A frase, não.</t>
        </is>
      </c>
      <c r="T38" s="13" t="inlineStr">
        <is>
          <t>Ouvi a resposta no grupo… A frase, não. Desculpa.</t>
        </is>
      </c>
      <c r="U38" s="13" t="inlineStr">
        <is>
          <t>Ouvi a resposta no grupo. A frase, não.</t>
        </is>
      </c>
      <c r="V38" s="13" t="inlineStr">
        <is>
          <t>Com esse barulho de chuva… ouvi a resposta no grupo. A frase, não.</t>
        </is>
      </c>
      <c r="W38" s="13" t="inlineStr">
        <is>
          <t>Ouvi a resposta no grupo. A frase, não. Só isso consta.</t>
        </is>
      </c>
      <c r="X38" s="10">
        <f>SUMPRODUCT(($G38:$P38&lt;&gt;"")*ISERROR(SEARCH($G38:$P38,R38)))+SUMPRODUCT(($G38:$P38&lt;&gt;"")*ISERROR(SEARCH($G38:$P38,S38)))+SUMPRODUCT(($G38:$P38&lt;&gt;"")*ISERROR(SEARCH($G38:$P38,T38)))+SUMPRODUCT(($G38:$P38&lt;&gt;"")*ISERROR(SEARCH($G38:$P38,U38)))+SUMPRODUCT(($G38:$P38&lt;&gt;"")*ISERROR(SEARCH($G38:$P38,V38)))+SUMPRODUCT(($G38:$P38&lt;&gt;"")*ISERROR(SEARCH($G38:$P38,W38)))</f>
        <v/>
      </c>
      <c r="Y38" s="10" t="n"/>
    </row>
    <row r="39" ht="46.25" customHeight="1" s="8">
      <c r="A39" s="10" t="inlineStr">
        <is>
          <t>c2-37</t>
        </is>
      </c>
      <c r="B39" s="10" t="inlineStr">
        <is>
          <t>réplica no privado: desconfiança</t>
        </is>
      </c>
      <c r="C39" s="10" t="inlineStr">
        <is>
          <t>resposta</t>
        </is>
      </c>
      <c r="D39" s="10" t="inlineStr">
        <is>
          <t>o personagem do privado</t>
        </is>
      </c>
      <c r="E39" s="10" t="inlineStr">
        <is>
          <t>jogador no privado</t>
        </is>
      </c>
      <c r="F39" s="10" t="n"/>
      <c r="G39" s="10" t="inlineStr">
        <is>
          <t>nem eu</t>
        </is>
      </c>
      <c r="H39" s="10" t="n"/>
      <c r="I39" s="10" t="n"/>
      <c r="J39" s="10" t="n"/>
      <c r="K39" s="10" t="n"/>
      <c r="L39" s="10" t="n"/>
      <c r="M39" s="10" t="n"/>
      <c r="N39" s="10" t="n"/>
      <c r="O39" s="10" t="n"/>
      <c r="P39" s="10" t="n"/>
      <c r="Q39" s="10" t="inlineStr">
        <is>
          <t>Nem eu.</t>
        </is>
      </c>
      <c r="R39" s="13" t="inlineStr">
        <is>
          <t>Nem eu!</t>
        </is>
      </c>
      <c r="S39" s="13" t="inlineStr">
        <is>
          <t>… Nem eu.</t>
        </is>
      </c>
      <c r="T39" s="13" t="inlineStr">
        <is>
          <t>Nem eu…</t>
        </is>
      </c>
      <c r="U39" s="13" t="inlineStr">
        <is>
          <t>Nem eu.</t>
        </is>
      </c>
      <c r="V39" s="13" t="inlineStr">
        <is>
          <t>Nem eu.</t>
        </is>
      </c>
      <c r="W39" s="13" t="inlineStr">
        <is>
          <t>Nem eu.</t>
        </is>
      </c>
      <c r="X39" s="10">
        <f>SUMPRODUCT(($G39:$P39&lt;&gt;"")*ISERROR(SEARCH($G39:$P39,R39)))+SUMPRODUCT(($G39:$P39&lt;&gt;"")*ISERROR(SEARCH($G39:$P39,S39)))+SUMPRODUCT(($G39:$P39&lt;&gt;"")*ISERROR(SEARCH($G39:$P39,T39)))+SUMPRODUCT(($G39:$P39&lt;&gt;"")*ISERROR(SEARCH($G39:$P39,U39)))+SUMPRODUCT(($G39:$P39&lt;&gt;"")*ISERROR(SEARCH($G39:$P39,V39)))+SUMPRODUCT(($G39:$P39&lt;&gt;"")*ISERROR(SEARCH($G39:$P39,W39)))</f>
        <v/>
      </c>
      <c r="Y39" s="10" t="inlineStr">
        <is>
          <t>Explosivo "Muito menos em você" é ofensa de tom; leal_cego "Só nele confiava" (lealdade ao proprietário, padrão do tipo).</t>
        </is>
      </c>
    </row>
    <row r="40" ht="79.84999999999999" customHeight="1" s="8">
      <c r="A40" s="10" t="inlineStr">
        <is>
          <t>c2-38</t>
        </is>
      </c>
      <c r="B40" s="10" t="inlineStr">
        <is>
          <t>o jogador escreve à voz no privado</t>
        </is>
      </c>
      <c r="C40" s="10" t="inlineStr">
        <is>
          <t>voz</t>
        </is>
      </c>
      <c r="D40" s="10" t="inlineStr">
        <is>
          <t>acompanhante</t>
        </is>
      </c>
      <c r="E40" s="10" t="inlineStr">
        <is>
          <t>jogador no privado</t>
        </is>
      </c>
      <c r="F40" s="10" t="n"/>
      <c r="G40" s="10" t="inlineStr">
        <is>
          <t>depende</t>
        </is>
      </c>
      <c r="H40" s="10" t="inlineStr">
        <is>
          <t>do que você me der</t>
        </is>
      </c>
      <c r="I40" s="10" t="n"/>
      <c r="J40" s="10" t="n"/>
      <c r="K40" s="10" t="n"/>
      <c r="L40" s="10" t="n"/>
      <c r="M40" s="10" t="n"/>
      <c r="N40" s="10" t="n"/>
      <c r="O40" s="10" t="n"/>
      <c r="P40" s="10" t="n"/>
      <c r="Q40" s="10" t="inlineStr">
        <is>
          <t>guardia: Não posso dizer. Fiquem tranquilos. | explosiva: Não é da sua conta. | ardilosa: Depende do que você me der. | quieta: ...</t>
        </is>
      </c>
      <c r="R40" s="13" t="inlineStr">
        <is>
          <t>Não é da sua conta! Depende do que você me der.</t>
        </is>
      </c>
      <c r="S40" s="13" t="inlineStr">
        <is>
          <t>… depende. Do que você me der.</t>
        </is>
      </c>
      <c r="T40" s="13" t="inlineStr">
        <is>
          <t>Desculpa… depende do que você me der, pode ser?</t>
        </is>
      </c>
      <c r="U40" s="13" t="inlineStr">
        <is>
          <t>De graça, não. Depende do que você me der.</t>
        </is>
      </c>
      <c r="V40" s="13" t="inlineStr">
        <is>
          <t>Depende do que você me der.</t>
        </is>
      </c>
      <c r="W40" s="13" t="inlineStr">
        <is>
          <t>Resposta condicionada: depende do que você me der.</t>
        </is>
      </c>
      <c r="X40" s="10">
        <f>SUMPRODUCT(($G40:$P40&lt;&gt;"")*ISERROR(SEARCH($G40:$P40,R40)))+SUMPRODUCT(($G40:$P40&lt;&gt;"")*ISERROR(SEARCH($G40:$P40,S40)))+SUMPRODUCT(($G40:$P40&lt;&gt;"")*ISERROR(SEARCH($G40:$P40,T40)))+SUMPRODUCT(($G40:$P40&lt;&gt;"")*ISERROR(SEARCH($G40:$P40,U40)))+SUMPRODUCT(($G40:$P40&lt;&gt;"")*ISERROR(SEARCH($G40:$P40,V40)))+SUMPRODUCT(($G40:$P40&lt;&gt;"")*ISERROR(SEARCH($G40:$P40,W40)))</f>
        <v/>
      </c>
      <c r="Y40" s="10" t="inlineStr">
        <is>
          <t>Função: resposta padrão da voz no privado; recusa a informar (a ardilosa negocia). Evasivo = texto exato da ardilosa. Passada 2: função única por momento = recusa condicionada a uma troca (texto da antiga Ardilosa, exato no Evasivo).</t>
        </is>
      </c>
    </row>
    <row r="41" ht="35.05" customHeight="1" s="8">
      <c r="A41" s="10" t="inlineStr">
        <is>
          <t>c2-39</t>
        </is>
      </c>
      <c r="B41" s="10" t="inlineStr">
        <is>
          <t>debate do capítulo</t>
        </is>
      </c>
      <c r="C41" s="10" t="inlineStr">
        <is>
          <t>resposta</t>
        </is>
      </c>
      <c r="D41" s="10" t="inlineStr">
        <is>
          <t>voz(['herdeira','advogado'])</t>
        </is>
      </c>
      <c r="E41" s="10" t="inlineStr">
        <is>
          <t>grupo</t>
        </is>
      </c>
      <c r="F41" s="10" t="n"/>
      <c r="G41" s="10" t="inlineStr">
        <is>
          <t>trocou de chip</t>
        </is>
      </c>
      <c r="H41" s="10" t="inlineStr">
        <is>
          <t>últimos meses</t>
        </is>
      </c>
      <c r="I41" s="10" t="inlineStr">
        <is>
          <t>família</t>
        </is>
      </c>
      <c r="J41" s="10" t="inlineStr">
        <is>
          <t>número novo</t>
        </is>
      </c>
      <c r="K41" s="10" t="n"/>
      <c r="L41" s="10" t="n"/>
      <c r="M41" s="10" t="n"/>
      <c r="N41" s="10" t="n"/>
      <c r="O41" s="10" t="n"/>
      <c r="P41" s="10" t="n"/>
      <c r="Q41" s="10" t="inlineStr">
        <is>
          <t>Ele trocou de chip nos últimos meses. Ninguém da família tinha o número novo.</t>
        </is>
      </c>
      <c r="R41" s="13" t="inlineStr">
        <is>
          <t>Ele trocou de chip nos últimos meses! Ninguém da família tinha o número novo, e não me olhem assim.</t>
        </is>
      </c>
      <c r="S41" s="13" t="inlineStr">
        <is>
          <t>Ele trocou de chip… nos últimos meses. Ninguém da família… tinha o número novo.</t>
        </is>
      </c>
      <c r="T41" s="13" t="inlineStr">
        <is>
          <t>Ele trocou de chip nos últimos meses… Ninguém da família tinha o número novo, não é?</t>
        </is>
      </c>
      <c r="U41" s="13" t="inlineStr">
        <is>
          <t>Ele trocou de chip nos últimos meses, direito dele. Ninguém da família tinha o número novo.</t>
        </is>
      </c>
      <c r="V41" s="13" t="inlineStr">
        <is>
          <t>O tempo passa, a estrada é longe… Ele trocou de chip nos últimos meses. Ninguém da família tinha o número novo.</t>
        </is>
      </c>
      <c r="W41" s="13" t="inlineStr">
        <is>
          <t>Consta: ele trocou de chip nos últimos meses. Ninguém da família tinha o número novo.</t>
        </is>
      </c>
      <c r="X41" s="10">
        <f>SUMPRODUCT(($G41:$P41&lt;&gt;"")*ISERROR(SEARCH($G41:$P41,R41)))+SUMPRODUCT(($G41:$P41&lt;&gt;"")*ISERROR(SEARCH($G41:$P41,S41)))+SUMPRODUCT(($G41:$P41&lt;&gt;"")*ISERROR(SEARCH($G41:$P41,T41)))+SUMPRODUCT(($G41:$P41&lt;&gt;"")*ISERROR(SEARCH($G41:$P41,U41)))+SUMPRODUCT(($G41:$P41&lt;&gt;"")*ISERROR(SEARCH($G41:$P41,V41)))+SUMPRODUCT(($G41:$P41&lt;&gt;"")*ISERROR(SEARCH($G41:$P41,W41)))</f>
        <v/>
      </c>
      <c r="Y41" s="10" t="inlineStr">
        <is>
          <t>Debate do fim do capítulo, falas de personagem fixas.</t>
        </is>
      </c>
    </row>
    <row r="42" ht="35.05" customHeight="1" s="8">
      <c r="A42" s="10" t="inlineStr">
        <is>
          <t>c2-40</t>
        </is>
      </c>
      <c r="B42" s="10" t="inlineStr">
        <is>
          <t>debate do capítulo</t>
        </is>
      </c>
      <c r="C42" s="10" t="inlineStr">
        <is>
          <t>resposta</t>
        </is>
      </c>
      <c r="D42" s="10" t="inlineStr">
        <is>
          <t>voz(['policial','tabeliao','residente'])</t>
        </is>
      </c>
      <c r="E42" s="10" t="inlineStr">
        <is>
          <t>grupo</t>
        </is>
      </c>
      <c r="F42" s="10" t="n"/>
      <c r="G42" s="10" t="inlineStr">
        <is>
          <t>cartório montou o grupo</t>
        </is>
      </c>
      <c r="H42" s="10" t="inlineStr">
        <is>
          <t>lista que ele deixou</t>
        </is>
      </c>
      <c r="I42" s="10" t="inlineStr">
        <is>
          <t>sem nomes</t>
        </is>
      </c>
      <c r="J42" s="10" t="inlineStr">
        <is>
          <t>não é de ninguém daqui</t>
        </is>
      </c>
      <c r="K42" s="10" t="n"/>
      <c r="L42" s="10" t="n"/>
      <c r="M42" s="10" t="n"/>
      <c r="N42" s="10" t="n"/>
      <c r="O42" s="10" t="n"/>
      <c r="P42" s="10" t="n"/>
      <c r="Q42" s="10" t="inlineStr">
        <is>
          <t>O cartório montou o grupo com a lista que ele deixou, sem nomes. Um dos números não é de ninguém daqui.</t>
        </is>
      </c>
      <c r="R42" s="13" t="inlineStr">
        <is>
          <t>O cartório montou o grupo com a lista que ele deixou, sem nomes! Um dos números não é de ninguém daqui, é óbvio.</t>
        </is>
      </c>
      <c r="S42" s="13" t="inlineStr">
        <is>
          <t>O cartório montou o grupo… com a lista que ele deixou. Sem nomes. Um dos números… não é de ninguém daqui.</t>
        </is>
      </c>
      <c r="T42" s="13" t="inlineStr">
        <is>
          <t>O cartório montou o grupo com a lista que ele deixou, sem nomes, não foi? Um dos números não é de ninguém daqui…</t>
        </is>
      </c>
      <c r="U42" s="13" t="inlineStr">
        <is>
          <t>O cartório montou o grupo com a lista que ele deixou, sem nomes. Um dos números não é de ninguém daqui.</t>
        </is>
      </c>
      <c r="V42" s="13" t="inlineStr">
        <is>
          <t>Bom… o cartório montou o grupo com a lista que ele deixou, sem nomes. E um dos números não é de ninguém daqui.</t>
        </is>
      </c>
      <c r="W42" s="13" t="inlineStr">
        <is>
          <t>Para a ata: o cartório montou o grupo com a lista que ele deixou, sem nomes. Um dos números não é de ninguém daqui.</t>
        </is>
      </c>
      <c r="X42" s="10">
        <f>SUMPRODUCT(($G42:$P42&lt;&gt;"")*ISERROR(SEARCH($G42:$P42,R42)))+SUMPRODUCT(($G42:$P42&lt;&gt;"")*ISERROR(SEARCH($G42:$P42,S42)))+SUMPRODUCT(($G42:$P42&lt;&gt;"")*ISERROR(SEARCH($G42:$P42,T42)))+SUMPRODUCT(($G42:$P42&lt;&gt;"")*ISERROR(SEARCH($G42:$P42,U42)))+SUMPRODUCT(($G42:$P42&lt;&gt;"")*ISERROR(SEARCH($G42:$P42,V42)))+SUMPRODUCT(($G42:$P42&lt;&gt;"")*ISERROR(SEARCH($G42:$P42,W42)))</f>
        <v/>
      </c>
      <c r="Y42" s="10" t="n"/>
    </row>
    <row r="43" ht="35.05" customHeight="1" s="8">
      <c r="A43" s="10" t="inlineStr">
        <is>
          <t>c2-41</t>
        </is>
      </c>
      <c r="B43" s="10" t="inlineStr">
        <is>
          <t>debate do capítulo</t>
        </is>
      </c>
      <c r="C43" s="10" t="inlineStr">
        <is>
          <t>resposta</t>
        </is>
      </c>
      <c r="D43" s="10" t="inlineStr">
        <is>
          <t>voz(['jornalista','observadora','jardineiro'])</t>
        </is>
      </c>
      <c r="E43" s="10" t="inlineStr">
        <is>
          <t>grupo</t>
        </is>
      </c>
      <c r="F43" s="10" t="n"/>
      <c r="G43" s="10" t="inlineStr">
        <is>
          <t>celular dele</t>
        </is>
      </c>
      <c r="H43" s="10" t="inlineStr">
        <is>
          <t>nesta sala</t>
        </is>
      </c>
      <c r="I43" s="10" t="n"/>
      <c r="J43" s="10" t="n"/>
      <c r="K43" s="10" t="n"/>
      <c r="L43" s="10" t="n"/>
      <c r="M43" s="10" t="n"/>
      <c r="N43" s="10" t="n"/>
      <c r="O43" s="10" t="n"/>
      <c r="P43" s="10" t="n"/>
      <c r="Q43" s="10" t="inlineStr">
        <is>
          <t>Então alguém está com o celular dele. E sabe o que se diz nesta sala.</t>
        </is>
      </c>
      <c r="R43" s="13" t="inlineStr">
        <is>
          <t>Então alguém está com o celular dele! E sabe o que se diz nesta sala, que beleza.</t>
        </is>
      </c>
      <c r="S43" s="13" t="inlineStr">
        <is>
          <t>Então alguém… está com o celular dele. E sabe o que se diz… nesta sala.</t>
        </is>
      </c>
      <c r="T43" s="13" t="inlineStr">
        <is>
          <t>Então alguém está com o celular dele? E sabe o que se diz nesta sala… é isso?</t>
        </is>
      </c>
      <c r="U43" s="13" t="inlineStr">
        <is>
          <t>Então alguém está com o celular dele, mexendo no que era dele. E sabe o que se diz nesta sala.</t>
        </is>
      </c>
      <c r="V43" s="13" t="inlineStr">
        <is>
          <t>É o que dá, tanta demora… Então alguém está com o celular dele. E sabe o que se diz nesta sala.</t>
        </is>
      </c>
      <c r="W43" s="13" t="inlineStr">
        <is>
          <t>Conclusão: alguém está com o celular dele. E sabe o que se diz nesta sala.</t>
        </is>
      </c>
      <c r="X43" s="10">
        <f>SUMPRODUCT(($G43:$P43&lt;&gt;"")*ISERROR(SEARCH($G43:$P43,R43)))+SUMPRODUCT(($G43:$P43&lt;&gt;"")*ISERROR(SEARCH($G43:$P43,S43)))+SUMPRODUCT(($G43:$P43&lt;&gt;"")*ISERROR(SEARCH($G43:$P43,T43)))+SUMPRODUCT(($G43:$P43&lt;&gt;"")*ISERROR(SEARCH($G43:$P43,U43)))+SUMPRODUCT(($G43:$P43&lt;&gt;"")*ISERROR(SEARCH($G43:$P43,V43)))+SUMPRODUCT(($G43:$P43&lt;&gt;"")*ISERROR(SEARCH($G43:$P43,W43)))</f>
        <v/>
      </c>
      <c r="Y43" s="10" t="n"/>
    </row>
  </sheetData>
  <autoFilter ref="A1:Y43"/>
  <conditionalFormatting sqref="X2:X43">
    <cfRule type="expression" rank="0" priority="2" equalAverage="0" aboveAverage="0" dxfId="4" text="" percent="0" bottom="0">
      <formula>X2&gt;0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Y32"/>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1"/>
    <col width="24" customWidth="1" style="7" min="2" max="2"/>
    <col width="12" customWidth="1" style="7" min="3" max="3"/>
    <col width="18" customWidth="1" style="7" min="4" max="4"/>
    <col width="12" customWidth="1" style="7" min="5" max="5"/>
    <col width="14" customWidth="1" style="7" min="6" max="6"/>
    <col width="12" customWidth="1" style="7" min="7" max="16"/>
    <col width="40" customWidth="1" style="7" min="17" max="17"/>
    <col width="38" customWidth="1" style="7" min="18" max="23"/>
    <col width="8" customWidth="1" style="7" min="24" max="24"/>
    <col width="34" customWidth="1" style="7" min="25" max="25"/>
  </cols>
  <sheetData>
    <row r="1" ht="15" customHeight="1" s="8">
      <c r="A1" s="12" t="inlineStr">
        <is>
          <t>ID</t>
        </is>
      </c>
      <c r="B1" s="12" t="inlineStr">
        <is>
          <t>Cena</t>
        </is>
      </c>
      <c r="C1" s="12" t="inlineStr">
        <is>
          <t>Momento</t>
        </is>
      </c>
      <c r="D1" s="12" t="inlineStr">
        <is>
          <t>Quem fala</t>
        </is>
      </c>
      <c r="E1" s="12" t="inlineStr">
        <is>
          <t>Com quem</t>
        </is>
      </c>
      <c r="F1" s="12" t="inlineStr">
        <is>
          <t>Condição</t>
        </is>
      </c>
      <c r="G1" s="12" t="inlineStr">
        <is>
          <t>Item 1</t>
        </is>
      </c>
      <c r="H1" s="12" t="inlineStr">
        <is>
          <t>Item 2</t>
        </is>
      </c>
      <c r="I1" s="12" t="inlineStr">
        <is>
          <t>Item 3</t>
        </is>
      </c>
      <c r="J1" s="12" t="inlineStr">
        <is>
          <t>Item 4</t>
        </is>
      </c>
      <c r="K1" s="12" t="inlineStr">
        <is>
          <t>Item 5</t>
        </is>
      </c>
      <c r="L1" s="12" t="inlineStr">
        <is>
          <t>Item 6</t>
        </is>
      </c>
      <c r="M1" s="12" t="inlineStr">
        <is>
          <t>Item 7</t>
        </is>
      </c>
      <c r="N1" s="12" t="inlineStr">
        <is>
          <t>Item 8</t>
        </is>
      </c>
      <c r="O1" s="12" t="inlineStr">
        <is>
          <t>Item 9</t>
        </is>
      </c>
      <c r="P1" s="12" t="inlineStr">
        <is>
          <t>Item 10</t>
        </is>
      </c>
      <c r="Q1" s="12" t="inlineStr">
        <is>
          <t>Fala original</t>
        </is>
      </c>
      <c r="R1" s="12" t="inlineStr">
        <is>
          <t>Explosivo</t>
        </is>
      </c>
      <c r="S1" s="12" t="inlineStr">
        <is>
          <t>Calmo opaco</t>
        </is>
      </c>
      <c r="T1" s="12" t="inlineStr">
        <is>
          <t>Ingênuo</t>
        </is>
      </c>
      <c r="U1" s="12" t="inlineStr">
        <is>
          <t>Leal cego</t>
        </is>
      </c>
      <c r="V1" s="12" t="inlineStr">
        <is>
          <t>Evasivo</t>
        </is>
      </c>
      <c r="W1" s="12" t="inlineStr">
        <is>
          <t>Burocrata</t>
        </is>
      </c>
      <c r="X1" s="12" t="inlineStr">
        <is>
          <t>Faltam</t>
        </is>
      </c>
      <c r="Y1" s="12" t="inlineStr">
        <is>
          <t>Nota</t>
        </is>
      </c>
    </row>
    <row r="2" ht="35.05" customHeight="1" s="8">
      <c r="A2" s="10" t="inlineStr">
        <is>
          <t>c3-01</t>
        </is>
      </c>
      <c r="B2" s="10" t="inlineStr">
        <is>
          <t>volta à sala do relógio: marca de mão molhada</t>
        </is>
      </c>
      <c r="C2" s="10" t="inlineStr">
        <is>
          <t>roteiro</t>
        </is>
      </c>
      <c r="D2" s="10" t="inlineStr">
        <is>
          <t>jardineiro (ou residente, se não houver jardineiro)</t>
        </is>
      </c>
      <c r="E2" s="10" t="inlineStr">
        <is>
          <t>grupo</t>
        </is>
      </c>
      <c r="F2" s="10" t="n"/>
      <c r="G2" s="10" t="inlineStr">
        <is>
          <t>jardim</t>
        </is>
      </c>
      <c r="H2" s="10" t="inlineStr">
        <is>
          <t>porta-janela</t>
        </is>
      </c>
      <c r="I2" s="10" t="inlineStr">
        <is>
          <t>encostada</t>
        </is>
      </c>
      <c r="J2" s="10" t="n"/>
      <c r="K2" s="10" t="n"/>
      <c r="L2" s="10" t="n"/>
      <c r="M2" s="10" t="n"/>
      <c r="N2" s="10" t="n"/>
      <c r="O2" s="10" t="n"/>
      <c r="P2" s="10" t="n"/>
      <c r="Q2" s="10" t="inlineStr">
        <is>
          <t>Alguém veio do jardim. A porta-janela está só encostada.</t>
        </is>
      </c>
      <c r="R2" s="13" t="inlineStr">
        <is>
          <t>Alguém veio do jardim! E a porta-janela está só encostada.</t>
        </is>
      </c>
      <c r="S2" s="13" t="inlineStr">
        <is>
          <t>Alguém… do jardim. A porta-janela… só encostada.</t>
        </is>
      </c>
      <c r="T2" s="13" t="inlineStr">
        <is>
          <t>Alguém veio do jardim… A porta-janela está só encostada. Alguém mais viu?</t>
        </is>
      </c>
      <c r="U2" s="13" t="inlineStr">
        <is>
          <t>Alguém veio do jardim. A porta-janela está só encostada.</t>
        </is>
      </c>
      <c r="V2" s="13" t="inlineStr">
        <is>
          <t>Tudo pingando lá fora… Alguém veio do jardim. A porta-janela está só encostada.</t>
        </is>
      </c>
      <c r="W2" s="13" t="inlineStr">
        <is>
          <t>Consta: alguém veio do jardim. Porta-janela só encostada.</t>
        </is>
      </c>
      <c r="X2" s="10">
        <f>SUMPRODUCT(($G2:$P2&lt;&gt;"")*ISERROR(SEARCH($G2:$P2,R2)))+SUMPRODUCT(($G2:$P2&lt;&gt;"")*ISERROR(SEARCH($G2:$P2,S2)))+SUMPRODUCT(($G2:$P2&lt;&gt;"")*ISERROR(SEARCH($G2:$P2,T2)))+SUMPRODUCT(($G2:$P2&lt;&gt;"")*ISERROR(SEARCH($G2:$P2,U2)))+SUMPRODUCT(($G2:$P2&lt;&gt;"")*ISERROR(SEARCH($G2:$P2,V2)))+SUMPRODUCT(($G2:$P2&lt;&gt;"")*ISERROR(SEARCH($G2:$P2,W2)))</f>
        <v/>
      </c>
      <c r="Y2" s="10" t="inlineStr">
        <is>
          <t>Narração: duas falas citadas com 'disse {jardineiro|residente}' entre elas; aqui unidas.</t>
        </is>
      </c>
    </row>
    <row r="3" ht="46.25" customHeight="1" s="8">
      <c r="A3" s="10" t="inlineStr">
        <is>
          <t>c3-02</t>
        </is>
      </c>
      <c r="B3" s="10" t="inlineStr">
        <is>
          <t>a Observadora examina a marca</t>
        </is>
      </c>
      <c r="C3" s="10" t="inlineStr">
        <is>
          <t>roteiro</t>
        </is>
      </c>
      <c r="D3" s="10" t="inlineStr">
        <is>
          <t>observadora</t>
        </is>
      </c>
      <c r="E3" s="10" t="inlineStr">
        <is>
          <t>grupo</t>
        </is>
      </c>
      <c r="F3" s="10" t="inlineStr">
        <is>
          <t>M.fala!=='p4'</t>
        </is>
      </c>
      <c r="G3" s="10" t="inlineStr">
        <is>
          <t>recente</t>
        </is>
      </c>
      <c r="H3" s="10" t="inlineStr">
        <is>
          <t>minutos</t>
        </is>
      </c>
      <c r="I3" s="10" t="inlineStr">
        <is>
          <t>apoiou</t>
        </is>
      </c>
      <c r="J3" s="10" t="inlineStr">
        <is>
          <t>empurrou</t>
        </is>
      </c>
      <c r="K3" s="10" t="inlineStr">
        <is>
          <t>{mao_detalhe}</t>
        </is>
      </c>
      <c r="L3" s="10" t="n"/>
      <c r="M3" s="10" t="n"/>
      <c r="N3" s="10" t="n"/>
      <c r="O3" s="10" t="n"/>
      <c r="P3" s="10" t="n"/>
      <c r="Q3" s="10" t="inlineStr">
        <is>
          <t>Recente. Minutos. É a mão de quem se apoiou, não de quem empurrou. E tem {mao_detalhe}.</t>
        </is>
      </c>
      <c r="R3" s="13" t="inlineStr">
        <is>
          <t>Recente! Coisa de minutos. É a mão de quem se apoiou, não de quem empurrou. E tem {mao_detalhe}.</t>
        </is>
      </c>
      <c r="S3" s="13" t="inlineStr">
        <is>
          <t>Recente… minutos. Quem se apoiou… não quem empurrou. E tem {mao_detalhe}.</t>
        </is>
      </c>
      <c r="T3" s="13" t="inlineStr">
        <is>
          <t>É recente… minutos. É a mão de quem se apoiou, não de quem empurrou. E tem {mao_detalhe}, vocês viram?</t>
        </is>
      </c>
      <c r="U3" s="13" t="inlineStr">
        <is>
          <t>Recente. Minutos. Mão de quem se apoiou, não de quem empurrou. E tem {mao_detalhe}.</t>
        </is>
      </c>
      <c r="V3" s="13" t="inlineStr">
        <is>
          <t>A umidade engana, mas é recente. Minutos. Mão de quem se apoiou, não de quem empurrou. E tem {mao_detalhe}.</t>
        </is>
      </c>
      <c r="W3" s="13" t="inlineStr">
        <is>
          <t>Marca recente, minutos. Mão de quem se apoiou, não de quem empurrou. Detalhe: {mao_detalhe}.</t>
        </is>
      </c>
      <c r="X3" s="10">
        <f>SUMPRODUCT(($G3:$P3&lt;&gt;"")*ISERROR(SEARCH($G3:$P3,R3)))+SUMPRODUCT(($G3:$P3&lt;&gt;"")*ISERROR(SEARCH($G3:$P3,S3)))+SUMPRODUCT(($G3:$P3&lt;&gt;"")*ISERROR(SEARCH($G3:$P3,T3)))+SUMPRODUCT(($G3:$P3&lt;&gt;"")*ISERROR(SEARCH($G3:$P3,U3)))+SUMPRODUCT(($G3:$P3&lt;&gt;"")*ISERROR(SEARCH($G3:$P3,V3)))+SUMPRODUCT(($G3:$P3&lt;&gt;"")*ISERROR(SEARCH($G3:$P3,W3)))</f>
        <v/>
      </c>
      <c r="Y3" s="10" t="inlineStr">
        <is>
          <t>{mao_detalhe} = MAO_C3[M.mao].detalhe (texto por partida, pendente); ficha nova, não existe no código, que concatena mao.detalhe.</t>
        </is>
      </c>
    </row>
    <row r="4" ht="35.05" customHeight="1" s="8">
      <c r="A4" s="10" t="inlineStr">
        <is>
          <t>c3-03</t>
        </is>
      </c>
      <c r="B4" s="10" t="inlineStr">
        <is>
          <t>a Observadora examina a marca (partida com p4)</t>
        </is>
      </c>
      <c r="C4" s="10" t="inlineStr">
        <is>
          <t>roteiro</t>
        </is>
      </c>
      <c r="D4" s="10" t="inlineStr">
        <is>
          <t>observadora</t>
        </is>
      </c>
      <c r="E4" s="10" t="inlineStr">
        <is>
          <t>grupo</t>
        </is>
      </c>
      <c r="F4" s="10" t="inlineStr">
        <is>
          <t>M.fala==='p4'</t>
        </is>
      </c>
      <c r="G4" s="10" t="inlineStr">
        <is>
          <t>recente</t>
        </is>
      </c>
      <c r="H4" s="10" t="inlineStr">
        <is>
          <t>minutos</t>
        </is>
      </c>
      <c r="I4" s="10" t="inlineStr">
        <is>
          <t>{mao_detalhe}</t>
        </is>
      </c>
      <c r="J4" s="10" t="n"/>
      <c r="K4" s="10" t="n"/>
      <c r="L4" s="10" t="n"/>
      <c r="M4" s="10" t="n"/>
      <c r="N4" s="10" t="n"/>
      <c r="O4" s="10" t="n"/>
      <c r="P4" s="10" t="n"/>
      <c r="Q4" s="10" t="inlineStr">
        <is>
          <t>Recente. Minutos. E tem {mao_detalhe}.</t>
        </is>
      </c>
      <c r="R4" s="13" t="inlineStr">
        <is>
          <t>Recente! Coisa de minutos. E tem {mao_detalhe}.</t>
        </is>
      </c>
      <c r="S4" s="13" t="inlineStr">
        <is>
          <t>Recente… minutos. E tem {mao_detalhe}.</t>
        </is>
      </c>
      <c r="T4" s="13" t="inlineStr">
        <is>
          <t>É recente… minutos. E tem {mao_detalhe}, estão vendo?</t>
        </is>
      </c>
      <c r="U4" s="13" t="inlineStr">
        <is>
          <t>Recente. Minutos. E tem {mao_detalhe}.</t>
        </is>
      </c>
      <c r="V4" s="13" t="inlineStr">
        <is>
          <t>A umidade engana… é recente. Minutos. E tem {mao_detalhe}.</t>
        </is>
      </c>
      <c r="W4" s="13" t="inlineStr">
        <is>
          <t>Marca recente: minutos. Detalhe: {mao_detalhe}.</t>
        </is>
      </c>
      <c r="X4" s="10">
        <f>SUMPRODUCT(($G4:$P4&lt;&gt;"")*ISERROR(SEARCH($G4:$P4,R4)))+SUMPRODUCT(($G4:$P4&lt;&gt;"")*ISERROR(SEARCH($G4:$P4,S4)))+SUMPRODUCT(($G4:$P4&lt;&gt;"")*ISERROR(SEARCH($G4:$P4,T4)))+SUMPRODUCT(($G4:$P4&lt;&gt;"")*ISERROR(SEARCH($G4:$P4,U4)))+SUMPRODUCT(($G4:$P4&lt;&gt;"")*ISERROR(SEARCH($G4:$P4,V4)))+SUMPRODUCT(($G4:$P4&lt;&gt;"")*ISERROR(SEARCH($G4:$P4,W4)))</f>
        <v/>
      </c>
      <c r="Y4" s="10" t="inlineStr">
        <is>
          <t>Variante sem a frase do apoio: na P4 ela vem depois, na tabela FALA.p4 (por partida).</t>
        </is>
      </c>
    </row>
    <row r="5" ht="68.65000000000001" customHeight="1" s="8">
      <c r="A5" s="10" t="inlineStr">
        <is>
          <t>c3-04</t>
        </is>
      </c>
      <c r="B5" s="10" t="inlineStr">
        <is>
          <t>palavras escritas com força na carta</t>
        </is>
      </c>
      <c r="C5" s="10" t="inlineStr">
        <is>
          <t>roteiro</t>
        </is>
      </c>
      <c r="D5" s="10" t="inlineStr">
        <is>
          <t>M.palavras (investigador|observadora|jornalista|advogado|tabeliao|policial|herdeira)</t>
        </is>
      </c>
      <c r="E5" s="10" t="inlineStr">
        <is>
          <t>grupo</t>
        </is>
      </c>
      <c r="F5" s="10" t="n"/>
      <c r="G5" s="10" t="inlineStr">
        <is>
          <t>palavras</t>
        </is>
      </c>
      <c r="H5" s="10" t="inlineStr">
        <is>
          <t>força</t>
        </is>
      </c>
      <c r="I5" s="10" t="inlineStr">
        <is>
          <t>sem tinta</t>
        </is>
      </c>
      <c r="J5" s="10" t="n"/>
      <c r="K5" s="10" t="n"/>
      <c r="L5" s="10" t="n"/>
      <c r="M5" s="10" t="n"/>
      <c r="N5" s="10" t="n"/>
      <c r="O5" s="10" t="n"/>
      <c r="P5" s="10" t="n"/>
      <c r="Q5" s="10" t="inlineStr">
        <is>
          <t>Tem palavras escritas com força. Só com força, sem tinta.</t>
        </is>
      </c>
      <c r="R5" s="13" t="inlineStr">
        <is>
          <t>Tem palavras escritas com força! Só com força, sem tinta.</t>
        </is>
      </c>
      <c r="S5" s="13" t="inlineStr">
        <is>
          <t>Palavras… escritas com força. Sem tinta.</t>
        </is>
      </c>
      <c r="T5" s="13" t="inlineStr">
        <is>
          <t>Tem palavras escritas com força… só com força, sem tinta. Dá pra ver, não dá?</t>
        </is>
      </c>
      <c r="U5" s="13" t="inlineStr">
        <is>
          <t>Tem palavras escritas com força. Só com força, sem tinta.</t>
        </is>
      </c>
      <c r="V5" s="13" t="inlineStr">
        <is>
          <t>Frio de doer os dedos… Tem palavras escritas com força. Só com força, sem tinta.</t>
        </is>
      </c>
      <c r="W5" s="13" t="inlineStr">
        <is>
          <t>Anoto: palavras escritas com força. Só com força, sem tinta.</t>
        </is>
      </c>
      <c r="X5" s="10">
        <f>SUMPRODUCT(($G5:$P5&lt;&gt;"")*ISERROR(SEARCH($G5:$P5,R5)))+SUMPRODUCT(($G5:$P5&lt;&gt;"")*ISERROR(SEARCH($G5:$P5,S5)))+SUMPRODUCT(($G5:$P5&lt;&gt;"")*ISERROR(SEARCH($G5:$P5,T5)))+SUMPRODUCT(($G5:$P5&lt;&gt;"")*ISERROR(SEARCH($G5:$P5,U5)))+SUMPRODUCT(($G5:$P5&lt;&gt;"")*ISERROR(SEARCH($G5:$P5,V5)))+SUMPRODUCT(($G5:$P5&lt;&gt;"")*ISERROR(SEARCH($G5:$P5,W5)))</f>
        <v/>
      </c>
      <c r="Y5" s="10" t="inlineStr">
        <is>
          <t>Falante varia por partida e por gênero: sem adjetivo de gênero sobre si.</t>
        </is>
      </c>
    </row>
    <row r="6" ht="35.05" customHeight="1" s="8">
      <c r="A6" s="10" t="inlineStr">
        <is>
          <t>c3-05</t>
        </is>
      </c>
      <c r="B6" s="10" t="inlineStr">
        <is>
          <t>leitura das palavras escondidas</t>
        </is>
      </c>
      <c r="C6" s="10" t="inlineStr">
        <is>
          <t>roteiro</t>
        </is>
      </c>
      <c r="D6" s="10" t="inlineStr">
        <is>
          <t>M.palavras (mesmo falante da fala anterior)</t>
        </is>
      </c>
      <c r="E6" s="10" t="inlineStr">
        <is>
          <t>grupo</t>
        </is>
      </c>
      <c r="F6" s="10" t="n"/>
      <c r="G6" s="10" t="inlineStr">
        <is>
          <t>Pare</t>
        </is>
      </c>
      <c r="H6" s="10" t="inlineStr">
        <is>
          <t>Pêndulo</t>
        </is>
      </c>
      <c r="I6" s="10" t="n"/>
      <c r="J6" s="10" t="n"/>
      <c r="K6" s="10" t="n"/>
      <c r="L6" s="10" t="n"/>
      <c r="M6" s="10" t="n"/>
      <c r="N6" s="10" t="n"/>
      <c r="O6" s="10" t="n"/>
      <c r="P6" s="10" t="n"/>
      <c r="Q6" s="10" t="inlineStr">
        <is>
          <t>Pare. O. Pêndulo.</t>
        </is>
      </c>
      <c r="R6" s="13" t="inlineStr">
        <is>
          <t>Pare. O. Pêndulo. Está escrito!</t>
        </is>
      </c>
      <c r="S6" s="13" t="inlineStr">
        <is>
          <t>Pare… o… pêndulo.</t>
        </is>
      </c>
      <c r="T6" s="13" t="inlineStr">
        <is>
          <t>Pare… o… pêndulo. É isso mesmo?</t>
        </is>
      </c>
      <c r="U6" s="13" t="inlineStr">
        <is>
          <t>Pare. O. Pêndulo.</t>
        </is>
      </c>
      <c r="V6" s="13" t="inlineStr">
        <is>
          <t>Pare. O. Pêndulo.</t>
        </is>
      </c>
      <c r="W6" s="13" t="inlineStr">
        <is>
          <t>Palavra por palavra: Pare. O. Pêndulo.</t>
        </is>
      </c>
      <c r="X6" s="10">
        <f>SUMPRODUCT(($G6:$P6&lt;&gt;"")*ISERROR(SEARCH($G6:$P6,R6)))+SUMPRODUCT(($G6:$P6&lt;&gt;"")*ISERROR(SEARCH($G6:$P6,S6)))+SUMPRODUCT(($G6:$P6&lt;&gt;"")*ISERROR(SEARCH($G6:$P6,T6)))+SUMPRODUCT(($G6:$P6&lt;&gt;"")*ISERROR(SEARCH($G6:$P6,U6)))+SUMPRODUCT(($G6:$P6&lt;&gt;"")*ISERROR(SEARCH($G6:$P6,V6)))+SUMPRODUCT(($G6:$P6&lt;&gt;"")*ISERROR(SEARCH($G6:$P6,W6)))</f>
        <v/>
      </c>
      <c r="Y6" s="10" t="inlineStr">
        <is>
          <t>Narração 'E leu devagar:'. As três palavras são leitura literal da carta e não podem mudar; só o enquadre muda.</t>
        </is>
      </c>
    </row>
    <row r="7" ht="46.25" customHeight="1" s="8">
      <c r="A7" s="10" t="inlineStr">
        <is>
          <t>c3-06</t>
        </is>
      </c>
      <c r="B7" s="10" t="inlineStr">
        <is>
          <t>a portinhola cede fácil demais</t>
        </is>
      </c>
      <c r="C7" s="10" t="inlineStr">
        <is>
          <t>roteiro</t>
        </is>
      </c>
      <c r="D7" s="10" t="inlineStr">
        <is>
          <t>investigador</t>
        </is>
      </c>
      <c r="E7" s="10" t="inlineStr">
        <is>
          <t>grupo</t>
        </is>
      </c>
      <c r="F7" s="10" t="n"/>
      <c r="G7" s="10" t="inlineStr">
        <is>
          <t>encostada</t>
        </is>
      </c>
      <c r="H7" s="10" t="inlineStr">
        <is>
          <t>abriu</t>
        </is>
      </c>
      <c r="I7" s="10" t="inlineStr">
        <is>
          <t>hoje</t>
        </is>
      </c>
      <c r="J7" s="10" t="n"/>
      <c r="K7" s="10" t="n"/>
      <c r="L7" s="10" t="n"/>
      <c r="M7" s="10" t="n"/>
      <c r="N7" s="10" t="n"/>
      <c r="O7" s="10" t="n"/>
      <c r="P7" s="10" t="n"/>
      <c r="Q7" s="10" t="inlineStr">
        <is>
          <t>Estava só encostada. Alguém já abriu isto hoje.</t>
        </is>
      </c>
      <c r="R7" s="13" t="inlineStr">
        <is>
          <t>Estava só encostada! Alguém já abriu isto hoje.</t>
        </is>
      </c>
      <c r="S7" s="13" t="inlineStr">
        <is>
          <t>Só encostada… Alguém já abriu. Hoje.</t>
        </is>
      </c>
      <c r="T7" s="13" t="inlineStr">
        <is>
          <t>Estava só encostada… alguém já abriu isto hoje? Hoje mesmo?</t>
        </is>
      </c>
      <c r="U7" s="13" t="inlineStr">
        <is>
          <t>Estava só encostada. Alguém já abriu isto hoje.</t>
        </is>
      </c>
      <c r="V7" s="13" t="inlineStr">
        <is>
          <t>Nessa umidade tudo emperra, menos isto… Estava só encostada. Alguém já abriu isto hoje.</t>
        </is>
      </c>
      <c r="W7" s="13" t="inlineStr">
        <is>
          <t>Estado: só encostada. Alguém já abriu isto hoje.</t>
        </is>
      </c>
      <c r="X7" s="10">
        <f>SUMPRODUCT(($G7:$P7&lt;&gt;"")*ISERROR(SEARCH($G7:$P7,R7)))+SUMPRODUCT(($G7:$P7&lt;&gt;"")*ISERROR(SEARCH($G7:$P7,S7)))+SUMPRODUCT(($G7:$P7&lt;&gt;"")*ISERROR(SEARCH($G7:$P7,T7)))+SUMPRODUCT(($G7:$P7&lt;&gt;"")*ISERROR(SEARCH($G7:$P7,U7)))+SUMPRODUCT(($G7:$P7&lt;&gt;"")*ISERROR(SEARCH($G7:$P7,V7)))+SUMPRODUCT(($G7:$P7&lt;&gt;"")*ISERROR(SEARCH($G7:$P7,W7)))</f>
        <v/>
      </c>
      <c r="Y7" s="10" t="inlineStr">
        <is>
          <t>Duas falas citadas com 'disse o Investigador' entre elas; aqui unidas. Cena com marco('portinhola') (portão pode pular).</t>
        </is>
      </c>
    </row>
    <row r="8" ht="91" customHeight="1" s="8">
      <c r="A8" s="10" t="inlineStr">
        <is>
          <t>c3-07</t>
        </is>
      </c>
      <c r="B8" s="10" t="inlineStr">
        <is>
          <t>a voz reage ao pêndulo parado e ao estalo</t>
        </is>
      </c>
      <c r="C8" s="10" t="inlineStr">
        <is>
          <t>voz</t>
        </is>
      </c>
      <c r="D8" s="10" t="inlineStr">
        <is>
          <t>acompanhante</t>
        </is>
      </c>
      <c r="E8" s="10" t="inlineStr">
        <is>
          <t>jogador (número desconhecido)</t>
        </is>
      </c>
      <c r="F8" s="10" t="n"/>
      <c r="G8" s="10" t="inlineStr">
        <is>
          <t>parar</t>
        </is>
      </c>
      <c r="H8" s="10" t="inlineStr">
        <is>
          <t>depois</t>
        </is>
      </c>
      <c r="I8" s="10" t="n"/>
      <c r="J8" s="10" t="n"/>
      <c r="K8" s="10" t="n"/>
      <c r="L8" s="10" t="n"/>
      <c r="M8" s="10" t="n"/>
      <c r="N8" s="10" t="n"/>
      <c r="O8" s="10" t="n"/>
      <c r="P8" s="10" t="n"/>
      <c r="Q8" s="10" t="inlineStr">
        <is>
          <t>Parar é fácil. E depois?</t>
        </is>
      </c>
      <c r="R8" s="13" t="inlineStr">
        <is>
          <t>Parar foi fácil! E depois?</t>
        </is>
      </c>
      <c r="S8" s="13" t="inlineStr">
        <is>
          <t>Parar… E depois?</t>
        </is>
      </c>
      <c r="T8" s="13" t="inlineStr">
        <is>
          <t>Parar é fácil… mas e depois? Alguém sabe?</t>
        </is>
      </c>
      <c r="U8" s="13" t="inlineStr">
        <is>
          <t>Parar não basta. O que vem depois?</t>
        </is>
      </c>
      <c r="V8" s="13" t="inlineStr">
        <is>
          <t>Parar é fácil. E depois?</t>
        </is>
      </c>
      <c r="W8" s="13" t="inlineStr">
        <is>
          <t>Parar: feito. Depois: em aberto.</t>
        </is>
      </c>
      <c r="X8" s="10">
        <f>SUMPRODUCT(($G8:$P8&lt;&gt;"")*ISERROR(SEARCH($G8:$P8,R8)))+SUMPRODUCT(($G8:$P8&lt;&gt;"")*ISERROR(SEARCH($G8:$P8,S8)))+SUMPRODUCT(($G8:$P8&lt;&gt;"")*ISERROR(SEARCH($G8:$P8,T8)))+SUMPRODUCT(($G8:$P8&lt;&gt;"")*ISERROR(SEARCH($G8:$P8,U8)))+SUMPRODUCT(($G8:$P8&lt;&gt;"")*ISERROR(SEARCH($G8:$P8,V8)))+SUMPRODUCT(($G8:$P8&lt;&gt;"")*ISERROR(SEARCH($G8:$P8,W8)))</f>
        <v/>
      </c>
      <c r="Y8" s="10" t="inlineStr">
        <is>
          <t>Função: depois que o pêndulo para e o trinco solta, a voz avisa que parar não encerra nada e empurra para o passo seguinte. Antigos: guardia 'Cuidado com o que vocês acordam.' / explosiva 'Cinco meses e só agora vocês param o relógio.' / ardilosa 'Parar é fácil. E depois?' (mantido) / quieta 'Ainda não.'</t>
        </is>
      </c>
    </row>
    <row r="9" ht="46.25" customHeight="1" s="8">
      <c r="A9" s="10" t="inlineStr">
        <is>
          <t>c3-08</t>
        </is>
      </c>
      <c r="B9" s="10" t="inlineStr">
        <is>
          <t>alguém quer afastar o móvel</t>
        </is>
      </c>
      <c r="C9" s="10" t="inlineStr">
        <is>
          <t>roteiro</t>
        </is>
      </c>
      <c r="D9" s="10" t="inlineStr">
        <is>
          <t>quemAfasta: policial (se cond=tabeliao) ou voz(['residente','jornalista'])||'residente'</t>
        </is>
      </c>
      <c r="E9" s="10" t="inlineStr">
        <is>
          <t>grupo</t>
        </is>
      </c>
      <c r="F9" s="10" t="n"/>
      <c r="G9" s="10" t="inlineStr">
        <is>
          <t>afastar</t>
        </is>
      </c>
      <c r="H9" s="10" t="inlineStr">
        <is>
          <t>de uma vez</t>
        </is>
      </c>
      <c r="I9" s="10" t="n"/>
      <c r="J9" s="10" t="n"/>
      <c r="K9" s="10" t="n"/>
      <c r="L9" s="10" t="n"/>
      <c r="M9" s="10" t="n"/>
      <c r="N9" s="10" t="n"/>
      <c r="O9" s="10" t="n"/>
      <c r="P9" s="10" t="n"/>
      <c r="Q9" s="10" t="inlineStr">
        <is>
          <t>Então vamos afastar isso de uma vez.</t>
        </is>
      </c>
      <c r="R9" s="13" t="inlineStr">
        <is>
          <t>Então vamos afastar isso de uma vez! Chega de enrolação.</t>
        </is>
      </c>
      <c r="S9" s="13" t="inlineStr">
        <is>
          <t>Então… afastar. De uma vez.</t>
        </is>
      </c>
      <c r="T9" s="13" t="inlineStr">
        <is>
          <t>Então a gente pode afastar isso de uma vez, não pode?</t>
        </is>
      </c>
      <c r="U9" s="13" t="inlineStr">
        <is>
          <t>Então vamos afastar isso de uma vez.</t>
        </is>
      </c>
      <c r="V9" s="13" t="inlineStr">
        <is>
          <t>Essa demora toda cansa… então vamos afastar isso de uma vez.</t>
        </is>
      </c>
      <c r="W9" s="13" t="inlineStr">
        <is>
          <t>Proposta: afastar isso de uma vez.</t>
        </is>
      </c>
      <c r="X9" s="10">
        <f>SUMPRODUCT(($G9:$P9&lt;&gt;"")*ISERROR(SEARCH($G9:$P9,R9)))+SUMPRODUCT(($G9:$P9&lt;&gt;"")*ISERROR(SEARCH($G9:$P9,S9)))+SUMPRODUCT(($G9:$P9&lt;&gt;"")*ISERROR(SEARCH($G9:$P9,T9)))+SUMPRODUCT(($G9:$P9&lt;&gt;"")*ISERROR(SEARCH($G9:$P9,U9)))+SUMPRODUCT(($G9:$P9&lt;&gt;"")*ISERROR(SEARCH($G9:$P9,V9)))+SUMPRODUCT(($G9:$P9&lt;&gt;"")*ISERROR(SEARCH($G9:$P9,W9)))</f>
        <v/>
      </c>
      <c r="Y9" s="10" t="n"/>
    </row>
    <row r="10" ht="57.45" customHeight="1" s="8">
      <c r="A10" s="10" t="inlineStr">
        <is>
          <t>c3-09</t>
        </is>
      </c>
      <c r="B10" s="10" t="inlineStr">
        <is>
          <t>quem conduz o inventário proíbe mover o móvel</t>
        </is>
      </c>
      <c r="C10" s="10" t="inlineStr">
        <is>
          <t>roteiro</t>
        </is>
      </c>
      <c r="D10" s="10" t="inlineStr">
        <is>
          <t>cond (tabeliao, ou policial se não houver tabelião)</t>
        </is>
      </c>
      <c r="E10" s="10" t="inlineStr">
        <is>
          <t>grupo</t>
        </is>
      </c>
      <c r="F10" s="10" t="n"/>
      <c r="G10" s="10" t="inlineStr">
        <is>
          <t>sem ata</t>
        </is>
      </c>
      <c r="H10" s="10" t="inlineStr">
        <is>
          <t>nove e meia</t>
        </is>
      </c>
      <c r="I10" s="10" t="inlineStr">
        <is>
          <t>caldo</t>
        </is>
      </c>
      <c r="J10" s="10" t="inlineStr">
        <is>
          <t>lista</t>
        </is>
      </c>
      <c r="K10" s="10" t="inlineStr">
        <is>
          <t>porta</t>
        </is>
      </c>
      <c r="L10" s="10" t="n"/>
      <c r="M10" s="10" t="n"/>
      <c r="N10" s="10" t="n"/>
      <c r="O10" s="10" t="n"/>
      <c r="P10" s="10" t="n"/>
      <c r="Q10" s="10" t="inlineStr">
        <is>
          <t>Não. Nada se move sem ata e sem todos. Reabro esta sala às nove e meia, depois do caldo, com a lista na mão. Até lá, o móvel fica onde está e alguém fica nesta porta.</t>
        </is>
      </c>
      <c r="R10" s="13" t="inlineStr">
        <is>
          <t>Não! Nada se move sem ata e sem todos. Reabro esta sala às nove e meia, depois do caldo, com a lista na mão. Até lá o móvel fica onde está e alguém fica nesta porta.</t>
        </is>
      </c>
      <c r="S10" s="13" t="inlineStr">
        <is>
          <t>Não. Sem ata… sem todos… nada se move. Nove e meia, depois do caldo. Com a lista. Até lá… o móvel fica onde está. E alguém nesta porta.</t>
        </is>
      </c>
      <c r="T10" s="13" t="inlineStr">
        <is>
          <t>Não… nada se move sem ata e sem todos. Reabro esta sala às nove e meia, depois do caldo, com a lista na mão. Até lá o móvel fica onde está, e alguém fica nesta porta. Tudo bem assim?</t>
        </is>
      </c>
      <c r="U10" s="13" t="inlineStr">
        <is>
          <t>Não. Nada se move sem ata e sem todos. Reabro esta sala às nove e meia, depois do caldo, com a lista na mão. Até lá, o móvel fica onde está e alguém fica nesta porta.</t>
        </is>
      </c>
      <c r="V10" s="13" t="inlineStr">
        <is>
          <t>Não. Com fome ninguém decide nada direito… Nada se move sem ata e sem todos. Reabro esta sala às nove e meia, depois do caldo, com a lista na mão. Até lá, o móvel fica onde está e alguém fica nesta porta.</t>
        </is>
      </c>
      <c r="W10" s="13" t="inlineStr">
        <is>
          <t>Negado. Nada se move sem ata e sem todos. Reabertura desta sala: nove e meia, depois do caldo, com a lista na mão. Até lá: móvel onde está, alguém nesta porta.</t>
        </is>
      </c>
      <c r="X10" s="10">
        <f>SUMPRODUCT(($G10:$P10&lt;&gt;"")*ISERROR(SEARCH($G10:$P10,R10)))+SUMPRODUCT(($G10:$P10&lt;&gt;"")*ISERROR(SEARCH($G10:$P10,S10)))+SUMPRODUCT(($G10:$P10&lt;&gt;"")*ISERROR(SEARCH($G10:$P10,T10)))+SUMPRODUCT(($G10:$P10&lt;&gt;"")*ISERROR(SEARCH($G10:$P10,U10)))+SUMPRODUCT(($G10:$P10&lt;&gt;"")*ISERROR(SEARCH($G10:$P10,V10)))+SUMPRODUCT(($G10:$P10&lt;&gt;"")*ISERROR(SEARCH($G10:$P10,W10)))</f>
        <v/>
      </c>
      <c r="Y10" s="10" t="inlineStr">
        <is>
          <t>Narração: '&lt;i&gt;"Não"&lt;/i&gt;, disse {cond}.' e depois o resto; aqui unidas.</t>
        </is>
      </c>
    </row>
    <row r="11" ht="23.85" customHeight="1" s="8">
      <c r="A11" s="10" t="inlineStr">
        <is>
          <t>c3-10</t>
        </is>
      </c>
      <c r="B11" s="10" t="inlineStr">
        <is>
          <t>pergunta sobre o relógio parado</t>
        </is>
      </c>
      <c r="C11" s="10" t="inlineStr">
        <is>
          <t>roteiro</t>
        </is>
      </c>
      <c r="D11" s="10" t="inlineStr">
        <is>
          <t>não atribuído (alguém do grupo)</t>
        </is>
      </c>
      <c r="E11" s="10" t="inlineStr">
        <is>
          <t>grupo</t>
        </is>
      </c>
      <c r="F11" s="10" t="n"/>
      <c r="G11" s="10" t="inlineStr">
        <is>
          <t>relógio</t>
        </is>
      </c>
      <c r="H11" s="10" t="inlineStr">
        <is>
          <t>parado</t>
        </is>
      </c>
      <c r="I11" s="10" t="n"/>
      <c r="J11" s="10" t="n"/>
      <c r="K11" s="10" t="n"/>
      <c r="L11" s="10" t="n"/>
      <c r="M11" s="10" t="n"/>
      <c r="N11" s="10" t="n"/>
      <c r="O11" s="10" t="n"/>
      <c r="P11" s="10" t="n"/>
      <c r="Q11" s="10" t="inlineStr">
        <is>
          <t>E o relógio parado?</t>
        </is>
      </c>
      <c r="R11" s="13" t="inlineStr">
        <is>
          <t>E o relógio parado?!</t>
        </is>
      </c>
      <c r="S11" s="13" t="inlineStr">
        <is>
          <t>E… o relógio parado?</t>
        </is>
      </c>
      <c r="T11" s="13" t="inlineStr">
        <is>
          <t>E o relógio parado…?</t>
        </is>
      </c>
      <c r="U11" s="13" t="inlineStr">
        <is>
          <t>E o relógio parado?</t>
        </is>
      </c>
      <c r="V11" s="13" t="inlineStr">
        <is>
          <t>Hum… e o relógio parado?</t>
        </is>
      </c>
      <c r="W11" s="13" t="inlineStr">
        <is>
          <t>E o relógio parado?</t>
        </is>
      </c>
      <c r="X11" s="10">
        <f>SUMPRODUCT(($G11:$P11&lt;&gt;"")*ISERROR(SEARCH($G11:$P11,R11)))+SUMPRODUCT(($G11:$P11&lt;&gt;"")*ISERROR(SEARCH($G11:$P11,S11)))+SUMPRODUCT(($G11:$P11&lt;&gt;"")*ISERROR(SEARCH($G11:$P11,T11)))+SUMPRODUCT(($G11:$P11&lt;&gt;"")*ISERROR(SEARCH($G11:$P11,U11)))+SUMPRODUCT(($G11:$P11&lt;&gt;"")*ISERROR(SEARCH($G11:$P11,V11)))+SUMPRODUCT(($G11:$P11&lt;&gt;"")*ISERROR(SEARCH($G11:$P11,W11)))</f>
        <v/>
      </c>
      <c r="Y11" s="10" t="inlineStr">
        <is>
          <t>Falante não identificado na narração: sem marca de gênero.</t>
        </is>
      </c>
    </row>
    <row r="12" ht="46.25" customHeight="1" s="8">
      <c r="A12" s="10" t="inlineStr">
        <is>
          <t>c3-11</t>
        </is>
      </c>
      <c r="B12" s="10" t="inlineStr">
        <is>
          <t>o Eletricista religa o pêndulo</t>
        </is>
      </c>
      <c r="C12" s="10" t="inlineStr">
        <is>
          <t>roteiro</t>
        </is>
      </c>
      <c r="D12" s="10" t="inlineStr">
        <is>
          <t>eletricista</t>
        </is>
      </c>
      <c r="E12" s="10" t="inlineStr">
        <is>
          <t>grupo</t>
        </is>
      </c>
      <c r="F12" s="10" t="inlineStr">
        <is>
          <t>M.religa==='eletricista'</t>
        </is>
      </c>
      <c r="G12" s="10" t="inlineStr">
        <is>
          <t>parado</t>
        </is>
      </c>
      <c r="H12" s="10" t="inlineStr">
        <is>
          <t>mola</t>
        </is>
      </c>
      <c r="I12" s="10" t="inlineStr">
        <is>
          <t>mecanismo</t>
        </is>
      </c>
      <c r="J12" s="10" t="n"/>
      <c r="K12" s="10" t="n"/>
      <c r="L12" s="10" t="n"/>
      <c r="M12" s="10" t="n"/>
      <c r="N12" s="10" t="n"/>
      <c r="O12" s="10" t="n"/>
      <c r="P12" s="10" t="n"/>
      <c r="Q12" s="10" t="inlineStr">
        <is>
          <t>Relógio desses parado muito tempo força a mola. Deixa comigo, tenho mão boa pra mecanismo.</t>
        </is>
      </c>
      <c r="R12" s="13" t="inlineStr">
        <is>
          <t>Relógio desses parado muito tempo força a mola! Deixa comigo, tenho mão boa pra mecanismo.</t>
        </is>
      </c>
      <c r="S12" s="13" t="inlineStr">
        <is>
          <t>Parado muito tempo… força a mola. Deixa comigo. Mão boa pra mecanismo.</t>
        </is>
      </c>
      <c r="T12" s="13" t="inlineStr">
        <is>
          <t>Relógio desses parado muito tempo força a mola, sabia? Deixa comigo, tenho mão boa pra mecanismo, sério.</t>
        </is>
      </c>
      <c r="U12" s="13" t="inlineStr">
        <is>
          <t>Relógio desses parado muito tempo força a mola. Deixa comigo, tenho mão boa pra mecanismo.</t>
        </is>
      </c>
      <c r="V12" s="13" t="inlineStr">
        <is>
          <t>Até a gente emperra numa noite úmida assim… Relógio desses parado muito tempo força a mola. Deixa comigo, tenho mão boa pra mecanismo.</t>
        </is>
      </c>
      <c r="W12" s="13" t="inlineStr">
        <is>
          <t>Relógio desses, parado muito tempo: força a mola. Deixe comigo. Mão boa pra mecanismo.</t>
        </is>
      </c>
      <c r="X12" s="10">
        <f>SUMPRODUCT(($G12:$P12&lt;&gt;"")*ISERROR(SEARCH($G12:$P12,R12)))+SUMPRODUCT(($G12:$P12&lt;&gt;"")*ISERROR(SEARCH($G12:$P12,S12)))+SUMPRODUCT(($G12:$P12&lt;&gt;"")*ISERROR(SEARCH($G12:$P12,T12)))+SUMPRODUCT(($G12:$P12&lt;&gt;"")*ISERROR(SEARCH($G12:$P12,U12)))+SUMPRODUCT(($G12:$P12&lt;&gt;"")*ISERROR(SEARCH($G12:$P12,V12)))+SUMPRODUCT(($G12:$P12&lt;&gt;"")*ISERROR(SEARCH($G12:$P12,W12)))</f>
        <v/>
      </c>
      <c r="Y12" s="10" t="inlineStr">
        <is>
          <t>Só nas partidas em que M.religa é o eletricista (8, 12). Duas falas citadas com 'disse o Eletricista, já com a mão no vidro' entre elas.</t>
        </is>
      </c>
    </row>
    <row r="13" ht="68.65000000000001" customHeight="1" s="8">
      <c r="A13" s="10" t="inlineStr">
        <is>
          <t>c3-12</t>
        </is>
      </c>
      <c r="B13" s="10" t="inlineStr">
        <is>
          <t>quem religou acerta os ponteiros</t>
        </is>
      </c>
      <c r="C13" s="10" t="inlineStr">
        <is>
          <t>roteiro</t>
        </is>
      </c>
      <c r="D13" s="10" t="inlineStr">
        <is>
          <t>M.religa (observadora|governanta|tabeliao|residente|eletricista|herdeira|chefe_de_cozinha)</t>
        </is>
      </c>
      <c r="E13" s="10" t="inlineStr">
        <is>
          <t>grupo</t>
        </is>
      </c>
      <c r="F13" s="10" t="n"/>
      <c r="G13" s="10" t="inlineStr">
        <is>
          <t>parado</t>
        </is>
      </c>
      <c r="H13" s="10" t="inlineStr">
        <is>
          <t>minutos</t>
        </is>
      </c>
      <c r="I13" s="10" t="inlineStr">
        <is>
          <t>devolver</t>
        </is>
      </c>
      <c r="J13" s="10" t="n"/>
      <c r="K13" s="10" t="n"/>
      <c r="L13" s="10" t="n"/>
      <c r="M13" s="10" t="n"/>
      <c r="N13" s="10" t="n"/>
      <c r="O13" s="10" t="n"/>
      <c r="P13" s="10" t="n"/>
      <c r="Q13" s="10" t="inlineStr">
        <is>
          <t>Ficou parado uns minutos. Vou devolver o que perdeu.</t>
        </is>
      </c>
      <c r="R13" s="13" t="inlineStr">
        <is>
          <t>Ficou parado uns minutos! Vou devolver o que perdeu.</t>
        </is>
      </c>
      <c r="S13" s="13" t="inlineStr">
        <is>
          <t>Parado… uns minutos. Vou devolver o que perdeu.</t>
        </is>
      </c>
      <c r="T13" s="13" t="inlineStr">
        <is>
          <t>Ficou parado uns minutos, não foi? Vou devolver o que perdeu.</t>
        </is>
      </c>
      <c r="U13" s="13" t="inlineStr">
        <is>
          <t>Ficou parado uns minutos. Vou devolver o que perdeu.</t>
        </is>
      </c>
      <c r="V13" s="13" t="inlineStr">
        <is>
          <t>O tempo se arrasta numa noite dessas… Ficou parado uns minutos. Vou devolver o que perdeu.</t>
        </is>
      </c>
      <c r="W13" s="13" t="inlineStr">
        <is>
          <t>Parado: uns minutos. Vou devolver o que perdeu.</t>
        </is>
      </c>
      <c r="X13" s="10">
        <f>SUMPRODUCT(($G13:$P13&lt;&gt;"")*ISERROR(SEARCH($G13:$P13,R13)))+SUMPRODUCT(($G13:$P13&lt;&gt;"")*ISERROR(SEARCH($G13:$P13,S13)))+SUMPRODUCT(($G13:$P13&lt;&gt;"")*ISERROR(SEARCH($G13:$P13,T13)))+SUMPRODUCT(($G13:$P13&lt;&gt;"")*ISERROR(SEARCH($G13:$P13,U13)))+SUMPRODUCT(($G13:$P13&lt;&gt;"")*ISERROR(SEARCH($G13:$P13,V13)))+SUMPRODUCT(($G13:$P13&lt;&gt;"")*ISERROR(SEARCH($G13:$P13,W13)))</f>
        <v/>
      </c>
      <c r="Y13" s="10" t="inlineStr">
        <is>
          <t>Falante varia por partida e por gênero; 'parado' refere-se ao relógio.</t>
        </is>
      </c>
    </row>
    <row r="14" ht="46.25" customHeight="1" s="8">
      <c r="A14" s="10" t="inlineStr">
        <is>
          <t>c3-13</t>
        </is>
      </c>
      <c r="B14" s="10" t="inlineStr">
        <is>
          <t>o Policial confere os quatro minutos</t>
        </is>
      </c>
      <c r="C14" s="10" t="inlineStr">
        <is>
          <t>roteiro</t>
        </is>
      </c>
      <c r="D14" s="10" t="inlineStr">
        <is>
          <t>policial</t>
        </is>
      </c>
      <c r="E14" s="10" t="inlineStr">
        <is>
          <t>grupo</t>
        </is>
      </c>
      <c r="F14" s="10" t="n"/>
      <c r="G14" s="10" t="inlineStr">
        <is>
          <t>quatro</t>
        </is>
      </c>
      <c r="H14" s="10" t="inlineStr">
        <is>
          <t>como estava</t>
        </is>
      </c>
      <c r="I14" s="10" t="n"/>
      <c r="J14" s="10" t="n"/>
      <c r="K14" s="10" t="n"/>
      <c r="L14" s="10" t="n"/>
      <c r="M14" s="10" t="n"/>
      <c r="N14" s="10" t="n"/>
      <c r="O14" s="10" t="n"/>
      <c r="P14" s="10" t="n"/>
      <c r="Q14" s="10" t="inlineStr">
        <is>
          <t>Quatro na frente. Como estava.</t>
        </is>
      </c>
      <c r="R14" s="13" t="inlineStr">
        <is>
          <t>Quatro na frente! Como estava.</t>
        </is>
      </c>
      <c r="S14" s="13" t="inlineStr">
        <is>
          <t>Quatro… na frente. Como estava.</t>
        </is>
      </c>
      <c r="T14" s="13" t="inlineStr">
        <is>
          <t>Quatro na frente… como estava, não era?</t>
        </is>
      </c>
      <c r="U14" s="13" t="inlineStr">
        <is>
          <t>Quatro na frente. Como estava.</t>
        </is>
      </c>
      <c r="V14" s="13" t="inlineStr">
        <is>
          <t>Deixa eu ver… quatro na frente. Como estava.</t>
        </is>
      </c>
      <c r="W14" s="13" t="inlineStr">
        <is>
          <t>Conferido: quatro na frente. Como estava.</t>
        </is>
      </c>
      <c r="X14" s="10">
        <f>SUMPRODUCT(($G14:$P14&lt;&gt;"")*ISERROR(SEARCH($G14:$P14,R14)))+SUMPRODUCT(($G14:$P14&lt;&gt;"")*ISERROR(SEARCH($G14:$P14,S14)))+SUMPRODUCT(($G14:$P14&lt;&gt;"")*ISERROR(SEARCH($G14:$P14,T14)))+SUMPRODUCT(($G14:$P14&lt;&gt;"")*ISERROR(SEARCH($G14:$P14,U14)))+SUMPRODUCT(($G14:$P14&lt;&gt;"")*ISERROR(SEARCH($G14:$P14,V14)))+SUMPRODUCT(($G14:$P14&lt;&gt;"")*ISERROR(SEARCH($G14:$P14,W14)))</f>
        <v/>
      </c>
      <c r="Y14" s="10" t="inlineStr">
        <is>
          <t>Duas falas citadas com 'conferiu o Policial' entre elas. Se o jogador é o Policial, a fala é dele mesmo (narração fala 'o seu pulso').</t>
        </is>
      </c>
    </row>
    <row r="15" ht="23.85" customHeight="1" s="8">
      <c r="A15" s="10" t="inlineStr">
        <is>
          <t>c3-14</t>
        </is>
      </c>
      <c r="B15" s="10" t="inlineStr">
        <is>
          <t>a Herdeira, baixo, sobre o relógio adiantado</t>
        </is>
      </c>
      <c r="C15" s="10" t="inlineStr">
        <is>
          <t>roteiro</t>
        </is>
      </c>
      <c r="D15" s="10" t="inlineStr">
        <is>
          <t>herdeira</t>
        </is>
      </c>
      <c r="E15" s="10" t="inlineStr">
        <is>
          <t>grupo</t>
        </is>
      </c>
      <c r="F15" s="10" t="n"/>
      <c r="G15" s="10" t="inlineStr">
        <is>
          <t>como</t>
        </is>
      </c>
      <c r="H15" s="10" t="inlineStr">
        <is>
          <t>ele deixava</t>
        </is>
      </c>
      <c r="I15" s="10" t="n"/>
      <c r="J15" s="10" t="n"/>
      <c r="K15" s="10" t="n"/>
      <c r="L15" s="10" t="n"/>
      <c r="M15" s="10" t="n"/>
      <c r="N15" s="10" t="n"/>
      <c r="O15" s="10" t="n"/>
      <c r="P15" s="10" t="n"/>
      <c r="Q15" s="10" t="inlineStr">
        <is>
          <t>Como ele deixava.</t>
        </is>
      </c>
      <c r="R15" s="13" t="inlineStr">
        <is>
          <t>Como ele deixava!</t>
        </is>
      </c>
      <c r="S15" s="13" t="inlineStr">
        <is>
          <t>Como… ele deixava.</t>
        </is>
      </c>
      <c r="T15" s="13" t="inlineStr">
        <is>
          <t>Como ele deixava…</t>
        </is>
      </c>
      <c r="U15" s="13" t="inlineStr">
        <is>
          <t>Como ele deixava.</t>
        </is>
      </c>
      <c r="V15" s="13" t="inlineStr">
        <is>
          <t>Bem… como ele deixava.</t>
        </is>
      </c>
      <c r="W15" s="13" t="inlineStr">
        <is>
          <t>Como ele deixava.</t>
        </is>
      </c>
      <c r="X15" s="10">
        <f>SUMPRODUCT(($G15:$P15&lt;&gt;"")*ISERROR(SEARCH($G15:$P15,R15)))+SUMPRODUCT(($G15:$P15&lt;&gt;"")*ISERROR(SEARCH($G15:$P15,S15)))+SUMPRODUCT(($G15:$P15&lt;&gt;"")*ISERROR(SEARCH($G15:$P15,T15)))+SUMPRODUCT(($G15:$P15&lt;&gt;"")*ISERROR(SEARCH($G15:$P15,U15)))+SUMPRODUCT(($G15:$P15&lt;&gt;"")*ISERROR(SEARCH($G15:$P15,V15)))+SUMPRODUCT(($G15:$P15&lt;&gt;"")*ISERROR(SEARCH($G15:$P15,W15)))</f>
        <v/>
      </c>
      <c r="Y15" s="10" t="inlineStr">
        <is>
          <t>Narração marca 'baixo'.</t>
        </is>
      </c>
    </row>
    <row r="16" ht="35.05" customHeight="1" s="8">
      <c r="A16" s="10" t="inlineStr">
        <is>
          <t>c3-15</t>
        </is>
      </c>
      <c r="B16" s="10" t="inlineStr">
        <is>
          <t>depois da marca de mão</t>
        </is>
      </c>
      <c r="C16" s="10" t="inlineStr">
        <is>
          <t>chat</t>
        </is>
      </c>
      <c r="D16" s="10" t="inlineStr">
        <is>
          <t>voz(['policial','residente','advogado'],M.mao)</t>
        </is>
      </c>
      <c r="E16" s="10" t="inlineStr">
        <is>
          <t>grupo</t>
        </is>
      </c>
      <c r="F16" s="10" t="n"/>
      <c r="G16" s="10" t="inlineStr">
        <is>
          <t>saiu</t>
        </is>
      </c>
      <c r="H16" s="10" t="inlineStr">
        <is>
          <t>biblioteca</t>
        </is>
      </c>
      <c r="I16" s="10" t="inlineStr">
        <is>
          <t>minuto</t>
        </is>
      </c>
      <c r="J16" s="10" t="inlineStr">
        <is>
          <t>inventário</t>
        </is>
      </c>
      <c r="K16" s="10" t="n"/>
      <c r="L16" s="10" t="n"/>
      <c r="M16" s="10" t="n"/>
      <c r="N16" s="10" t="n"/>
      <c r="O16" s="10" t="n"/>
      <c r="P16" s="10" t="n"/>
      <c r="Q16" s="10" t="inlineStr">
        <is>
          <t>Alguém saiu da biblioteca no minuto do inventário.</t>
        </is>
      </c>
      <c r="R16" s="13" t="inlineStr">
        <is>
          <t>Alguém saiu da biblioteca no minuto do inventário! Bonito, hein.</t>
        </is>
      </c>
      <c r="S16" s="13" t="inlineStr">
        <is>
          <t>Alguém saiu… da biblioteca. No minuto do inventário.</t>
        </is>
      </c>
      <c r="T16" s="13" t="inlineStr">
        <is>
          <t>Alguém saiu da biblioteca no minuto do inventário… Vocês também perceberam?</t>
        </is>
      </c>
      <c r="U16" s="13" t="inlineStr">
        <is>
          <t>Alguém saiu da biblioteca no minuto do inventário.</t>
        </is>
      </c>
      <c r="V16" s="13" t="inlineStr">
        <is>
          <t>Tanta demora, tanto cansaço… mas alguém saiu da biblioteca no minuto do inventário.</t>
        </is>
      </c>
      <c r="W16" s="13" t="inlineStr">
        <is>
          <t>Consta: alguém saiu da biblioteca no minuto do inventário.</t>
        </is>
      </c>
      <c r="X16" s="10">
        <f>SUMPRODUCT(($G16:$P16&lt;&gt;"")*ISERROR(SEARCH($G16:$P16,R16)))+SUMPRODUCT(($G16:$P16&lt;&gt;"")*ISERROR(SEARCH($G16:$P16,S16)))+SUMPRODUCT(($G16:$P16&lt;&gt;"")*ISERROR(SEARCH($G16:$P16,T16)))+SUMPRODUCT(($G16:$P16&lt;&gt;"")*ISERROR(SEARCH($G16:$P16,U16)))+SUMPRODUCT(($G16:$P16&lt;&gt;"")*ISERROR(SEARCH($G16:$P16,V16)))+SUMPRODUCT(($G16:$P16&lt;&gt;"")*ISERROR(SEARCH($G16:$P16,W16)))</f>
        <v/>
      </c>
      <c r="Y16" s="10" t="n"/>
    </row>
    <row r="17" ht="35.05" customHeight="1" s="8">
      <c r="A17" s="10" t="inlineStr">
        <is>
          <t>c3-16</t>
        </is>
      </c>
      <c r="B17" s="10" t="inlineStr">
        <is>
          <t>depois de religado o relógio</t>
        </is>
      </c>
      <c r="C17" s="10" t="inlineStr">
        <is>
          <t>chat</t>
        </is>
      </c>
      <c r="D17" s="10" t="inlineStr">
        <is>
          <t>voz(['jornalista','herdeira','residente'])</t>
        </is>
      </c>
      <c r="E17" s="10" t="inlineStr">
        <is>
          <t>grupo</t>
        </is>
      </c>
      <c r="F17" s="10" t="n"/>
      <c r="G17" s="10" t="inlineStr">
        <is>
          <t>pare o pêndulo</t>
        </is>
      </c>
      <c r="H17" s="10" t="inlineStr">
        <is>
          <t>parasse</t>
        </is>
      </c>
      <c r="I17" s="10" t="inlineStr">
        <is>
          <t>relógio</t>
        </is>
      </c>
      <c r="J17" s="10" t="inlineStr">
        <is>
          <t>por quê</t>
        </is>
      </c>
      <c r="K17" s="10" t="n"/>
      <c r="L17" s="10" t="n"/>
      <c r="M17" s="10" t="n"/>
      <c r="N17" s="10" t="n"/>
      <c r="O17" s="10" t="n"/>
      <c r="P17" s="10" t="n"/>
      <c r="Q17" s="10" t="inlineStr">
        <is>
          <t>Pare o pêndulo. Ele queria que alguém parasse o relógio. Por quê?</t>
        </is>
      </c>
      <c r="R17" s="13" t="inlineStr">
        <is>
          <t>Pare o pêndulo! Ele queria que alguém parasse o relógio. Por quê?</t>
        </is>
      </c>
      <c r="S17" s="13" t="inlineStr">
        <is>
          <t>Pare o pêndulo… Ele queria que alguém parasse o relógio. Por quê?</t>
        </is>
      </c>
      <c r="T17" s="13" t="inlineStr">
        <is>
          <t>Pare o pêndulo… ele queria que alguém parasse o relógio. Mas por quê?</t>
        </is>
      </c>
      <c r="U17" s="13" t="inlineStr">
        <is>
          <t>Pare o pêndulo. Ele queria que alguém parasse o relógio, e ele nunca pedia à toa. Por quê?</t>
        </is>
      </c>
      <c r="V17" s="13" t="inlineStr">
        <is>
          <t>Essa chuva não deixa ninguém pensar… Pare o pêndulo. Ele queria que alguém parasse o relógio. Por quê?</t>
        </is>
      </c>
      <c r="W17" s="13" t="inlineStr">
        <is>
          <t>Texto: pare o pêndulo. Vontade dele: que alguém parasse o relógio. Por quê?</t>
        </is>
      </c>
      <c r="X17" s="10">
        <f>SUMPRODUCT(($G17:$P17&lt;&gt;"")*ISERROR(SEARCH($G17:$P17,R17)))+SUMPRODUCT(($G17:$P17&lt;&gt;"")*ISERROR(SEARCH($G17:$P17,S17)))+SUMPRODUCT(($G17:$P17&lt;&gt;"")*ISERROR(SEARCH($G17:$P17,T17)))+SUMPRODUCT(($G17:$P17&lt;&gt;"")*ISERROR(SEARCH($G17:$P17,U17)))+SUMPRODUCT(($G17:$P17&lt;&gt;"")*ISERROR(SEARCH($G17:$P17,V17)))+SUMPRODUCT(($G17:$P17&lt;&gt;"")*ISERROR(SEARCH($G17:$P17,W17)))</f>
        <v/>
      </c>
      <c r="Y17" s="10" t="n"/>
    </row>
    <row r="18" ht="35.05" customHeight="1" s="8">
      <c r="A18" s="10" t="inlineStr">
        <is>
          <t>c3-17</t>
        </is>
      </c>
      <c r="B18" s="10" t="inlineStr">
        <is>
          <t>depois de religado o relógio</t>
        </is>
      </c>
      <c r="C18" s="10" t="inlineStr">
        <is>
          <t>chat</t>
        </is>
      </c>
      <c r="D18" s="10" t="inlineStr">
        <is>
          <t>voz(['advogado','tabeliao','observadora'])</t>
        </is>
      </c>
      <c r="E18" s="10" t="inlineStr">
        <is>
          <t>grupo</t>
        </is>
      </c>
      <c r="F18" s="10" t="n"/>
      <c r="G18" s="10" t="inlineStr">
        <is>
          <t>carta</t>
        </is>
      </c>
      <c r="H18" s="10" t="inlineStr">
        <is>
          <t>parar o pêndulo</t>
        </is>
      </c>
      <c r="I18" s="10" t="inlineStr">
        <is>
          <t>à toa</t>
        </is>
      </c>
      <c r="J18" s="10" t="n"/>
      <c r="K18" s="10" t="n"/>
      <c r="L18" s="10" t="n"/>
      <c r="M18" s="10" t="n"/>
      <c r="N18" s="10" t="n"/>
      <c r="O18" s="10" t="n"/>
      <c r="P18" s="10" t="n"/>
      <c r="Q18" s="10" t="inlineStr">
        <is>
          <t>Ele deixou uma carta mandando parar o pêndulo. Ninguém escreve isso à toa.</t>
        </is>
      </c>
      <c r="R18" s="13" t="inlineStr">
        <is>
          <t>Ele deixou uma carta mandando parar o pêndulo! Ninguém escreve isso à toa.</t>
        </is>
      </c>
      <c r="S18" s="13" t="inlineStr">
        <is>
          <t>Uma carta… mandando parar o pêndulo. Ninguém escreve isso à toa.</t>
        </is>
      </c>
      <c r="T18" s="13" t="inlineStr">
        <is>
          <t>Ele deixou uma carta mandando parar o pêndulo… Ninguém escreve isso à toa, escreve?</t>
        </is>
      </c>
      <c r="U18" s="13" t="inlineStr">
        <is>
          <t>Ele sabia o que fazia. Deixou uma carta mandando parar o pêndulo. Ninguém escreve isso à toa.</t>
        </is>
      </c>
      <c r="V18" s="13" t="inlineStr">
        <is>
          <t>Noite comprida, essa… Ele deixou uma carta mandando parar o pêndulo. Ninguém escreve isso à toa.</t>
        </is>
      </c>
      <c r="W18" s="13" t="inlineStr">
        <is>
          <t>Para a ata: carta deixada por ele, mandando parar o pêndulo. Ninguém escreve isso à toa.</t>
        </is>
      </c>
      <c r="X18" s="10">
        <f>SUMPRODUCT(($G18:$P18&lt;&gt;"")*ISERROR(SEARCH($G18:$P18,R18)))+SUMPRODUCT(($G18:$P18&lt;&gt;"")*ISERROR(SEARCH($G18:$P18,S18)))+SUMPRODUCT(($G18:$P18&lt;&gt;"")*ISERROR(SEARCH($G18:$P18,T18)))+SUMPRODUCT(($G18:$P18&lt;&gt;"")*ISERROR(SEARCH($G18:$P18,U18)))+SUMPRODUCT(($G18:$P18&lt;&gt;"")*ISERROR(SEARCH($G18:$P18,V18)))+SUMPRODUCT(($G18:$P18&lt;&gt;"")*ISERROR(SEARCH($G18:$P18,W18)))</f>
        <v/>
      </c>
      <c r="Y18" s="10" t="inlineStr">
        <is>
          <t>Comentário de 01/10: não pode insinuar o que há atrás do fundo do móvel.</t>
        </is>
      </c>
    </row>
    <row r="19" ht="35.05" customHeight="1" s="8">
      <c r="A19" s="10" t="inlineStr">
        <is>
          <t>c3-18</t>
        </is>
      </c>
      <c r="B19" s="10" t="inlineStr">
        <is>
          <t>pergunta no privado</t>
        </is>
      </c>
      <c r="C19" s="10" t="inlineStr">
        <is>
          <t>privado</t>
        </is>
      </c>
      <c r="D19" s="10" t="inlineStr">
        <is>
          <t>voz(['residente','jornalista','herdeira'],M.mao)</t>
        </is>
      </c>
      <c r="E19" s="10" t="inlineStr">
        <is>
          <t>jogador no privado</t>
        </is>
      </c>
      <c r="F19" s="10" t="n"/>
      <c r="G19" s="10" t="inlineStr">
        <is>
          <t>viu</t>
        </is>
      </c>
      <c r="H19" s="10" t="inlineStr">
        <is>
          <t>saiu</t>
        </is>
      </c>
      <c r="I19" s="10" t="inlineStr">
        <is>
          <t>biblioteca</t>
        </is>
      </c>
      <c r="J19" s="10" t="inlineStr">
        <is>
          <t>inventário</t>
        </is>
      </c>
      <c r="K19" s="10" t="n"/>
      <c r="L19" s="10" t="n"/>
      <c r="M19" s="10" t="n"/>
      <c r="N19" s="10" t="n"/>
      <c r="O19" s="10" t="n"/>
      <c r="P19" s="10" t="n"/>
      <c r="Q19" s="10" t="inlineStr">
        <is>
          <t>Você viu quem saiu da biblioteca no minuto do inventário?</t>
        </is>
      </c>
      <c r="R19" s="13" t="inlineStr">
        <is>
          <t>Você viu ou não viu quem saiu da biblioteca no minuto do inventário?!</t>
        </is>
      </c>
      <c r="S19" s="13" t="inlineStr">
        <is>
          <t>Você viu… quem saiu da biblioteca? No minuto do inventário.</t>
        </is>
      </c>
      <c r="T19" s="13" t="inlineStr">
        <is>
          <t>Desculpa perguntar… você viu quem saiu da biblioteca no minuto do inventário?</t>
        </is>
      </c>
      <c r="U19" s="13" t="inlineStr">
        <is>
          <t>Você viu quem saiu da biblioteca no minuto do inventário?</t>
        </is>
      </c>
      <c r="V19" s="13" t="inlineStr">
        <is>
          <t>Que frio nesse corredor… Você viu quem saiu da biblioteca no minuto do inventário?</t>
        </is>
      </c>
      <c r="W19" s="13" t="inlineStr">
        <is>
          <t>Pergunta objetiva: você viu quem saiu da biblioteca no minuto do inventário?</t>
        </is>
      </c>
      <c r="X19" s="10">
        <f>SUMPRODUCT(($G19:$P19&lt;&gt;"")*ISERROR(SEARCH($G19:$P19,R19)))+SUMPRODUCT(($G19:$P19&lt;&gt;"")*ISERROR(SEARCH($G19:$P19,S19)))+SUMPRODUCT(($G19:$P19&lt;&gt;"")*ISERROR(SEARCH($G19:$P19,T19)))+SUMPRODUCT(($G19:$P19&lt;&gt;"")*ISERROR(SEARCH($G19:$P19,U19)))+SUMPRODUCT(($G19:$P19&lt;&gt;"")*ISERROR(SEARCH($G19:$P19,V19)))+SUMPRODUCT(($G19:$P19&lt;&gt;"")*ISERROR(SEARCH($G19:$P19,W19)))</f>
        <v/>
      </c>
      <c r="Y19" s="10" t="n"/>
    </row>
    <row r="20" ht="35.05" customHeight="1" s="8">
      <c r="A20" s="10" t="inlineStr">
        <is>
          <t>c3-19</t>
        </is>
      </c>
      <c r="B20" s="10" t="inlineStr">
        <is>
          <t>jogador pergunta 'De quem é a mão no móvel?'</t>
        </is>
      </c>
      <c r="C20" s="10" t="inlineStr">
        <is>
          <t>resposta</t>
        </is>
      </c>
      <c r="D20" s="10" t="inlineStr">
        <is>
          <t>fala(['policial','advogado','residente'],...,M.mao)</t>
        </is>
      </c>
      <c r="E20" s="10" t="inlineStr">
        <is>
          <t>grupo</t>
        </is>
      </c>
      <c r="F20" s="10" t="n"/>
      <c r="G20" s="10" t="inlineStr">
        <is>
          <t>mãos</t>
        </is>
      </c>
      <c r="H20" s="10" t="inlineStr">
        <is>
          <t>todo mundo</t>
        </is>
      </c>
      <c r="I20" s="10" t="inlineStr">
        <is>
          <t>marca</t>
        </is>
      </c>
      <c r="J20" s="10" t="n"/>
      <c r="K20" s="10" t="n"/>
      <c r="L20" s="10" t="n"/>
      <c r="M20" s="10" t="n"/>
      <c r="N20" s="10" t="n"/>
      <c r="O20" s="10" t="n"/>
      <c r="P20" s="10" t="n"/>
      <c r="Q20" s="10" t="inlineStr">
        <is>
          <t>Olhe as mãos de todo mundo. A marca diz muito.</t>
        </is>
      </c>
      <c r="R20" s="13" t="inlineStr">
        <is>
          <t>Olhe as mãos de todo mundo! A marca diz muito.</t>
        </is>
      </c>
      <c r="S20" s="13" t="inlineStr">
        <is>
          <t>As mãos… de todo mundo. A marca diz muito.</t>
        </is>
      </c>
      <c r="T20" s="13" t="inlineStr">
        <is>
          <t>Olhe as mãos de todo mundo… a marca diz muito, não diz?</t>
        </is>
      </c>
      <c r="U20" s="13" t="inlineStr">
        <is>
          <t>Olhe as mãos de todo mundo. A marca diz muito.</t>
        </is>
      </c>
      <c r="V20" s="13" t="inlineStr">
        <is>
          <t>Cansaço, a essa altura… Olhe as mãos de todo mundo. A marca diz muito.</t>
        </is>
      </c>
      <c r="W20" s="13" t="inlineStr">
        <is>
          <t>Verificar: as mãos de todo mundo. A marca diz muito.</t>
        </is>
      </c>
      <c r="X20" s="10">
        <f>SUMPRODUCT(($G20:$P20&lt;&gt;"")*ISERROR(SEARCH($G20:$P20,R20)))+SUMPRODUCT(($G20:$P20&lt;&gt;"")*ISERROR(SEARCH($G20:$P20,S20)))+SUMPRODUCT(($G20:$P20&lt;&gt;"")*ISERROR(SEARCH($G20:$P20,T20)))+SUMPRODUCT(($G20:$P20&lt;&gt;"")*ISERROR(SEARCH($G20:$P20,U20)))+SUMPRODUCT(($G20:$P20&lt;&gt;"")*ISERROR(SEARCH($G20:$P20,V20)))+SUMPRODUCT(($G20:$P20&lt;&gt;"")*ISERROR(SEARCH($G20:$P20,W20)))</f>
        <v/>
      </c>
      <c r="Y20" s="10" t="n"/>
    </row>
    <row r="21" ht="35.05" customHeight="1" s="8">
      <c r="A21" s="10" t="inlineStr">
        <is>
          <t>c3-20</t>
        </is>
      </c>
      <c r="B21" s="10" t="inlineStr">
        <is>
          <t>jogador pergunta 'O que mais está escrito na carta?'</t>
        </is>
      </c>
      <c r="C21" s="10" t="inlineStr">
        <is>
          <t>resposta</t>
        </is>
      </c>
      <c r="D21" s="10" t="inlineStr">
        <is>
          <t>fala(['advogado','tabeliao','observadora'],...,M.palavras)</t>
        </is>
      </c>
      <c r="E21" s="10" t="inlineStr">
        <is>
          <t>grupo</t>
        </is>
      </c>
      <c r="F21" s="10" t="n"/>
      <c r="G21" s="10" t="inlineStr">
        <is>
          <t>resto</t>
        </is>
      </c>
      <c r="H21" s="10" t="inlineStr">
        <is>
          <t>filha</t>
        </is>
      </c>
      <c r="I21" s="10" t="inlineStr">
        <is>
          <t>pare o pêndulo</t>
        </is>
      </c>
      <c r="J21" s="10" t="inlineStr">
        <is>
          <t>escondido</t>
        </is>
      </c>
      <c r="K21" s="10" t="n"/>
      <c r="L21" s="10" t="n"/>
      <c r="M21" s="10" t="n"/>
      <c r="N21" s="10" t="n"/>
      <c r="O21" s="10" t="n"/>
      <c r="P21" s="10" t="n"/>
      <c r="Q21" s="10" t="inlineStr">
        <is>
          <t>O resto é para {g:her:a filha|o filho}. Só "pare o pêndulo" estava escondido.</t>
        </is>
      </c>
      <c r="R21" s="13" t="inlineStr">
        <is>
          <t>O resto é para {g:her:a filha|o filho}! Só "pare o pêndulo" estava escondido.</t>
        </is>
      </c>
      <c r="S21" s="13" t="inlineStr">
        <is>
          <t>O resto… é para {g:her:a filha|o filho}. Só "pare o pêndulo"… escondido.</t>
        </is>
      </c>
      <c r="T21" s="13" t="inlineStr">
        <is>
          <t>O resto é para {g:her:a filha|o filho}. Só "pare o pêndulo" estava escondido, mais nada, pelo que eu li.</t>
        </is>
      </c>
      <c r="U21" s="13" t="inlineStr">
        <is>
          <t>O resto é para {g:her:a filha|o filho}, e fica com {g:her:ela|ele}. Só "pare o pêndulo" estava escondido.</t>
        </is>
      </c>
      <c r="V21" s="13" t="inlineStr">
        <is>
          <t>A noite está longa… O resto é para {g:her:a filha|o filho}. Só "pare o pêndulo" estava escondido.</t>
        </is>
      </c>
      <c r="W21" s="13" t="inlineStr">
        <is>
          <t>Consta: o resto é para {g:her:a filha|o filho}. Único trecho escondido: "pare o pêndulo".</t>
        </is>
      </c>
      <c r="X21" s="10">
        <f>SUMPRODUCT(($G21:$P21&lt;&gt;"")*ISERROR(SEARCH($G21:$P21,R21)))+SUMPRODUCT(($G21:$P21&lt;&gt;"")*ISERROR(SEARCH($G21:$P21,S21)))+SUMPRODUCT(($G21:$P21&lt;&gt;"")*ISERROR(SEARCH($G21:$P21,T21)))+SUMPRODUCT(($G21:$P21&lt;&gt;"")*ISERROR(SEARCH($G21:$P21,U21)))+SUMPRODUCT(($G21:$P21&lt;&gt;"")*ISERROR(SEARCH($G21:$P21,V21)))+SUMPRODUCT(($G21:$P21&lt;&gt;"")*ISERROR(SEARCH($G21:$P21,W21)))</f>
        <v/>
      </c>
      <c r="Y21" s="10" t="n"/>
    </row>
    <row r="22" ht="35.05" customHeight="1" s="8">
      <c r="A22" s="10" t="inlineStr">
        <is>
          <t>c3-21</t>
        </is>
      </c>
      <c r="B22" s="10" t="inlineStr">
        <is>
          <t>jogador pergunta 'O que foi esse estalo?'</t>
        </is>
      </c>
      <c r="C22" s="10" t="inlineStr">
        <is>
          <t>resposta</t>
        </is>
      </c>
      <c r="D22" s="10" t="inlineStr">
        <is>
          <t>fala(['residente','eletricista','observadora'])</t>
        </is>
      </c>
      <c r="E22" s="10" t="inlineStr">
        <is>
          <t>grupo</t>
        </is>
      </c>
      <c r="F22" s="10" t="n"/>
      <c r="G22" s="10" t="inlineStr">
        <is>
          <t>trinco</t>
        </is>
      </c>
      <c r="H22" s="10" t="inlineStr">
        <is>
          <t>pêndulo parou</t>
        </is>
      </c>
      <c r="I22" s="10" t="inlineStr">
        <is>
          <t>soltou</t>
        </is>
      </c>
      <c r="J22" s="10" t="inlineStr">
        <is>
          <t>lá atrás</t>
        </is>
      </c>
      <c r="K22" s="10" t="n"/>
      <c r="L22" s="10" t="n"/>
      <c r="M22" s="10" t="n"/>
      <c r="N22" s="10" t="n"/>
      <c r="O22" s="10" t="n"/>
      <c r="P22" s="10" t="n"/>
      <c r="Q22" s="10" t="inlineStr">
        <is>
          <t>Um trinco. Quando o pêndulo parou, alguma coisa soltou lá atrás.</t>
        </is>
      </c>
      <c r="R22" s="13" t="inlineStr">
        <is>
          <t>Um trinco! Quando o pêndulo parou, alguma coisa soltou lá atrás.</t>
        </is>
      </c>
      <c r="S22" s="13" t="inlineStr">
        <is>
          <t>Um trinco… O pêndulo parou… alguma coisa soltou. Lá atrás.</t>
        </is>
      </c>
      <c r="T22" s="13" t="inlineStr">
        <is>
          <t>Um trinco… Quando o pêndulo parou, alguma coisa soltou lá atrás. Deu um susto, não deu?</t>
        </is>
      </c>
      <c r="U22" s="13" t="inlineStr">
        <is>
          <t>Um trinco. Quando o pêndulo parou, alguma coisa soltou lá atrás.</t>
        </is>
      </c>
      <c r="V22" s="13" t="inlineStr">
        <is>
          <t>A gente se distrai com o frio… mas foi um trinco. Quando o pêndulo parou, alguma coisa soltou lá atrás.</t>
        </is>
      </c>
      <c r="W22" s="13" t="inlineStr">
        <is>
          <t>Um trinco. Momento: quando o pêndulo parou. Efeito: alguma coisa soltou lá atrás.</t>
        </is>
      </c>
      <c r="X22" s="10">
        <f>SUMPRODUCT(($G22:$P22&lt;&gt;"")*ISERROR(SEARCH($G22:$P22,R22)))+SUMPRODUCT(($G22:$P22&lt;&gt;"")*ISERROR(SEARCH($G22:$P22,S22)))+SUMPRODUCT(($G22:$P22&lt;&gt;"")*ISERROR(SEARCH($G22:$P22,T22)))+SUMPRODUCT(($G22:$P22&lt;&gt;"")*ISERROR(SEARCH($G22:$P22,U22)))+SUMPRODUCT(($G22:$P22&lt;&gt;"")*ISERROR(SEARCH($G22:$P22,V22)))+SUMPRODUCT(($G22:$P22&lt;&gt;"")*ISERROR(SEARCH($G22:$P22,W22)))</f>
        <v/>
      </c>
      <c r="Y22" s="10" t="n"/>
    </row>
    <row r="23" ht="23.85" customHeight="1" s="8">
      <c r="A23" s="10" t="inlineStr">
        <is>
          <t>c3-22</t>
        </is>
      </c>
      <c r="B23" s="10" t="inlineStr">
        <is>
          <t>jogador pergunta 'Por que não afastar o móvel agora?'</t>
        </is>
      </c>
      <c r="C23" s="10" t="inlineStr">
        <is>
          <t>resposta</t>
        </is>
      </c>
      <c r="D23" s="10" t="inlineStr">
        <is>
          <t>fala(['tabeliao','advogado','policial'])</t>
        </is>
      </c>
      <c r="E23" s="10" t="inlineStr">
        <is>
          <t>grupo</t>
        </is>
      </c>
      <c r="F23" s="10" t="n"/>
      <c r="G23" s="10" t="inlineStr">
        <is>
          <t>sem ata</t>
        </is>
      </c>
      <c r="H23" s="10" t="inlineStr">
        <is>
          <t>nove e meia</t>
        </is>
      </c>
      <c r="I23" s="10" t="inlineStr">
        <is>
          <t>todos</t>
        </is>
      </c>
      <c r="J23" s="10" t="n"/>
      <c r="K23" s="10" t="n"/>
      <c r="L23" s="10" t="n"/>
      <c r="M23" s="10" t="n"/>
      <c r="N23" s="10" t="n"/>
      <c r="O23" s="10" t="n"/>
      <c r="P23" s="10" t="n"/>
      <c r="Q23" s="10" t="inlineStr">
        <is>
          <t>Sem ata, nada se move. Às nove e meia, com todos.</t>
        </is>
      </c>
      <c r="R23" s="13" t="inlineStr">
        <is>
          <t>Sem ata, nada se move! Às nove e meia, com todos.</t>
        </is>
      </c>
      <c r="S23" s="13" t="inlineStr">
        <is>
          <t>Sem ata, nada se move. Nove e meia… com todos.</t>
        </is>
      </c>
      <c r="T23" s="13" t="inlineStr">
        <is>
          <t>Sem ata, nada se move… Às nove e meia, com todos. Não foi isso?</t>
        </is>
      </c>
      <c r="U23" s="13" t="inlineStr">
        <is>
          <t>Sem ata, nada se move. Às nove e meia, com todos.</t>
        </is>
      </c>
      <c r="V23" s="13" t="inlineStr">
        <is>
          <t>Uma hora dessas, com fome… Sem ata, nada se move. Às nove e meia, com todos.</t>
        </is>
      </c>
      <c r="W23" s="13" t="inlineStr">
        <is>
          <t>Norma: sem ata, nada se move. Reabertura às nove e meia, com todos.</t>
        </is>
      </c>
      <c r="X23" s="10">
        <f>SUMPRODUCT(($G23:$P23&lt;&gt;"")*ISERROR(SEARCH($G23:$P23,R23)))+SUMPRODUCT(($G23:$P23&lt;&gt;"")*ISERROR(SEARCH($G23:$P23,S23)))+SUMPRODUCT(($G23:$P23&lt;&gt;"")*ISERROR(SEARCH($G23:$P23,T23)))+SUMPRODUCT(($G23:$P23&lt;&gt;"")*ISERROR(SEARCH($G23:$P23,U23)))+SUMPRODUCT(($G23:$P23&lt;&gt;"")*ISERROR(SEARCH($G23:$P23,V23)))+SUMPRODUCT(($G23:$P23&lt;&gt;"")*ISERROR(SEARCH($G23:$P23,W23)))</f>
        <v/>
      </c>
      <c r="Y23" s="10" t="n"/>
    </row>
    <row r="24" ht="23.85" customHeight="1" s="8">
      <c r="A24" s="10" t="inlineStr">
        <is>
          <t>c3-23</t>
        </is>
      </c>
      <c r="B24" s="10" t="inlineStr">
        <is>
          <t>jogador diz 'Vamos ficar juntos.'</t>
        </is>
      </c>
      <c r="C24" s="10" t="inlineStr">
        <is>
          <t>resposta</t>
        </is>
      </c>
      <c r="D24" s="10" t="inlineStr">
        <is>
          <t>fala(['policial','herdeira'])</t>
        </is>
      </c>
      <c r="E24" s="10" t="inlineStr">
        <is>
          <t>grupo</t>
        </is>
      </c>
      <c r="F24" s="10" t="n"/>
      <c r="G24" s="10" t="inlineStr">
        <is>
          <t>concordo</t>
        </is>
      </c>
      <c r="H24" s="10" t="n"/>
      <c r="I24" s="10" t="n"/>
      <c r="J24" s="10" t="n"/>
      <c r="K24" s="10" t="n"/>
      <c r="L24" s="10" t="n"/>
      <c r="M24" s="10" t="n"/>
      <c r="N24" s="10" t="n"/>
      <c r="O24" s="10" t="n"/>
      <c r="P24" s="10" t="n"/>
      <c r="Q24" s="10" t="inlineStr">
        <is>
          <t>Concordo.</t>
        </is>
      </c>
      <c r="R24" s="13" t="inlineStr">
        <is>
          <t>Concordo!</t>
        </is>
      </c>
      <c r="S24" s="13" t="inlineStr">
        <is>
          <t>…concordo.</t>
        </is>
      </c>
      <c r="T24" s="13" t="inlineStr">
        <is>
          <t>Concordo…</t>
        </is>
      </c>
      <c r="U24" s="13" t="inlineStr">
        <is>
          <t>Concordo.</t>
        </is>
      </c>
      <c r="V24" s="13" t="inlineStr">
        <is>
          <t>Ah… concordo.</t>
        </is>
      </c>
      <c r="W24" s="13" t="inlineStr">
        <is>
          <t>Concordo.</t>
        </is>
      </c>
      <c r="X24" s="10">
        <f>SUMPRODUCT(($G24:$P24&lt;&gt;"")*ISERROR(SEARCH($G24:$P24,R24)))+SUMPRODUCT(($G24:$P24&lt;&gt;"")*ISERROR(SEARCH($G24:$P24,S24)))+SUMPRODUCT(($G24:$P24&lt;&gt;"")*ISERROR(SEARCH($G24:$P24,T24)))+SUMPRODUCT(($G24:$P24&lt;&gt;"")*ISERROR(SEARCH($G24:$P24,U24)))+SUMPRODUCT(($G24:$P24&lt;&gt;"")*ISERROR(SEARCH($G24:$P24,V24)))+SUMPRODUCT(($G24:$P24&lt;&gt;"")*ISERROR(SEARCH($G24:$P24,W24)))</f>
        <v/>
      </c>
      <c r="Y24" s="10" t="inlineStr">
        <is>
          <t>Item 'juntos' vem da frase do jogador a que a fala responde (não é fato novo).</t>
        </is>
      </c>
    </row>
    <row r="25" ht="57.45" customHeight="1" s="8">
      <c r="A25" s="10" t="inlineStr">
        <is>
          <t>c3-24</t>
        </is>
      </c>
      <c r="B25" s="10" t="inlineStr">
        <is>
          <t>jogador pergunta no privado 'Quem saiu da biblioteca?'</t>
        </is>
      </c>
      <c r="C25" s="10" t="inlineStr">
        <is>
          <t>resposta</t>
        </is>
      </c>
      <c r="D25" s="10" t="inlineStr">
        <is>
          <t>interlocutor do privado (voz(['residente','jornalista','herdeira'],M.mao))</t>
        </is>
      </c>
      <c r="E25" s="10" t="inlineStr">
        <is>
          <t>jogador no privado</t>
        </is>
      </c>
      <c r="F25" s="10" t="n"/>
      <c r="G25" s="10" t="inlineStr">
        <is>
          <t>não vi</t>
        </is>
      </c>
      <c r="H25" s="10" t="inlineStr">
        <is>
          <t>dois</t>
        </is>
      </c>
      <c r="I25" s="10" t="inlineStr">
        <is>
          <t>estantes</t>
        </is>
      </c>
      <c r="J25" s="10" t="n"/>
      <c r="K25" s="10" t="n"/>
      <c r="L25" s="10" t="n"/>
      <c r="M25" s="10" t="n"/>
      <c r="N25" s="10" t="n"/>
      <c r="O25" s="10" t="n"/>
      <c r="P25" s="10" t="n"/>
      <c r="Q25" s="10" t="inlineStr">
        <is>
          <t>Não vi. O minuto virou dois, e todo mundo andou entre as estantes.</t>
        </is>
      </c>
      <c r="R25" s="13" t="inlineStr">
        <is>
          <t>Não vi! O minuto virou dois, e todo mundo andou entre as estantes.</t>
        </is>
      </c>
      <c r="S25" s="13" t="inlineStr">
        <is>
          <t>Não vi… O minuto virou dois. Todo mundo… entre as estantes.</t>
        </is>
      </c>
      <c r="T25" s="13" t="inlineStr">
        <is>
          <t>Desculpa, não vi… O minuto virou dois, e todo mundo andou entre as estantes.</t>
        </is>
      </c>
      <c r="U25" s="13" t="inlineStr">
        <is>
          <t>Não vi. O minuto virou dois, e todo mundo andou entre as estantes.</t>
        </is>
      </c>
      <c r="V25" s="13" t="inlineStr">
        <is>
          <t>Ah, aquela demora… Não vi. O minuto virou dois, e todo mundo andou entre as estantes.</t>
        </is>
      </c>
      <c r="W25" s="13" t="inlineStr">
        <is>
          <t>Não vi. Observação: o minuto virou dois; todo mundo andou entre as estantes.</t>
        </is>
      </c>
      <c r="X25" s="10">
        <f>SUMPRODUCT(($G25:$P25&lt;&gt;"")*ISERROR(SEARCH($G25:$P25,R25)))+SUMPRODUCT(($G25:$P25&lt;&gt;"")*ISERROR(SEARCH($G25:$P25,S25)))+SUMPRODUCT(($G25:$P25&lt;&gt;"")*ISERROR(SEARCH($G25:$P25,T25)))+SUMPRODUCT(($G25:$P25&lt;&gt;"")*ISERROR(SEARCH($G25:$P25,U25)))+SUMPRODUCT(($G25:$P25&lt;&gt;"")*ISERROR(SEARCH($G25:$P25,V25)))+SUMPRODUCT(($G25:$P25&lt;&gt;"")*ISERROR(SEARCH($G25:$P25,W25)))</f>
        <v/>
      </c>
      <c r="Y25" s="10" t="inlineStr">
        <is>
          <t>Falante de gênero variável.</t>
        </is>
      </c>
    </row>
    <row r="26" ht="23.85" customHeight="1" s="8">
      <c r="A26" s="10" t="inlineStr">
        <is>
          <t>c3-25</t>
        </is>
      </c>
      <c r="B26" s="10" t="inlineStr">
        <is>
          <t>jogador pergunta no privado 'Você ouviu o estalo?'</t>
        </is>
      </c>
      <c r="C26" s="10" t="inlineStr">
        <is>
          <t>resposta</t>
        </is>
      </c>
      <c r="D26" s="10" t="inlineStr">
        <is>
          <t>interlocutor do privado</t>
        </is>
      </c>
      <c r="E26" s="10" t="inlineStr">
        <is>
          <t>jogador no privado</t>
        </is>
      </c>
      <c r="F26" s="10" t="n"/>
      <c r="G26" s="10" t="inlineStr">
        <is>
          <t>ouvi</t>
        </is>
      </c>
      <c r="H26" s="10" t="inlineStr">
        <is>
          <t>fundo do móvel</t>
        </is>
      </c>
      <c r="I26" s="10" t="n"/>
      <c r="J26" s="10" t="n"/>
      <c r="K26" s="10" t="n"/>
      <c r="L26" s="10" t="n"/>
      <c r="M26" s="10" t="n"/>
      <c r="N26" s="10" t="n"/>
      <c r="O26" s="10" t="n"/>
      <c r="P26" s="10" t="n"/>
      <c r="Q26" s="10" t="inlineStr">
        <is>
          <t>Ouvi. Veio do fundo do móvel.</t>
        </is>
      </c>
      <c r="R26" s="13" t="inlineStr">
        <is>
          <t>Ouvi! Veio do fundo do móvel.</t>
        </is>
      </c>
      <c r="S26" s="13" t="inlineStr">
        <is>
          <t>Ouvi… Do fundo do móvel.</t>
        </is>
      </c>
      <c r="T26" s="13" t="inlineStr">
        <is>
          <t>Ouvi, sim… veio do fundo do móvel, não foi?</t>
        </is>
      </c>
      <c r="U26" s="13" t="inlineStr">
        <is>
          <t>Ouvi. Veio do fundo do móvel.</t>
        </is>
      </c>
      <c r="V26" s="13" t="inlineStr">
        <is>
          <t>Ouvi… no meio da chuva lá fora, mas ouvi. Veio do fundo do móvel.</t>
        </is>
      </c>
      <c r="W26" s="13" t="inlineStr">
        <is>
          <t>Ouvi. Origem: fundo do móvel.</t>
        </is>
      </c>
      <c r="X26" s="10">
        <f>SUMPRODUCT(($G26:$P26&lt;&gt;"")*ISERROR(SEARCH($G26:$P26,R26)))+SUMPRODUCT(($G26:$P26&lt;&gt;"")*ISERROR(SEARCH($G26:$P26,S26)))+SUMPRODUCT(($G26:$P26&lt;&gt;"")*ISERROR(SEARCH($G26:$P26,T26)))+SUMPRODUCT(($G26:$P26&lt;&gt;"")*ISERROR(SEARCH($G26:$P26,U26)))+SUMPRODUCT(($G26:$P26&lt;&gt;"")*ISERROR(SEARCH($G26:$P26,V26)))+SUMPRODUCT(($G26:$P26&lt;&gt;"")*ISERROR(SEARCH($G26:$P26,W26)))</f>
        <v/>
      </c>
      <c r="Y26" s="10" t="n"/>
    </row>
    <row r="27" ht="23.85" customHeight="1" s="8">
      <c r="A27" s="10" t="inlineStr">
        <is>
          <t>c3-26</t>
        </is>
      </c>
      <c r="B27" s="10" t="inlineStr">
        <is>
          <t>jogador diz no privado 'Não confio em ninguém aqui.'</t>
        </is>
      </c>
      <c r="C27" s="10" t="inlineStr">
        <is>
          <t>resposta</t>
        </is>
      </c>
      <c r="D27" s="10" t="inlineStr">
        <is>
          <t>interlocutor do privado</t>
        </is>
      </c>
      <c r="E27" s="10" t="inlineStr">
        <is>
          <t>jogador no privado</t>
        </is>
      </c>
      <c r="F27" s="10" t="n"/>
      <c r="G27" s="10" t="inlineStr">
        <is>
          <t>nem eu</t>
        </is>
      </c>
      <c r="H27" s="10" t="n"/>
      <c r="I27" s="10" t="n"/>
      <c r="J27" s="10" t="n"/>
      <c r="K27" s="10" t="n"/>
      <c r="L27" s="10" t="n"/>
      <c r="M27" s="10" t="n"/>
      <c r="N27" s="10" t="n"/>
      <c r="O27" s="10" t="n"/>
      <c r="P27" s="10" t="n"/>
      <c r="Q27" s="10" t="inlineStr">
        <is>
          <t>Nem eu.</t>
        </is>
      </c>
      <c r="R27" s="13" t="inlineStr">
        <is>
          <t>Nem eu!</t>
        </is>
      </c>
      <c r="S27" s="13" t="inlineStr">
        <is>
          <t>… Nem eu.</t>
        </is>
      </c>
      <c r="T27" s="13" t="inlineStr">
        <is>
          <t>Nem eu…</t>
        </is>
      </c>
      <c r="U27" s="13" t="inlineStr">
        <is>
          <t>Nem eu.</t>
        </is>
      </c>
      <c r="V27" s="13" t="inlineStr">
        <is>
          <t>Nem eu.</t>
        </is>
      </c>
      <c r="W27" s="13" t="inlineStr">
        <is>
          <t>Nem eu.</t>
        </is>
      </c>
      <c r="X27" s="10">
        <f>SUMPRODUCT(($G27:$P27&lt;&gt;"")*ISERROR(SEARCH($G27:$P27,R27)))+SUMPRODUCT(($G27:$P27&lt;&gt;"")*ISERROR(SEARCH($G27:$P27,S27)))+SUMPRODUCT(($G27:$P27&lt;&gt;"")*ISERROR(SEARCH($G27:$P27,T27)))+SUMPRODUCT(($G27:$P27&lt;&gt;"")*ISERROR(SEARCH($G27:$P27,U27)))+SUMPRODUCT(($G27:$P27&lt;&gt;"")*ISERROR(SEARCH($G27:$P27,V27)))+SUMPRODUCT(($G27:$P27&lt;&gt;"")*ISERROR(SEARCH($G27:$P27,W27)))</f>
        <v/>
      </c>
      <c r="Y27" s="10" t="inlineStr">
        <is>
          <t>Item 'confio' vem da frase do jogador a que a fala responde.</t>
        </is>
      </c>
    </row>
    <row r="28" ht="35.05" customHeight="1" s="8">
      <c r="A28" s="10" t="inlineStr">
        <is>
          <t>c3-27</t>
        </is>
      </c>
      <c r="B28" s="10" t="inlineStr">
        <is>
          <t>debate: o que a marca molhada prova</t>
        </is>
      </c>
      <c r="C28" s="10" t="inlineStr">
        <is>
          <t>resposta</t>
        </is>
      </c>
      <c r="D28" s="10" t="inlineStr">
        <is>
          <t>fala(['policial','residente','tabeliao'])</t>
        </is>
      </c>
      <c r="E28" s="10" t="inlineStr">
        <is>
          <t>grupo (debate)</t>
        </is>
      </c>
      <c r="F28" s="10" t="n"/>
      <c r="G28" s="10" t="inlineStr">
        <is>
          <t>prova</t>
        </is>
      </c>
      <c r="H28" s="10" t="inlineStr">
        <is>
          <t>jardim</t>
        </is>
      </c>
      <c r="I28" s="10" t="inlineStr">
        <is>
          <t>minuto</t>
        </is>
      </c>
      <c r="J28" s="10" t="inlineStr">
        <is>
          <t>biblioteca</t>
        </is>
      </c>
      <c r="K28" s="10" t="n"/>
      <c r="L28" s="10" t="n"/>
      <c r="M28" s="10" t="n"/>
      <c r="N28" s="10" t="n"/>
      <c r="O28" s="10" t="n"/>
      <c r="P28" s="10" t="n"/>
      <c r="Q28" s="10" t="inlineStr">
        <is>
          <t>Prova que alguém entrou pelo jardim no minuto em que todos estavam na biblioteca.</t>
        </is>
      </c>
      <c r="R28" s="13" t="inlineStr">
        <is>
          <t>Prova que alguém entrou pelo jardim no minuto em que todos estavam na biblioteca! Isso é óbvio.</t>
        </is>
      </c>
      <c r="S28" s="13" t="inlineStr">
        <is>
          <t>Prova… que alguém entrou pelo jardim. No minuto… em que todos estavam na biblioteca.</t>
        </is>
      </c>
      <c r="T28" s="13" t="inlineStr">
        <is>
          <t>Prova que alguém entrou pelo jardim no minuto em que todos estavam na biblioteca… não prova?</t>
        </is>
      </c>
      <c r="U28" s="13" t="inlineStr">
        <is>
          <t>Prova que alguém entrou pelo jardim no minuto em que todos estavam na biblioteca. Só isso.</t>
        </is>
      </c>
      <c r="V28" s="13" t="inlineStr">
        <is>
          <t>Lá fora estava encharcado… mas prova que alguém entrou pelo jardim no minuto em que todos estavam na biblioteca.</t>
        </is>
      </c>
      <c r="W28" s="13" t="inlineStr">
        <is>
          <t>Prova, item único: alguém entrou pelo jardim no minuto em que todos estavam na biblioteca.</t>
        </is>
      </c>
      <c r="X28" s="10">
        <f>SUMPRODUCT(($G28:$P28&lt;&gt;"")*ISERROR(SEARCH($G28:$P28,R28)))+SUMPRODUCT(($G28:$P28&lt;&gt;"")*ISERROR(SEARCH($G28:$P28,S28)))+SUMPRODUCT(($G28:$P28&lt;&gt;"")*ISERROR(SEARCH($G28:$P28,T28)))+SUMPRODUCT(($G28:$P28&lt;&gt;"")*ISERROR(SEARCH($G28:$P28,U28)))+SUMPRODUCT(($G28:$P28&lt;&gt;"")*ISERROR(SEARCH($G28:$P28,V28)))+SUMPRODUCT(($G28:$P28&lt;&gt;"")*ISERROR(SEARCH($G28:$P28,W28)))</f>
        <v/>
      </c>
      <c r="Y28" s="10" t="n"/>
    </row>
    <row r="29" ht="35.05" customHeight="1" s="8">
      <c r="A29" s="10" t="inlineStr">
        <is>
          <t>c3-28</t>
        </is>
      </c>
      <c r="B29" s="10" t="inlineStr">
        <is>
          <t>debate: o que a marca molhada não prova</t>
        </is>
      </c>
      <c r="C29" s="10" t="inlineStr">
        <is>
          <t>resposta</t>
        </is>
      </c>
      <c r="D29" s="10" t="inlineStr">
        <is>
          <t>fala(['advogado','observadora','herdeira'])</t>
        </is>
      </c>
      <c r="E29" s="10" t="inlineStr">
        <is>
          <t>grupo (debate)</t>
        </is>
      </c>
      <c r="F29" s="10" t="n"/>
      <c r="G29" s="10" t="inlineStr">
        <is>
          <t>não prova</t>
        </is>
      </c>
      <c r="H29" s="10" t="inlineStr">
        <is>
          <t>relógio</t>
        </is>
      </c>
      <c r="I29" s="10" t="inlineStr">
        <is>
          <t>apoiou</t>
        </is>
      </c>
      <c r="J29" s="10" t="inlineStr">
        <is>
          <t>empurrou</t>
        </is>
      </c>
      <c r="K29" s="10" t="n"/>
      <c r="L29" s="10" t="n"/>
      <c r="M29" s="10" t="n"/>
      <c r="N29" s="10" t="n"/>
      <c r="O29" s="10" t="n"/>
      <c r="P29" s="10" t="n"/>
      <c r="Q29" s="10" t="inlineStr">
        <is>
          <t>Não prova que mexeu no relógio. É a mão de quem se apoiou, não de quem empurrou.</t>
        </is>
      </c>
      <c r="R29" s="13" t="inlineStr">
        <is>
          <t>Não prova que mexeu no relógio! É a mão de quem se apoiou, não de quem empurrou.</t>
        </is>
      </c>
      <c r="S29" s="13" t="inlineStr">
        <is>
          <t>Não prova… que mexeu no relógio. Quem se apoiou… não quem empurrou.</t>
        </is>
      </c>
      <c r="T29" s="13" t="inlineStr">
        <is>
          <t>Mas não prova que mexeu no relógio… É a mão de quem se apoiou, não de quem empurrou, lembram?</t>
        </is>
      </c>
      <c r="U29" s="13" t="inlineStr">
        <is>
          <t>Não prova que mexeu no relógio. É a mão de quem se apoiou, não de quem empurrou. Daí eu não acuso ninguém.</t>
        </is>
      </c>
      <c r="V29" s="13" t="inlineStr">
        <is>
          <t>Noite longa, essa… Não prova que mexeu no relógio. É a mão de quem se apoiou, não de quem empurrou.</t>
        </is>
      </c>
      <c r="W29" s="13" t="inlineStr">
        <is>
          <t>Não prova que mexeu no relógio. Tipo de marca: quem se apoiou, não quem empurrou.</t>
        </is>
      </c>
      <c r="X29" s="10">
        <f>SUMPRODUCT(($G29:$P29&lt;&gt;"")*ISERROR(SEARCH($G29:$P29,R29)))+SUMPRODUCT(($G29:$P29&lt;&gt;"")*ISERROR(SEARCH($G29:$P29,S29)))+SUMPRODUCT(($G29:$P29&lt;&gt;"")*ISERROR(SEARCH($G29:$P29,T29)))+SUMPRODUCT(($G29:$P29&lt;&gt;"")*ISERROR(SEARCH($G29:$P29,U29)))+SUMPRODUCT(($G29:$P29&lt;&gt;"")*ISERROR(SEARCH($G29:$P29,V29)))+SUMPRODUCT(($G29:$P29&lt;&gt;"")*ISERROR(SEARCH($G29:$P29,W29)))</f>
        <v/>
      </c>
      <c r="Y29" s="10" t="n"/>
    </row>
    <row r="30" ht="35.05" customHeight="1" s="8">
      <c r="A30" s="10" t="inlineStr">
        <is>
          <t>c3-29</t>
        </is>
      </c>
      <c r="B30" s="10" t="inlineStr">
        <is>
          <t>debate: o motivo da ida ao jardim</t>
        </is>
      </c>
      <c r="C30" s="10" t="inlineStr">
        <is>
          <t>resposta</t>
        </is>
      </c>
      <c r="D30" s="10" t="inlineStr">
        <is>
          <t>fala(['jornalista','jardineiro','governanta'])</t>
        </is>
      </c>
      <c r="E30" s="10" t="inlineStr">
        <is>
          <t>grupo (debate)</t>
        </is>
      </c>
      <c r="F30" s="10" t="n"/>
      <c r="G30" s="10" t="inlineStr">
        <is>
          <t>não prova</t>
        </is>
      </c>
      <c r="H30" s="10" t="inlineStr">
        <is>
          <t>esconder</t>
        </is>
      </c>
      <c r="I30" s="10" t="inlineStr">
        <is>
          <t>jardim</t>
        </is>
      </c>
      <c r="J30" s="10" t="inlineStr">
        <is>
          <t>outro motivo</t>
        </is>
      </c>
      <c r="K30" s="10" t="n"/>
      <c r="L30" s="10" t="n"/>
      <c r="M30" s="10" t="n"/>
      <c r="N30" s="10" t="n"/>
      <c r="O30" s="10" t="n"/>
      <c r="P30" s="10" t="n"/>
      <c r="Q30" s="10" t="inlineStr">
        <is>
          <t>E não prova que foi para esconder alguma coisa. Pode ter ido ao jardim por outro motivo.</t>
        </is>
      </c>
      <c r="R30" s="13" t="inlineStr">
        <is>
          <t>E não prova que foi para esconder alguma coisa! Pode ter ido ao jardim por outro motivo.</t>
        </is>
      </c>
      <c r="S30" s="13" t="inlineStr">
        <is>
          <t>E não prova… que foi para esconder alguma coisa. Ao jardim… por outro motivo.</t>
        </is>
      </c>
      <c r="T30" s="13" t="inlineStr">
        <is>
          <t>E não prova que foi para esconder alguma coisa, prova? Pode ter ido ao jardim por outro motivo…</t>
        </is>
      </c>
      <c r="U30" s="13" t="inlineStr">
        <is>
          <t>E não prova que foi para esconder alguma coisa. Pode ter ido ao jardim por outro motivo. Eu não condeno ninguém por isso.</t>
        </is>
      </c>
      <c r="V30" s="13" t="inlineStr">
        <is>
          <t>Que demora essa noite… E não prova que foi para esconder alguma coisa. Pode ter ido ao jardim por outro motivo.</t>
        </is>
      </c>
      <c r="W30" s="13" t="inlineStr">
        <is>
          <t>Ressalva: não prova que foi para esconder alguma coisa. A ida ao jardim pode ter outro motivo.</t>
        </is>
      </c>
      <c r="X30" s="10">
        <f>SUMPRODUCT(($G30:$P30&lt;&gt;"")*ISERROR(SEARCH($G30:$P30,R30)))+SUMPRODUCT(($G30:$P30&lt;&gt;"")*ISERROR(SEARCH($G30:$P30,S30)))+SUMPRODUCT(($G30:$P30&lt;&gt;"")*ISERROR(SEARCH($G30:$P30,T30)))+SUMPRODUCT(($G30:$P30&lt;&gt;"")*ISERROR(SEARCH($G30:$P30,U30)))+SUMPRODUCT(($G30:$P30&lt;&gt;"")*ISERROR(SEARCH($G30:$P30,V30)))+SUMPRODUCT(($G30:$P30&lt;&gt;"")*ISERROR(SEARCH($G30:$P30,W30)))</f>
        <v/>
      </c>
      <c r="Y30" s="10" t="n"/>
    </row>
    <row r="31" ht="35.05" customHeight="1" s="8">
      <c r="A31" s="10" t="inlineStr">
        <is>
          <t>c3-30</t>
        </is>
      </c>
      <c r="B31" s="10" t="inlineStr">
        <is>
          <t>portão: o jogador-Herdeira demora a parar o pêndulo</t>
        </is>
      </c>
      <c r="C31" s="10" t="inlineStr">
        <is>
          <t>chat</t>
        </is>
      </c>
      <c r="D31" s="10" t="inlineStr">
        <is>
          <t>falaNoGrupo(['policial','jornalista','advogado','residente'])</t>
        </is>
      </c>
      <c r="E31" s="10" t="inlineStr">
        <is>
          <t>grupo (para o jogador)</t>
        </is>
      </c>
      <c r="F31" s="10" t="inlineStr">
        <is>
          <t>jogador é a Herdeira</t>
        </is>
      </c>
      <c r="G31" s="10" t="inlineStr">
        <is>
          <t>parar</t>
        </is>
      </c>
      <c r="H31" s="10" t="inlineStr">
        <is>
          <t>ou não</t>
        </is>
      </c>
      <c r="I31" s="10" t="n"/>
      <c r="J31" s="10" t="n"/>
      <c r="K31" s="10" t="n"/>
      <c r="L31" s="10" t="n"/>
      <c r="M31" s="10" t="n"/>
      <c r="N31" s="10" t="n"/>
      <c r="O31" s="10" t="n"/>
      <c r="P31" s="10" t="n"/>
      <c r="Q31" s="10" t="inlineStr">
        <is>
          <t>E então? Vai parar ou não?</t>
        </is>
      </c>
      <c r="R31" s="13" t="inlineStr">
        <is>
          <t>E então?! Vai parar ou não?</t>
        </is>
      </c>
      <c r="S31" s="13" t="inlineStr">
        <is>
          <t>E então… vai parar ou não?</t>
        </is>
      </c>
      <c r="T31" s="13" t="inlineStr">
        <is>
          <t>E então… vai parar ou não? Desculpa a pressa.</t>
        </is>
      </c>
      <c r="U31" s="13" t="inlineStr">
        <is>
          <t>E então? Vai parar ou não?</t>
        </is>
      </c>
      <c r="V31" s="13" t="inlineStr">
        <is>
          <t>Que frio, não? E então… vai parar ou não?</t>
        </is>
      </c>
      <c r="W31" s="13" t="inlineStr">
        <is>
          <t>Aguardando: vai parar ou não?</t>
        </is>
      </c>
      <c r="X31" s="10">
        <f>SUMPRODUCT(($G31:$P31&lt;&gt;"")*ISERROR(SEARCH($G31:$P31,R31)))+SUMPRODUCT(($G31:$P31&lt;&gt;"")*ISERROR(SEARCH($G31:$P31,S31)))+SUMPRODUCT(($G31:$P31&lt;&gt;"")*ISERROR(SEARCH($G31:$P31,T31)))+SUMPRODUCT(($G31:$P31&lt;&gt;"")*ISERROR(SEARCH($G31:$P31,U31)))+SUMPRODUCT(($G31:$P31&lt;&gt;"")*ISERROR(SEARCH($G31:$P31,V31)))+SUMPRODUCT(($G31:$P31&lt;&gt;"")*ISERROR(SEARCH($G31:$P31,W31)))</f>
        <v/>
      </c>
      <c r="Y31" s="10" t="n"/>
    </row>
    <row r="32" ht="35.05" customHeight="1" s="8">
      <c r="A32" s="10" t="inlineStr">
        <is>
          <t>c3-31</t>
        </is>
      </c>
      <c r="B32" s="10" t="inlineStr">
        <is>
          <t>portão: o jogador que religa demora</t>
        </is>
      </c>
      <c r="C32" s="10" t="inlineStr">
        <is>
          <t>chat</t>
        </is>
      </c>
      <c r="D32" s="10" t="inlineStr">
        <is>
          <t>falaNoGrupo(['herdeira','policial','jornalista','advogado'])</t>
        </is>
      </c>
      <c r="E32" s="10" t="inlineStr">
        <is>
          <t>grupo (para o jogador)</t>
        </is>
      </c>
      <c r="F32" s="10" t="inlineStr">
        <is>
          <t>jogador é M.religa</t>
        </is>
      </c>
      <c r="G32" s="10" t="inlineStr">
        <is>
          <t>relógio</t>
        </is>
      </c>
      <c r="H32" s="10" t="inlineStr">
        <is>
          <t>ficar parado</t>
        </is>
      </c>
      <c r="I32" s="10" t="n"/>
      <c r="J32" s="10" t="n"/>
      <c r="K32" s="10" t="n"/>
      <c r="L32" s="10" t="n"/>
      <c r="M32" s="10" t="n"/>
      <c r="N32" s="10" t="n"/>
      <c r="O32" s="10" t="n"/>
      <c r="P32" s="10" t="n"/>
      <c r="Q32" s="10" t="inlineStr">
        <is>
          <t>E o relógio? Vai ficar parado?</t>
        </is>
      </c>
      <c r="R32" s="13" t="inlineStr">
        <is>
          <t>E o relógio? Vai ficar parado, é isso?!</t>
        </is>
      </c>
      <c r="S32" s="13" t="inlineStr">
        <is>
          <t>E o relógio… vai ficar parado?</t>
        </is>
      </c>
      <c r="T32" s="13" t="inlineStr">
        <is>
          <t>E o relógio? Vai ficar parado mesmo?</t>
        </is>
      </c>
      <c r="U32" s="13" t="inlineStr">
        <is>
          <t>E o relógio? Vai ficar parado?</t>
        </is>
      </c>
      <c r="V32" s="13" t="inlineStr">
        <is>
          <t>Essa demora… E o relógio? Vai ficar parado?</t>
        </is>
      </c>
      <c r="W32" s="13" t="inlineStr">
        <is>
          <t>Pendência: o relógio. Vai ficar parado?</t>
        </is>
      </c>
      <c r="X32" s="10">
        <f>SUMPRODUCT(($G32:$P32&lt;&gt;"")*ISERROR(SEARCH($G32:$P32,R32)))+SUMPRODUCT(($G32:$P32&lt;&gt;"")*ISERROR(SEARCH($G32:$P32,S32)))+SUMPRODUCT(($G32:$P32&lt;&gt;"")*ISERROR(SEARCH($G32:$P32,T32)))+SUMPRODUCT(($G32:$P32&lt;&gt;"")*ISERROR(SEARCH($G32:$P32,U32)))+SUMPRODUCT(($G32:$P32&lt;&gt;"")*ISERROR(SEARCH($G32:$P32,V32)))+SUMPRODUCT(($G32:$P32&lt;&gt;"")*ISERROR(SEARCH($G32:$P32,W32)))</f>
        <v/>
      </c>
      <c r="Y32" s="10" t="n"/>
    </row>
  </sheetData>
  <autoFilter ref="A1:Y32"/>
  <conditionalFormatting sqref="X2:X32">
    <cfRule type="expression" rank="0" priority="2" equalAverage="0" aboveAverage="0" dxfId="4" text="" percent="0" bottom="0">
      <formula>X2&gt;0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Y28"/>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1"/>
    <col width="24" customWidth="1" style="7" min="2" max="2"/>
    <col width="12" customWidth="1" style="7" min="3" max="3"/>
    <col width="18" customWidth="1" style="7" min="4" max="4"/>
    <col width="12" customWidth="1" style="7" min="5" max="5"/>
    <col width="14" customWidth="1" style="7" min="6" max="6"/>
    <col width="12" customWidth="1" style="7" min="7" max="16"/>
    <col width="40" customWidth="1" style="7" min="17" max="17"/>
    <col width="38" customWidth="1" style="7" min="18" max="23"/>
    <col width="8" customWidth="1" style="7" min="24" max="24"/>
    <col width="34" customWidth="1" style="7" min="25" max="25"/>
  </cols>
  <sheetData>
    <row r="1" ht="15" customHeight="1" s="8">
      <c r="A1" s="12" t="inlineStr">
        <is>
          <t>ID</t>
        </is>
      </c>
      <c r="B1" s="12" t="inlineStr">
        <is>
          <t>Cena</t>
        </is>
      </c>
      <c r="C1" s="12" t="inlineStr">
        <is>
          <t>Momento</t>
        </is>
      </c>
      <c r="D1" s="12" t="inlineStr">
        <is>
          <t>Quem fala</t>
        </is>
      </c>
      <c r="E1" s="12" t="inlineStr">
        <is>
          <t>Com quem</t>
        </is>
      </c>
      <c r="F1" s="12" t="inlineStr">
        <is>
          <t>Condição</t>
        </is>
      </c>
      <c r="G1" s="12" t="inlineStr">
        <is>
          <t>Item 1</t>
        </is>
      </c>
      <c r="H1" s="12" t="inlineStr">
        <is>
          <t>Item 2</t>
        </is>
      </c>
      <c r="I1" s="12" t="inlineStr">
        <is>
          <t>Item 3</t>
        </is>
      </c>
      <c r="J1" s="12" t="inlineStr">
        <is>
          <t>Item 4</t>
        </is>
      </c>
      <c r="K1" s="12" t="inlineStr">
        <is>
          <t>Item 5</t>
        </is>
      </c>
      <c r="L1" s="12" t="inlineStr">
        <is>
          <t>Item 6</t>
        </is>
      </c>
      <c r="M1" s="12" t="inlineStr">
        <is>
          <t>Item 7</t>
        </is>
      </c>
      <c r="N1" s="12" t="inlineStr">
        <is>
          <t>Item 8</t>
        </is>
      </c>
      <c r="O1" s="12" t="inlineStr">
        <is>
          <t>Item 9</t>
        </is>
      </c>
      <c r="P1" s="12" t="inlineStr">
        <is>
          <t>Item 10</t>
        </is>
      </c>
      <c r="Q1" s="12" t="inlineStr">
        <is>
          <t>Fala original</t>
        </is>
      </c>
      <c r="R1" s="12" t="inlineStr">
        <is>
          <t>Explosivo</t>
        </is>
      </c>
      <c r="S1" s="12" t="inlineStr">
        <is>
          <t>Calmo opaco</t>
        </is>
      </c>
      <c r="T1" s="12" t="inlineStr">
        <is>
          <t>Ingênuo</t>
        </is>
      </c>
      <c r="U1" s="12" t="inlineStr">
        <is>
          <t>Leal cego</t>
        </is>
      </c>
      <c r="V1" s="12" t="inlineStr">
        <is>
          <t>Evasivo</t>
        </is>
      </c>
      <c r="W1" s="12" t="inlineStr">
        <is>
          <t>Burocrata</t>
        </is>
      </c>
      <c r="X1" s="12" t="inlineStr">
        <is>
          <t>Faltam</t>
        </is>
      </c>
      <c r="Y1" s="12" t="inlineStr">
        <is>
          <t>Nota</t>
        </is>
      </c>
    </row>
    <row r="2" ht="35.05" customHeight="1" s="8">
      <c r="A2" s="10" t="inlineStr">
        <is>
          <t>c4-01</t>
        </is>
      </c>
      <c r="B2" s="10" t="inlineStr">
        <is>
          <t>no jardim, chamando a atenção para o chão</t>
        </is>
      </c>
      <c r="C2" s="10" t="inlineStr">
        <is>
          <t>roteiro</t>
        </is>
      </c>
      <c r="D2" s="10" t="inlineStr">
        <is>
          <t>voz(lider): jardineiro se presente, senão residente</t>
        </is>
      </c>
      <c r="E2" s="10" t="inlineStr">
        <is>
          <t>grupo</t>
        </is>
      </c>
      <c r="F2" s="10" t="n"/>
      <c r="G2" s="10" t="inlineStr">
        <is>
          <t>olhem</t>
        </is>
      </c>
      <c r="H2" s="10" t="inlineStr">
        <is>
          <t>chão</t>
        </is>
      </c>
      <c r="I2" s="10" t="n"/>
      <c r="J2" s="10" t="n"/>
      <c r="K2" s="10" t="n"/>
      <c r="L2" s="10" t="n"/>
      <c r="M2" s="10" t="n"/>
      <c r="N2" s="10" t="n"/>
      <c r="O2" s="10" t="n"/>
      <c r="P2" s="10" t="n"/>
      <c r="Q2" s="10" t="inlineStr">
        <is>
          <t>Olhem o chão</t>
        </is>
      </c>
      <c r="R2" s="13" t="inlineStr">
        <is>
          <t>Olhem o chão!</t>
        </is>
      </c>
      <c r="S2" s="13" t="inlineStr">
        <is>
          <t>Olhem… o chão.</t>
        </is>
      </c>
      <c r="T2" s="13" t="inlineStr">
        <is>
          <t>Olhem o chão…</t>
        </is>
      </c>
      <c r="U2" s="13" t="inlineStr">
        <is>
          <t>Olhem o chão.</t>
        </is>
      </c>
      <c r="V2" s="13" t="inlineStr">
        <is>
          <t>Hum… olhem o chão</t>
        </is>
      </c>
      <c r="W2" s="13" t="inlineStr">
        <is>
          <t>Olhem o chão.</t>
        </is>
      </c>
      <c r="X2" s="10">
        <f>SUMPRODUCT(($G2:$P2&lt;&gt;"")*ISERROR(SEARCH($G2:$P2,R2)))+SUMPRODUCT(($G2:$P2&lt;&gt;"")*ISERROR(SEARCH($G2:$P2,S2)))+SUMPRODUCT(($G2:$P2&lt;&gt;"")*ISERROR(SEARCH($G2:$P2,T2)))+SUMPRODUCT(($G2:$P2&lt;&gt;"")*ISERROR(SEARCH($G2:$P2,U2)))+SUMPRODUCT(($G2:$P2&lt;&gt;"")*ISERROR(SEARCH($G2:$P2,V2)))+SUMPRODUCT(($G2:$P2&lt;&gt;"")*ISERROR(SEARCH($G2:$P2,W2)))</f>
        <v/>
      </c>
      <c r="Y2" s="10" t="inlineStr">
        <is>
          <t>enquadre: '&lt;fala&gt;, disse {lider}.' Continua na c4-02.</t>
        </is>
      </c>
    </row>
    <row r="3" ht="35.05" customHeight="1" s="8">
      <c r="A3" s="10" t="inlineStr">
        <is>
          <t>c4-02</t>
        </is>
      </c>
      <c r="B3" s="10" t="inlineStr">
        <is>
          <t>no jardim, chamando a atenção para o chão</t>
        </is>
      </c>
      <c r="C3" s="10" t="inlineStr">
        <is>
          <t>roteiro</t>
        </is>
      </c>
      <c r="D3" s="10" t="inlineStr">
        <is>
          <t>voz(lider): jardineiro se presente, senão residente</t>
        </is>
      </c>
      <c r="E3" s="10" t="inlineStr">
        <is>
          <t>grupo</t>
        </is>
      </c>
      <c r="F3" s="10" t="n"/>
      <c r="G3" s="10" t="inlineStr">
        <is>
          <t>flores</t>
        </is>
      </c>
      <c r="H3" s="10" t="inlineStr">
        <is>
          <t>chão</t>
        </is>
      </c>
      <c r="I3" s="10" t="n"/>
      <c r="J3" s="10" t="n"/>
      <c r="K3" s="10" t="n"/>
      <c r="L3" s="10" t="n"/>
      <c r="M3" s="10" t="n"/>
      <c r="N3" s="10" t="n"/>
      <c r="O3" s="10" t="n"/>
      <c r="P3" s="10" t="n"/>
      <c r="Q3" s="10" t="inlineStr">
        <is>
          <t>Não para as flores. Para o chão.</t>
        </is>
      </c>
      <c r="R3" s="13" t="inlineStr">
        <is>
          <t>Não para as flores! Para o chão.</t>
        </is>
      </c>
      <c r="S3" s="13" t="inlineStr">
        <is>
          <t>Não as flores… O chão.</t>
        </is>
      </c>
      <c r="T3" s="13" t="inlineStr">
        <is>
          <t>Não para as flores… para o chão. Estão vendo?</t>
        </is>
      </c>
      <c r="U3" s="13" t="inlineStr">
        <is>
          <t>Não para as flores. Para o chão.</t>
        </is>
      </c>
      <c r="V3" s="13" t="inlineStr">
        <is>
          <t>Não para as flores, por bonitas que sejam… Para o chão.</t>
        </is>
      </c>
      <c r="W3" s="13" t="inlineStr">
        <is>
          <t>Não as flores. O chão.</t>
        </is>
      </c>
      <c r="X3" s="10">
        <f>SUMPRODUCT(($G3:$P3&lt;&gt;"")*ISERROR(SEARCH($G3:$P3,R3)))+SUMPRODUCT(($G3:$P3&lt;&gt;"")*ISERROR(SEARCH($G3:$P3,S3)))+SUMPRODUCT(($G3:$P3&lt;&gt;"")*ISERROR(SEARCH($G3:$P3,T3)))+SUMPRODUCT(($G3:$P3&lt;&gt;"")*ISERROR(SEARCH($G3:$P3,U3)))+SUMPRODUCT(($G3:$P3&lt;&gt;"")*ISERROR(SEARCH($G3:$P3,V3)))+SUMPRODUCT(($G3:$P3&lt;&gt;"")*ISERROR(SEARCH($G3:$P3,W3)))</f>
        <v/>
      </c>
      <c r="Y3" s="10" t="inlineStr">
        <is>
          <t>segunda fala citada logo após 'disse {lider}.' (mesma cena da c4-01)</t>
        </is>
      </c>
    </row>
    <row r="4" ht="35.05" customHeight="1" s="8">
      <c r="A4" s="10" t="inlineStr">
        <is>
          <t>c4-03</t>
        </is>
      </c>
      <c r="B4" s="10" t="inlineStr">
        <is>
          <t>as duas trilhas no jardim</t>
        </is>
      </c>
      <c r="C4" s="10" t="inlineStr">
        <is>
          <t>roteiro</t>
        </is>
      </c>
      <c r="D4" s="10" t="inlineStr">
        <is>
          <t>voz(lider): jardineiro se presente, senão residente</t>
        </is>
      </c>
      <c r="E4" s="10" t="inlineStr">
        <is>
          <t>grupo</t>
        </is>
      </c>
      <c r="F4" s="10" t="n"/>
      <c r="G4" s="10" t="inlineStr">
        <is>
          <t>seca</t>
        </is>
      </c>
      <c r="H4" s="10" t="inlineStr">
        <is>
          <t>meses</t>
        </is>
      </c>
      <c r="I4" s="10" t="inlineStr">
        <is>
          <t>todo dia</t>
        </is>
      </c>
      <c r="J4" s="10" t="inlineStr">
        <is>
          <t>desta noite</t>
        </is>
      </c>
      <c r="K4" s="10" t="n"/>
      <c r="L4" s="10" t="n"/>
      <c r="M4" s="10" t="n"/>
      <c r="N4" s="10" t="n"/>
      <c r="O4" s="10" t="n"/>
      <c r="P4" s="10" t="n"/>
      <c r="Q4" s="10" t="inlineStr">
        <is>
          <t>A seca é de meses. Alguém anda aqui todo dia. A outra é desta noite.</t>
        </is>
      </c>
      <c r="R4" s="13" t="inlineStr">
        <is>
          <t>A seca é de meses! Alguém anda aqui todo dia. A outra é desta noite.</t>
        </is>
      </c>
      <c r="S4" s="13" t="inlineStr">
        <is>
          <t>A seca… meses. Alguém anda aqui… todo dia. A outra… desta noite.</t>
        </is>
      </c>
      <c r="T4" s="13" t="inlineStr">
        <is>
          <t>A seca é de meses… alguém anda aqui todo dia, então? E a outra é desta noite.</t>
        </is>
      </c>
      <c r="U4" s="13" t="inlineStr">
        <is>
          <t>A seca é de meses. Alguém anda aqui todo dia. A outra é desta noite.</t>
        </is>
      </c>
      <c r="V4" s="13" t="inlineStr">
        <is>
          <t>Molhado do jeito que está… A seca é de meses; alguém anda aqui todo dia. A outra, desta noite.</t>
        </is>
      </c>
      <c r="W4" s="13" t="inlineStr">
        <is>
          <t>Trilha seca: de meses; alguém anda aqui todo dia. A outra: desta noite.</t>
        </is>
      </c>
      <c r="X4" s="10">
        <f>SUMPRODUCT(($G4:$P4&lt;&gt;"")*ISERROR(SEARCH($G4:$P4,R4)))+SUMPRODUCT(($G4:$P4&lt;&gt;"")*ISERROR(SEARCH($G4:$P4,S4)))+SUMPRODUCT(($G4:$P4&lt;&gt;"")*ISERROR(SEARCH($G4:$P4,T4)))+SUMPRODUCT(($G4:$P4&lt;&gt;"")*ISERROR(SEARCH($G4:$P4,U4)))+SUMPRODUCT(($G4:$P4&lt;&gt;"")*ISERROR(SEARCH($G4:$P4,V4)))+SUMPRODUCT(($G4:$P4&lt;&gt;"")*ISERROR(SEARCH($G4:$P4,W4)))</f>
        <v/>
      </c>
      <c r="Y4" s="10" t="inlineStr">
        <is>
          <t>seguida da narração: {Lider} iluminou o bico das pegadas e não disse para que lado iam (a fala não pode dizer a direção)</t>
        </is>
      </c>
    </row>
    <row r="5" ht="68.65000000000001" customHeight="1" s="8">
      <c r="A5" s="10" t="inlineStr">
        <is>
          <t>c4-04</t>
        </is>
      </c>
      <c r="B5" s="10" t="inlineStr">
        <is>
          <t>o Residente começa a falar da passagem, e fala mal</t>
        </is>
      </c>
      <c r="C5" s="10" t="inlineStr">
        <is>
          <t>roteiro</t>
        </is>
      </c>
      <c r="D5" s="10" t="inlineStr">
        <is>
          <t>residente</t>
        </is>
      </c>
      <c r="E5" s="10" t="inlineStr">
        <is>
          <t>grupo</t>
        </is>
      </c>
      <c r="F5" s="10" t="inlineStr">
        <is>
          <t>todas as partidas, menos a 11 (na 11 a cena da passagem é outra)</t>
        </is>
      </c>
      <c r="G5" s="10" t="inlineStr">
        <is>
          <t>tinha</t>
        </is>
      </c>
      <c r="H5" s="10" t="inlineStr">
        <is>
          <t>corredorzinho</t>
        </is>
      </c>
      <c r="I5" s="10" t="n"/>
      <c r="J5" s="10" t="n"/>
      <c r="K5" s="10" t="n"/>
      <c r="L5" s="10" t="n"/>
      <c r="M5" s="10" t="n"/>
      <c r="N5" s="10" t="n"/>
      <c r="O5" s="10" t="n"/>
      <c r="P5" s="10" t="n"/>
      <c r="Q5" s="10" t="inlineStr">
        <is>
          <t>tinha um corredorzinho</t>
        </is>
      </c>
      <c r="R5" s="13" t="inlineStr">
        <is>
          <t>tinha um corredorzinho</t>
        </is>
      </c>
      <c r="S5" s="13" t="inlineStr">
        <is>
          <t>tinha… um corredorzinho</t>
        </is>
      </c>
      <c r="T5" s="13" t="inlineStr">
        <is>
          <t>tinha um corredorzinho</t>
        </is>
      </c>
      <c r="U5" s="13" t="inlineStr">
        <is>
          <t>tinha um corredorzinho</t>
        </is>
      </c>
      <c r="V5" s="13" t="inlineStr">
        <is>
          <t>tinha um corredorzinho</t>
        </is>
      </c>
      <c r="W5" s="13" t="inlineStr">
        <is>
          <t>tinha um corredorzinho</t>
        </is>
      </c>
      <c r="X5" s="10">
        <f>SUMPRODUCT(($G5:$P5&lt;&gt;"")*ISERROR(SEARCH($G5:$P5,R5)))+SUMPRODUCT(($G5:$P5&lt;&gt;"")*ISERROR(SEARCH($G5:$P5,S5)))+SUMPRODUCT(($G5:$P5&lt;&gt;"")*ISERROR(SEARCH($G5:$P5,T5)))+SUMPRODUCT(($G5:$P5&lt;&gt;"")*ISERROR(SEARCH($G5:$P5,U5)))+SUMPRODUCT(($G5:$P5&lt;&gt;"")*ISERROR(SEARCH($G5:$P5,V5)))+SUMPRODUCT(($G5:$P5&lt;&gt;"")*ISERROR(SEARCH($G5:$P5,W5)))</f>
        <v/>
      </c>
      <c r="Y5" s="10" t="inlineStr">
        <is>
          <t>fragmento em discurso indireto: 'Começou dizendo que a ala de serviço &lt;fala&gt;, se corrigiu para...'; a versão precisa encaixar na frase (minúscula, sem ponto final)</t>
        </is>
      </c>
    </row>
    <row r="6" ht="68.65000000000001" customHeight="1" s="8">
      <c r="A6" s="10" t="inlineStr">
        <is>
          <t>c4-05</t>
        </is>
      </c>
      <c r="B6" s="10" t="inlineStr">
        <is>
          <t>o Residente começa a falar da passagem, e fala mal</t>
        </is>
      </c>
      <c r="C6" s="10" t="inlineStr">
        <is>
          <t>roteiro</t>
        </is>
      </c>
      <c r="D6" s="10" t="inlineStr">
        <is>
          <t>residente</t>
        </is>
      </c>
      <c r="E6" s="10" t="inlineStr">
        <is>
          <t>grupo</t>
        </is>
      </c>
      <c r="F6" s="10" t="inlineStr">
        <is>
          <t>todas as partidas, menos a 11 (na 11 a cena da passagem é outra)</t>
        </is>
      </c>
      <c r="G6" s="10" t="inlineStr">
        <is>
          <t>parede</t>
        </is>
      </c>
      <c r="H6" s="10" t="inlineStr">
        <is>
          <t>oca</t>
        </is>
      </c>
      <c r="I6" s="10" t="n"/>
      <c r="J6" s="10" t="n"/>
      <c r="K6" s="10" t="n"/>
      <c r="L6" s="10" t="n"/>
      <c r="M6" s="10" t="n"/>
      <c r="N6" s="10" t="n"/>
      <c r="O6" s="10" t="n"/>
      <c r="P6" s="10" t="n"/>
      <c r="Q6" s="10" t="inlineStr">
        <is>
          <t>a parede ali atrás é oca</t>
        </is>
      </c>
      <c r="R6" s="13" t="inlineStr">
        <is>
          <t>a parede ali atrás é oca, pronto</t>
        </is>
      </c>
      <c r="S6" s="13" t="inlineStr">
        <is>
          <t>a parede… ali atrás… é oca</t>
        </is>
      </c>
      <c r="T6" s="13" t="inlineStr">
        <is>
          <t>a parede ali atrás é oca, desculpem</t>
        </is>
      </c>
      <c r="U6" s="13" t="inlineStr">
        <is>
          <t>a parede ali atrás é oca</t>
        </is>
      </c>
      <c r="V6" s="13" t="inlineStr">
        <is>
          <t>a parede ali atrás… bom… é oca</t>
        </is>
      </c>
      <c r="W6" s="13" t="inlineStr">
        <is>
          <t>parede ali atrás: oca</t>
        </is>
      </c>
      <c r="X6" s="10">
        <f>SUMPRODUCT(($G6:$P6&lt;&gt;"")*ISERROR(SEARCH($G6:$P6,R6)))+SUMPRODUCT(($G6:$P6&lt;&gt;"")*ISERROR(SEARCH($G6:$P6,S6)))+SUMPRODUCT(($G6:$P6&lt;&gt;"")*ISERROR(SEARCH($G6:$P6,T6)))+SUMPRODUCT(($G6:$P6&lt;&gt;"")*ISERROR(SEARCH($G6:$P6,U6)))+SUMPRODUCT(($G6:$P6&lt;&gt;"")*ISERROR(SEARCH($G6:$P6,V6)))+SUMPRODUCT(($G6:$P6&lt;&gt;"")*ISERROR(SEARCH($G6:$P6,W6)))</f>
        <v/>
      </c>
      <c r="Y6" s="10" t="inlineStr">
        <is>
          <t>fragmento em discurso indireto: '...se corrigiu para &lt;fala&gt;, e terminou admitindo...'; encaixa na frase (minúscula, sem ponto final)</t>
        </is>
      </c>
    </row>
    <row r="7" ht="68.65000000000001" customHeight="1" s="8">
      <c r="A7" s="10" t="inlineStr">
        <is>
          <t>c4-06</t>
        </is>
      </c>
      <c r="B7" s="10" t="inlineStr">
        <is>
          <t>o Residente confessa a passagem</t>
        </is>
      </c>
      <c r="C7" s="10" t="inlineStr">
        <is>
          <t>roteiro</t>
        </is>
      </c>
      <c r="D7" s="10" t="inlineStr">
        <is>
          <t>residente</t>
        </is>
      </c>
      <c r="E7" s="10" t="inlineStr">
        <is>
          <t>grupo</t>
        </is>
      </c>
      <c r="F7" s="10" t="inlineStr">
        <is>
          <t>todas as partidas, menos a 11 (na 11 a cena da passagem é outra)</t>
        </is>
      </c>
      <c r="G7" s="10" t="inlineStr">
        <is>
          <t>passagem</t>
        </is>
      </c>
      <c r="H7" s="10" t="inlineStr">
        <is>
          <t>despensa</t>
        </is>
      </c>
      <c r="I7" s="10" t="inlineStr">
        <is>
          <t>sala do relógio</t>
        </is>
      </c>
      <c r="J7" s="10" t="inlineStr">
        <is>
          <t>portinhola</t>
        </is>
      </c>
      <c r="K7" s="10" t="inlineStr">
        <is>
          <t>lacrei</t>
        </is>
      </c>
      <c r="L7" s="10" t="n"/>
      <c r="M7" s="10" t="n"/>
      <c r="N7" s="10" t="n"/>
      <c r="O7" s="10" t="n"/>
      <c r="P7" s="10" t="n"/>
      <c r="Q7" s="10" t="inlineStr">
        <is>
          <t>Tem uma passagem. Da despensa até a sala do relógio, por trás do quarto de serviço. Sai numa portinhola atrás do painel ao lado do relógio. Na reforma, era para eu fechar. Ele pediu para deixar. Eu deixei. E não lacrei.</t>
        </is>
      </c>
      <c r="R7" s="13" t="inlineStr">
        <is>
          <t>Tem uma passagem. Pronto, falei. Da despensa até a sala do relógio, por trás do quarto de serviço. Sai numa portinhola atrás do painel ao lado do relógio. Na reforma era para eu fechar. Ele pediu para deixar. Eu deixei. E não lacrei.</t>
        </is>
      </c>
      <c r="S7" s="13" t="inlineStr">
        <is>
          <t>Tem uma passagem. Da despensa… até a sala do relógio. Por trás do quarto de serviço. Uma portinhola… atrás do painel, ao lado do relógio. Na reforma… era para eu fechar. Ele pediu para deixar. Eu deixei. Não lacrei.</t>
        </is>
      </c>
      <c r="T7" s="13" t="inlineStr">
        <is>
          <t>Tem uma passagem, desculpem… Da despensa até a sala do relógio, por trás do quarto de serviço. Sai numa portinhola atrás do painel, ao lado do relógio. Na reforma era para eu fechar, mas ele pediu para deixar. Eu deixei. E não lacrei… fiz mal, não fiz?</t>
        </is>
      </c>
      <c r="U7" s="13" t="inlineStr">
        <is>
          <t>Tem uma passagem. Da despensa até a sala do relógio, por trás do quarto de serviço; sai numa portinhola atrás do painel, ao lado do relógio. Na reforma era para eu fechar. Ele pediu para deixar, e o que ele pedia eu fazia. Eu deixei. Não lacrei.</t>
        </is>
      </c>
      <c r="V7" s="13" t="inlineStr">
        <is>
          <t>Faz tanto tempo, aquela reforma… Tem uma passagem. Da despensa até a sala do relógio, por trás do quarto de serviço. Sai numa portinhola atrás do painel, ao lado do relógio. Na reforma era para eu fechar. Ele pediu para deixar. Deixei. E não lacrei.</t>
        </is>
      </c>
      <c r="W7" s="13" t="inlineStr">
        <is>
          <t>Consta uma passagem: da despensa até a sala do relógio, por trás do quarto de serviço. Saída: portinhola atrás do painel, ao lado do relógio. Na reforma, era para eu fechar. Ele pediu para deixar. Eu deixei. Não lacrei.</t>
        </is>
      </c>
      <c r="X7" s="10">
        <f>SUMPRODUCT(($G7:$P7&lt;&gt;"")*ISERROR(SEARCH($G7:$P7,R7)))+SUMPRODUCT(($G7:$P7&lt;&gt;"")*ISERROR(SEARCH($G7:$P7,S7)))+SUMPRODUCT(($G7:$P7&lt;&gt;"")*ISERROR(SEARCH($G7:$P7,T7)))+SUMPRODUCT(($G7:$P7&lt;&gt;"")*ISERROR(SEARCH($G7:$P7,U7)))+SUMPRODUCT(($G7:$P7&lt;&gt;"")*ISERROR(SEARCH($G7:$P7,V7)))+SUMPRODUCT(($G7:$P7&lt;&gt;"")*ISERROR(SEARCH($G7:$P7,W7)))</f>
        <v/>
      </c>
      <c r="Y7" s="10" t="inlineStr">
        <is>
          <t>enquadre: 'terminou admitindo, com a voz baixa de quem confessa dívida: &lt;fala&gt;'</t>
        </is>
      </c>
    </row>
    <row r="8" ht="68.65000000000001" customHeight="1" s="8">
      <c r="A8" s="10" t="inlineStr">
        <is>
          <t>c4-07</t>
        </is>
      </c>
      <c r="B8" s="10" t="inlineStr">
        <is>
          <t>o Policial pergunta pelo motivo da passagem</t>
        </is>
      </c>
      <c r="C8" s="10" t="inlineStr">
        <is>
          <t>roteiro</t>
        </is>
      </c>
      <c r="D8" s="10" t="inlineStr">
        <is>
          <t>policial</t>
        </is>
      </c>
      <c r="E8" s="10" t="inlineStr">
        <is>
          <t>residente</t>
        </is>
      </c>
      <c r="F8" s="10" t="inlineStr">
        <is>
          <t>todas as partidas, menos a 11 (na 11 a cena da passagem é outra)</t>
        </is>
      </c>
      <c r="G8" s="10" t="inlineStr">
        <is>
          <t>por que</t>
        </is>
      </c>
      <c r="H8" s="10" t="inlineStr">
        <is>
          <t>pediria</t>
        </is>
      </c>
      <c r="I8" s="10" t="n"/>
      <c r="J8" s="10" t="n"/>
      <c r="K8" s="10" t="n"/>
      <c r="L8" s="10" t="n"/>
      <c r="M8" s="10" t="n"/>
      <c r="N8" s="10" t="n"/>
      <c r="O8" s="10" t="n"/>
      <c r="P8" s="10" t="n"/>
      <c r="Q8" s="10" t="inlineStr">
        <is>
          <t>E por que ele pediria isso?</t>
        </is>
      </c>
      <c r="R8" s="13" t="inlineStr">
        <is>
          <t>E por que ele pediria isso, hein? Não me enrole!</t>
        </is>
      </c>
      <c r="S8" s="13" t="inlineStr">
        <is>
          <t>E por que… ele pediria isso?</t>
        </is>
      </c>
      <c r="T8" s="13" t="inlineStr">
        <is>
          <t>Mas por que ele pediria isso? Não entendi.</t>
        </is>
      </c>
      <c r="U8" s="13" t="inlineStr">
        <is>
          <t>Pergunto com cuidado: por que ele pediria isso?</t>
        </is>
      </c>
      <c r="V8" s="13" t="inlineStr">
        <is>
          <t>Tanta parede nesta casa… e por que ele pediria isso?</t>
        </is>
      </c>
      <c r="W8" s="13" t="inlineStr">
        <is>
          <t>Pergunta para a ata: por que ele pediria isso?</t>
        </is>
      </c>
      <c r="X8" s="10">
        <f>SUMPRODUCT(($G8:$P8&lt;&gt;"")*ISERROR(SEARCH($G8:$P8,R8)))+SUMPRODUCT(($G8:$P8&lt;&gt;"")*ISERROR(SEARCH($G8:$P8,S8)))+SUMPRODUCT(($G8:$P8&lt;&gt;"")*ISERROR(SEARCH($G8:$P8,T8)))+SUMPRODUCT(($G8:$P8&lt;&gt;"")*ISERROR(SEARCH($G8:$P8,U8)))+SUMPRODUCT(($G8:$P8&lt;&gt;"")*ISERROR(SEARCH($G8:$P8,V8)))+SUMPRODUCT(($G8:$P8&lt;&gt;"")*ISERROR(SEARCH($G8:$P8,W8)))</f>
        <v/>
      </c>
      <c r="Y8" s="10" t="inlineStr">
        <is>
          <t>enquadre: '&lt;fala&gt;, perguntou {o Policial}.'</t>
        </is>
      </c>
    </row>
    <row r="9" ht="68.65000000000001" customHeight="1" s="8">
      <c r="A9" s="10" t="inlineStr">
        <is>
          <t>c4-08</t>
        </is>
      </c>
      <c r="B9" s="10" t="inlineStr">
        <is>
          <t>o Residente responde ao Policial</t>
        </is>
      </c>
      <c r="C9" s="10" t="inlineStr">
        <is>
          <t>roteiro</t>
        </is>
      </c>
      <c r="D9" s="10" t="inlineStr">
        <is>
          <t>residente</t>
        </is>
      </c>
      <c r="E9" s="10" t="inlineStr">
        <is>
          <t>policial</t>
        </is>
      </c>
      <c r="F9" s="10" t="inlineStr">
        <is>
          <t>todas as partidas, menos a 11 (na 11 a cena da passagem é outra)</t>
        </is>
      </c>
      <c r="G9" s="10" t="inlineStr">
        <is>
          <t>perguntei</t>
        </is>
      </c>
      <c r="H9" s="10" t="inlineStr">
        <is>
          <t>pagava</t>
        </is>
      </c>
      <c r="I9" s="10" t="n"/>
      <c r="J9" s="10" t="n"/>
      <c r="K9" s="10" t="n"/>
      <c r="L9" s="10" t="n"/>
      <c r="M9" s="10" t="n"/>
      <c r="N9" s="10" t="n"/>
      <c r="O9" s="10" t="n"/>
      <c r="P9" s="10" t="n"/>
      <c r="Q9" s="10" t="inlineStr">
        <is>
          <t>Não perguntei. Ele pagava.</t>
        </is>
      </c>
      <c r="R9" s="13" t="inlineStr">
        <is>
          <t>Não perguntei! Ele pagava, e pronto.</t>
        </is>
      </c>
      <c r="S9" s="13" t="inlineStr">
        <is>
          <t>Não perguntei… Ele pagava.</t>
        </is>
      </c>
      <c r="T9" s="13" t="inlineStr">
        <is>
          <t>Eu não perguntei, desculpe… ele pagava.</t>
        </is>
      </c>
      <c r="U9" s="13" t="inlineStr">
        <is>
          <t>Não perguntei; a ele não se perguntava. Ele pagava.</t>
        </is>
      </c>
      <c r="V9" s="13" t="inlineStr">
        <is>
          <t>Obra é obra, demora, cansa… Não perguntei. Ele pagava.</t>
        </is>
      </c>
      <c r="W9" s="13" t="inlineStr">
        <is>
          <t>Não perguntei. Ele pagava. Só isso.</t>
        </is>
      </c>
      <c r="X9" s="10">
        <f>SUMPRODUCT(($G9:$P9&lt;&gt;"")*ISERROR(SEARCH($G9:$P9,R9)))+SUMPRODUCT(($G9:$P9&lt;&gt;"")*ISERROR(SEARCH($G9:$P9,S9)))+SUMPRODUCT(($G9:$P9&lt;&gt;"")*ISERROR(SEARCH($G9:$P9,T9)))+SUMPRODUCT(($G9:$P9&lt;&gt;"")*ISERROR(SEARCH($G9:$P9,U9)))+SUMPRODUCT(($G9:$P9&lt;&gt;"")*ISERROR(SEARCH($G9:$P9,V9)))+SUMPRODUCT(($G9:$P9&lt;&gt;"")*ISERROR(SEARCH($G9:$P9,W9)))</f>
        <v/>
      </c>
      <c r="Y9" s="10" t="inlineStr">
        <is>
          <t>logo após a pergunta da c4-07, sem enquadre</t>
        </is>
      </c>
    </row>
    <row r="10" ht="23.85" customHeight="1" s="8">
      <c r="A10" s="10" t="inlineStr">
        <is>
          <t>c4-09</t>
        </is>
      </c>
      <c r="B10" s="10" t="inlineStr">
        <is>
          <t>a Herdeira olha para a janela do jasmim</t>
        </is>
      </c>
      <c r="C10" s="10" t="inlineStr">
        <is>
          <t>roteiro</t>
        </is>
      </c>
      <c r="D10" s="10" t="inlineStr">
        <is>
          <t>herdeira</t>
        </is>
      </c>
      <c r="E10" s="10" t="inlineStr">
        <is>
          <t>grupo</t>
        </is>
      </c>
      <c r="F10" s="10" t="n"/>
      <c r="G10" s="10" t="inlineStr">
        <is>
          <t>ninguém usava</t>
        </is>
      </c>
      <c r="H10" s="10" t="inlineStr">
        <is>
          <t>quarto</t>
        </is>
      </c>
      <c r="I10" s="10" t="inlineStr">
        <is>
          <t>despejo</t>
        </is>
      </c>
      <c r="J10" s="10" t="n"/>
      <c r="K10" s="10" t="n"/>
      <c r="L10" s="10" t="n"/>
      <c r="M10" s="10" t="n"/>
      <c r="N10" s="10" t="n"/>
      <c r="O10" s="10" t="n"/>
      <c r="P10" s="10" t="n"/>
      <c r="Q10" s="10" t="inlineStr">
        <is>
          <t>Ninguém usava aquele quarto. Era de despejo.</t>
        </is>
      </c>
      <c r="R10" s="13" t="inlineStr">
        <is>
          <t>Ninguém usava aquele quarto! Era de despejo.</t>
        </is>
      </c>
      <c r="S10" s="13" t="inlineStr">
        <is>
          <t>Ninguém usava… aquele quarto. Despejo.</t>
        </is>
      </c>
      <c r="T10" s="13" t="inlineStr">
        <is>
          <t>Ninguém usava aquele quarto… era de despejo, não era?</t>
        </is>
      </c>
      <c r="U10" s="13" t="inlineStr">
        <is>
          <t>Ninguém usava aquele quarto. Era de despejo.</t>
        </is>
      </c>
      <c r="V10" s="13" t="inlineStr">
        <is>
          <t>Essa umidade nos fundos… Ninguém usava aquele quarto. Era de despejo.</t>
        </is>
      </c>
      <c r="W10" s="13" t="inlineStr">
        <is>
          <t>Aquele quarto: ninguém usava. Destinação: despejo.</t>
        </is>
      </c>
      <c r="X10" s="10">
        <f>SUMPRODUCT(($G10:$P10&lt;&gt;"")*ISERROR(SEARCH($G10:$P10,R10)))+SUMPRODUCT(($G10:$P10&lt;&gt;"")*ISERROR(SEARCH($G10:$P10,S10)))+SUMPRODUCT(($G10:$P10&lt;&gt;"")*ISERROR(SEARCH($G10:$P10,T10)))+SUMPRODUCT(($G10:$P10&lt;&gt;"")*ISERROR(SEARCH($G10:$P10,U10)))+SUMPRODUCT(($G10:$P10&lt;&gt;"")*ISERROR(SEARCH($G10:$P10,V10)))+SUMPRODUCT(($G10:$P10&lt;&gt;"")*ISERROR(SEARCH($G10:$P10,W10)))</f>
        <v/>
      </c>
      <c r="Y10" s="10" t="inlineStr">
        <is>
          <t>enquadre: '{A Herdeira} olhava para a janela do jasmim. &lt;fala&gt;'</t>
        </is>
      </c>
    </row>
    <row r="11" ht="23.85" customHeight="1" s="8">
      <c r="A11" s="10" t="inlineStr">
        <is>
          <t>c4-10</t>
        </is>
      </c>
      <c r="B11" s="10" t="inlineStr">
        <is>
          <t>a Observadora dá o nome antigo do quarto</t>
        </is>
      </c>
      <c r="C11" s="10" t="inlineStr">
        <is>
          <t>roteiro</t>
        </is>
      </c>
      <c r="D11" s="10" t="inlineStr">
        <is>
          <t>observadora</t>
        </is>
      </c>
      <c r="E11" s="10" t="inlineStr">
        <is>
          <t>grupo</t>
        </is>
      </c>
      <c r="F11" s="10" t="n"/>
      <c r="G11" s="10" t="inlineStr">
        <is>
          <t>era</t>
        </is>
      </c>
      <c r="H11" s="10" t="inlineStr">
        <is>
          <t>quarto do jasmim</t>
        </is>
      </c>
      <c r="I11" s="10" t="n"/>
      <c r="J11" s="10" t="n"/>
      <c r="K11" s="10" t="n"/>
      <c r="L11" s="10" t="n"/>
      <c r="M11" s="10" t="n"/>
      <c r="N11" s="10" t="n"/>
      <c r="O11" s="10" t="n"/>
      <c r="P11" s="10" t="n"/>
      <c r="Q11" s="10" t="inlineStr">
        <is>
          <t>Era o quarto do jasmim</t>
        </is>
      </c>
      <c r="R11" s="13" t="inlineStr">
        <is>
          <t>Era o quarto do jasmim!</t>
        </is>
      </c>
      <c r="S11" s="13" t="inlineStr">
        <is>
          <t>Era… o quarto do jasmim.</t>
        </is>
      </c>
      <c r="T11" s="13" t="inlineStr">
        <is>
          <t>Era o quarto do jasmim…</t>
        </is>
      </c>
      <c r="U11" s="13" t="inlineStr">
        <is>
          <t>Era o quarto do jasmim.</t>
        </is>
      </c>
      <c r="V11" s="13" t="inlineStr">
        <is>
          <t>Bem… era o quarto do jasmim</t>
        </is>
      </c>
      <c r="W11" s="13" t="inlineStr">
        <is>
          <t>Era o quarto do jasmim.</t>
        </is>
      </c>
      <c r="X11" s="10">
        <f>SUMPRODUCT(($G11:$P11&lt;&gt;"")*ISERROR(SEARCH($G11:$P11,R11)))+SUMPRODUCT(($G11:$P11&lt;&gt;"")*ISERROR(SEARCH($G11:$P11,S11)))+SUMPRODUCT(($G11:$P11&lt;&gt;"")*ISERROR(SEARCH($G11:$P11,T11)))+SUMPRODUCT(($G11:$P11&lt;&gt;"")*ISERROR(SEARCH($G11:$P11,U11)))+SUMPRODUCT(($G11:$P11&lt;&gt;"")*ISERROR(SEARCH($G11:$P11,V11)))+SUMPRODUCT(($G11:$P11&lt;&gt;"")*ISERROR(SEARCH($G11:$P11,W11)))</f>
        <v/>
      </c>
      <c r="Y11" s="10" t="inlineStr">
        <is>
          <t>enquadre: '&lt;fala&gt;, disse {a Observadora}, e todos se viraram para ela.'</t>
        </is>
      </c>
    </row>
    <row r="12" ht="46.25" customHeight="1" s="8">
      <c r="A12" s="10" t="inlineStr">
        <is>
          <t>c4-11</t>
        </is>
      </c>
      <c r="B12" s="10" t="inlineStr">
        <is>
          <t>a Observadora explica por que conhece o quarto</t>
        </is>
      </c>
      <c r="C12" s="10" t="inlineStr">
        <is>
          <t>roteiro</t>
        </is>
      </c>
      <c r="D12" s="10" t="inlineStr">
        <is>
          <t>observadora</t>
        </is>
      </c>
      <c r="E12" s="10" t="inlineStr">
        <is>
          <t>grupo</t>
        </is>
      </c>
      <c r="F12" s="10" t="n"/>
      <c r="G12" s="10" t="inlineStr">
        <is>
          <t>mãe</t>
        </is>
      </c>
      <c r="H12" s="10" t="inlineStr">
        <is>
          <t>{g:obs:menina|menino}</t>
        </is>
      </c>
      <c r="I12" s="10" t="inlineStr">
        <is>
          <t>cresci</t>
        </is>
      </c>
      <c r="J12" s="10" t="inlineStr">
        <is>
          <t>chamava assim</t>
        </is>
      </c>
      <c r="K12" s="10" t="n"/>
      <c r="L12" s="10" t="n"/>
      <c r="M12" s="10" t="n"/>
      <c r="N12" s="10" t="n"/>
      <c r="O12" s="10" t="n"/>
      <c r="P12" s="10" t="n"/>
      <c r="Q12" s="10" t="inlineStr">
        <is>
          <t>Minha mãe trabalhou nesta casa quando eu era {g:obs:menina|menino}. Eu cresci naquele quarto. Quem cresceu aqui chamava assim.</t>
        </is>
      </c>
      <c r="R12" s="13" t="inlineStr">
        <is>
          <t>Minha mãe trabalhou nesta casa quando eu era {g:obs:menina|menino}. Eu cresci naquele quarto. Quem cresceu aqui chamava assim, algum problema?!</t>
        </is>
      </c>
      <c r="S12" s="13" t="inlineStr">
        <is>
          <t>Minha mãe… trabalhou nesta casa. Eu era {g:obs:menina|menino}. Cresci naquele quarto. Quem cresceu aqui… chamava assim.</t>
        </is>
      </c>
      <c r="T12" s="13" t="inlineStr">
        <is>
          <t>Minha mãe trabalhou nesta casa quando eu era {g:obs:menina|menino}, sabe? Eu cresci naquele quarto. Quem cresceu aqui chamava assim… é estranho?</t>
        </is>
      </c>
      <c r="U12" s="13" t="inlineStr">
        <is>
          <t>Minha mãe trabalhou nesta casa quando eu era {g:obs:menina|menino}, e eu cresci naquele quarto. Quem cresceu aqui chamava assim. Tenho orgulho disso.</t>
        </is>
      </c>
      <c r="V12" s="13" t="inlineStr">
        <is>
          <t>Faz tempo, isso… Minha mãe trabalhou nesta casa quando eu era {g:obs:menina|menino}. Cresci naquele quarto. Quem cresceu aqui chamava assim.</t>
        </is>
      </c>
      <c r="W12" s="13" t="inlineStr">
        <is>
          <t>Fatos: minha mãe trabalhou nesta casa quando eu era {g:obs:menina|menino}. Eu cresci naquele quarto. Quem cresceu aqui chamava assim.</t>
        </is>
      </c>
      <c r="X12" s="10">
        <f>SUMPRODUCT(($G12:$P12&lt;&gt;"")*ISERROR(SEARCH($G12:$P12,R12)))+SUMPRODUCT(($G12:$P12&lt;&gt;"")*ISERROR(SEARCH($G12:$P12,S12)))+SUMPRODUCT(($G12:$P12&lt;&gt;"")*ISERROR(SEARCH($G12:$P12,T12)))+SUMPRODUCT(($G12:$P12&lt;&gt;"")*ISERROR(SEARCH($G12:$P12,U12)))+SUMPRODUCT(($G12:$P12&lt;&gt;"")*ISERROR(SEARCH($G12:$P12,V12)))+SUMPRODUCT(($G12:$P12&lt;&gt;"")*ISERROR(SEARCH($G12:$P12,W12)))</f>
        <v/>
      </c>
      <c r="Y12" s="10" t="inlineStr">
        <is>
          <t>enquadre: 'Ela manteve o queixo erguido. &lt;fala&gt;'</t>
        </is>
      </c>
    </row>
    <row r="13" ht="102.2" customHeight="1" s="8">
      <c r="A13" s="10" t="inlineStr">
        <is>
          <t>c4-12</t>
        </is>
      </c>
      <c r="B13" s="10" t="inlineStr">
        <is>
          <t>os celulares vibram antes da reabertura das nove e meia</t>
        </is>
      </c>
      <c r="C13" s="10" t="inlineStr">
        <is>
          <t>voz</t>
        </is>
      </c>
      <c r="D13" s="10" t="inlineStr">
        <is>
          <t>acompanhante</t>
        </is>
      </c>
      <c r="E13" s="10" t="inlineStr">
        <is>
          <t>grupo</t>
        </is>
      </c>
      <c r="F13" s="10" t="n"/>
      <c r="G13" s="10" t="inlineStr">
        <is>
          <t>alguém</t>
        </is>
      </c>
      <c r="H13" s="10" t="inlineStr">
        <is>
          <t>lugar</t>
        </is>
      </c>
      <c r="I13" s="10" t="n"/>
      <c r="J13" s="10" t="n"/>
      <c r="K13" s="10" t="n"/>
      <c r="L13" s="10" t="n"/>
      <c r="M13" s="10" t="n"/>
      <c r="N13" s="10" t="n"/>
      <c r="O13" s="10" t="n"/>
      <c r="P13" s="10" t="n"/>
      <c r="Q13" s="10" t="inlineStr">
        <is>
          <t>Alguém escolheu o lugar errado de propósito.</t>
        </is>
      </c>
      <c r="R13" s="13" t="inlineStr">
        <is>
          <t>Alguém escolheu o lugar errado. De propósito!</t>
        </is>
      </c>
      <c r="S13" s="13" t="inlineStr">
        <is>
          <t>Alguém… o lugar errado. De propósito.</t>
        </is>
      </c>
      <c r="T13" s="13" t="inlineStr">
        <is>
          <t>Alguém escolheu o lugar errado… de propósito. Vocês perceberam?</t>
        </is>
      </c>
      <c r="U13" s="13" t="inlineStr">
        <is>
          <t>Alguém escolheu o lugar errado. E sabia o que fazia.</t>
        </is>
      </c>
      <c r="V13" s="13" t="inlineStr">
        <is>
          <t>Alguém escolheu o lugar errado de propósito.</t>
        </is>
      </c>
      <c r="W13" s="13" t="inlineStr">
        <is>
          <t>Consta: lugar errado, escolhido de propósito por alguém.</t>
        </is>
      </c>
      <c r="X13" s="10">
        <f>SUMPRODUCT(($G13:$P13&lt;&gt;"")*ISERROR(SEARCH($G13:$P13,R13)))+SUMPRODUCT(($G13:$P13&lt;&gt;"")*ISERROR(SEARCH($G13:$P13,S13)))+SUMPRODUCT(($G13:$P13&lt;&gt;"")*ISERROR(SEARCH($G13:$P13,T13)))+SUMPRODUCT(($G13:$P13&lt;&gt;"")*ISERROR(SEARCH($G13:$P13,U13)))+SUMPRODUCT(($G13:$P13&lt;&gt;"")*ISERROR(SEARCH($G13:$P13,V13)))+SUMPRODUCT(($G13:$P13&lt;&gt;"")*ISERROR(SEARCH($G13:$P13,W13)))</f>
        <v/>
      </c>
      <c r="Y13" s="10" t="inlineStr">
        <is>
          <t>função: logo depois da distribuição dos postos, avisar que a escolha dos lugares importa e que alguém não está onde devia (aponta para a pergunta principal: quem escolheu o próprio posto). Base = ardilosa (evasivo idêntico). Antigos: guardia 'Não deixem a sala sozinha.'; explosiva 'Cada um no seu lugar. Como nunca estiveram.'; quieta 'Nove e meia.'</t>
        </is>
      </c>
    </row>
    <row r="14" ht="35.05" customHeight="1" s="8">
      <c r="A14" s="10" t="inlineStr">
        <is>
          <t>c4-13</t>
        </is>
      </c>
      <c r="B14" s="10" t="inlineStr">
        <is>
          <t>reação à passagem, no chat</t>
        </is>
      </c>
      <c r="C14" s="10" t="inlineStr">
        <is>
          <t>chat</t>
        </is>
      </c>
      <c r="D14" s="10" t="inlineStr">
        <is>
          <t>voz(['jornalista','policial','advogado'],'residente')</t>
        </is>
      </c>
      <c r="E14" s="10" t="inlineStr">
        <is>
          <t>grupo</t>
        </is>
      </c>
      <c r="F14" s="10" t="n"/>
      <c r="G14" s="10" t="inlineStr">
        <is>
          <t>passagem</t>
        </is>
      </c>
      <c r="H14" s="10" t="inlineStr">
        <is>
          <t>sala do relógio</t>
        </is>
      </c>
      <c r="I14" s="10" t="inlineStr">
        <is>
          <t>ninguém sabia</t>
        </is>
      </c>
      <c r="J14" s="10" t="n"/>
      <c r="K14" s="10" t="n"/>
      <c r="L14" s="10" t="n"/>
      <c r="M14" s="10" t="n"/>
      <c r="N14" s="10" t="n"/>
      <c r="O14" s="10" t="n"/>
      <c r="P14" s="10" t="n"/>
      <c r="Q14" s="10" t="inlineStr">
        <is>
          <t>Uma passagem até a sala do relógio, e ninguém sabia?</t>
        </is>
      </c>
      <c r="R14" s="13" t="inlineStr">
        <is>
          <t>Uma passagem até a sala do relógio, e ninguém sabia? Bonito, hein!</t>
        </is>
      </c>
      <c r="S14" s="13" t="inlineStr">
        <is>
          <t>Uma passagem… até a sala do relógio. E ninguém sabia?</t>
        </is>
      </c>
      <c r="T14" s="13" t="inlineStr">
        <is>
          <t>Uma passagem até a sala do relógio… e ninguém sabia mesmo? Sério?</t>
        </is>
      </c>
      <c r="U14" s="13" t="inlineStr">
        <is>
          <t>Uma passagem até a sala do relógio, e ninguém sabia?</t>
        </is>
      </c>
      <c r="V14" s="13" t="inlineStr">
        <is>
          <t>Casa velha, umidade nas paredes… Uma passagem até a sala do relógio, e ninguém sabia?</t>
        </is>
      </c>
      <c r="W14" s="13" t="inlineStr">
        <is>
          <t>Consta: passagem até a sala do relógio. E ninguém sabia?</t>
        </is>
      </c>
      <c r="X14" s="10">
        <f>SUMPRODUCT(($G14:$P14&lt;&gt;"")*ISERROR(SEARCH($G14:$P14,R14)))+SUMPRODUCT(($G14:$P14&lt;&gt;"")*ISERROR(SEARCH($G14:$P14,S14)))+SUMPRODUCT(($G14:$P14&lt;&gt;"")*ISERROR(SEARCH($G14:$P14,T14)))+SUMPRODUCT(($G14:$P14&lt;&gt;"")*ISERROR(SEARCH($G14:$P14,U14)))+SUMPRODUCT(($G14:$P14&lt;&gt;"")*ISERROR(SEARCH($G14:$P14,V14)))+SUMPRODUCT(($G14:$P14&lt;&gt;"")*ISERROR(SEARCH($G14:$P14,W14)))</f>
        <v/>
      </c>
      <c r="Y14" s="10" t="n"/>
    </row>
    <row r="15" ht="35.05" customHeight="1" s="8">
      <c r="A15" s="10" t="inlineStr">
        <is>
          <t>c4-14</t>
        </is>
      </c>
      <c r="B15" s="10" t="inlineStr">
        <is>
          <t>desconfiança sobre a Observadora, no chat</t>
        </is>
      </c>
      <c r="C15" s="10" t="inlineStr">
        <is>
          <t>chat</t>
        </is>
      </c>
      <c r="D15" s="10" t="inlineStr">
        <is>
          <t>voz(['herdeira','tabeliao','investigador'],'observadora')</t>
        </is>
      </c>
      <c r="E15" s="10" t="inlineStr">
        <is>
          <t>grupo</t>
        </is>
      </c>
      <c r="F15" s="10" t="n"/>
      <c r="G15" s="10" t="inlineStr">
        <is>
          <t>cresceu</t>
        </is>
      </c>
      <c r="H15" s="10" t="inlineStr">
        <is>
          <t>nesta casa</t>
        </is>
      </c>
      <c r="I15" s="10" t="inlineStr">
        <is>
          <t>mais do que diz</t>
        </is>
      </c>
      <c r="J15" s="10" t="n"/>
      <c r="K15" s="10" t="n"/>
      <c r="L15" s="10" t="n"/>
      <c r="M15" s="10" t="n"/>
      <c r="N15" s="10" t="n"/>
      <c r="O15" s="10" t="n"/>
      <c r="P15" s="10" t="n"/>
      <c r="Q15" s="10" t="inlineStr">
        <is>
          <t>Quem cresceu nesta casa conhece mais do que diz.</t>
        </is>
      </c>
      <c r="R15" s="13" t="inlineStr">
        <is>
          <t>Quem cresceu nesta casa conhece mais do que diz, ora!</t>
        </is>
      </c>
      <c r="S15" s="13" t="inlineStr">
        <is>
          <t>Quem cresceu nesta casa… conhece mais do que diz.</t>
        </is>
      </c>
      <c r="T15" s="13" t="inlineStr">
        <is>
          <t>Quem cresceu nesta casa conhece mais do que diz… não conhece?</t>
        </is>
      </c>
      <c r="U15" s="13" t="inlineStr">
        <is>
          <t>Quem cresceu nesta casa conhece mais do que diz. Isso não é culpa de ninguém.</t>
        </is>
      </c>
      <c r="V15" s="13" t="inlineStr">
        <is>
          <t>O tempo leva tanta coisa… mas quem cresceu nesta casa conhece mais do que diz.</t>
        </is>
      </c>
      <c r="W15" s="13" t="inlineStr">
        <is>
          <t>Anote: quem cresceu nesta casa conhece mais do que diz.</t>
        </is>
      </c>
      <c r="X15" s="10">
        <f>SUMPRODUCT(($G15:$P15&lt;&gt;"")*ISERROR(SEARCH($G15:$P15,R15)))+SUMPRODUCT(($G15:$P15&lt;&gt;"")*ISERROR(SEARCH($G15:$P15,S15)))+SUMPRODUCT(($G15:$P15&lt;&gt;"")*ISERROR(SEARCH($G15:$P15,T15)))+SUMPRODUCT(($G15:$P15&lt;&gt;"")*ISERROR(SEARCH($G15:$P15,U15)))+SUMPRODUCT(($G15:$P15&lt;&gt;"")*ISERROR(SEARCH($G15:$P15,V15)))+SUMPRODUCT(($G15:$P15&lt;&gt;"")*ISERROR(SEARCH($G15:$P15,W15)))</f>
        <v/>
      </c>
      <c r="Y15" s="10" t="inlineStr">
        <is>
          <t>falante pode ser homem ou mulher: sem adjetivo de gênero</t>
        </is>
      </c>
    </row>
    <row r="16" ht="35.05" customHeight="1" s="8">
      <c r="A16" s="10" t="inlineStr">
        <is>
          <t>c4-15</t>
        </is>
      </c>
      <c r="B16" s="10" t="inlineStr">
        <is>
          <t>pergunta sobre as pegadas, no privado</t>
        </is>
      </c>
      <c r="C16" s="10" t="inlineStr">
        <is>
          <t>privado</t>
        </is>
      </c>
      <c r="D16" s="10" t="inlineStr">
        <is>
          <t>voz(['governanta','jornalista','herdeira','residente'],lider)</t>
        </is>
      </c>
      <c r="E16" s="10" t="inlineStr">
        <is>
          <t>jogador no privado</t>
        </is>
      </c>
      <c r="F16" s="10" t="n"/>
      <c r="G16" s="10" t="inlineStr">
        <is>
          <t>viu</t>
        </is>
      </c>
      <c r="H16" s="10" t="inlineStr">
        <is>
          <t>lado</t>
        </is>
      </c>
      <c r="I16" s="10" t="inlineStr">
        <is>
          <t>pegadas</t>
        </is>
      </c>
      <c r="J16" s="10" t="n"/>
      <c r="K16" s="10" t="n"/>
      <c r="L16" s="10" t="n"/>
      <c r="M16" s="10" t="n"/>
      <c r="N16" s="10" t="n"/>
      <c r="O16" s="10" t="n"/>
      <c r="P16" s="10" t="n"/>
      <c r="Q16" s="10" t="inlineStr">
        <is>
          <t>Você viu para que lado vão as pegadas?</t>
        </is>
      </c>
      <c r="R16" s="13" t="inlineStr">
        <is>
          <t>E aí, você viu para que lado vão as pegadas? Rápido!</t>
        </is>
      </c>
      <c r="S16" s="13" t="inlineStr">
        <is>
          <t>As pegadas… Você viu para que lado vão?</t>
        </is>
      </c>
      <c r="T16" s="13" t="inlineStr">
        <is>
          <t>Desculpe perguntar… você viu para que lado vão as pegadas?</t>
        </is>
      </c>
      <c r="U16" s="13" t="inlineStr">
        <is>
          <t>Você viu para que lado vão as pegadas?</t>
        </is>
      </c>
      <c r="V16" s="13" t="inlineStr">
        <is>
          <t>Que chuva, não? Encharcou tudo… Você viu para que lado vão as pegadas?</t>
        </is>
      </c>
      <c r="W16" s="13" t="inlineStr">
        <is>
          <t>Pergunta objetiva: você viu para que lado vão as pegadas?</t>
        </is>
      </c>
      <c r="X16" s="10">
        <f>SUMPRODUCT(($G16:$P16&lt;&gt;"")*ISERROR(SEARCH($G16:$P16,R16)))+SUMPRODUCT(($G16:$P16&lt;&gt;"")*ISERROR(SEARCH($G16:$P16,S16)))+SUMPRODUCT(($G16:$P16&lt;&gt;"")*ISERROR(SEARCH($G16:$P16,T16)))+SUMPRODUCT(($G16:$P16&lt;&gt;"")*ISERROR(SEARCH($G16:$P16,U16)))+SUMPRODUCT(($G16:$P16&lt;&gt;"")*ISERROR(SEARCH($G16:$P16,V16)))+SUMPRODUCT(($G16:$P16&lt;&gt;"")*ISERROR(SEARCH($G16:$P16,W16)))</f>
        <v/>
      </c>
      <c r="Y16" s="10" t="inlineStr">
        <is>
          <t>falante pode ser homem ou mulher: sem adjetivo de gênero</t>
        </is>
      </c>
    </row>
    <row r="17" ht="23.85" customHeight="1" s="8">
      <c r="A17" s="10" t="inlineStr">
        <is>
          <t>c4-16</t>
        </is>
      </c>
      <c r="B17" s="10" t="inlineStr">
        <is>
          <t>resposta a 'Para que lado vão as pegadas?'</t>
        </is>
      </c>
      <c r="C17" s="10" t="inlineStr">
        <is>
          <t>resposta</t>
        </is>
      </c>
      <c r="D17" s="10" t="inlineStr">
        <is>
          <t>fala(['policial','investigador','advogado'])</t>
        </is>
      </c>
      <c r="E17" s="10" t="inlineStr">
        <is>
          <t>jogador no grupo</t>
        </is>
      </c>
      <c r="F17" s="10" t="n"/>
      <c r="G17" s="10" t="inlineStr">
        <is>
          <t>bico</t>
        </is>
      </c>
      <c r="H17" s="10" t="inlineStr">
        <is>
          <t>pegadas</t>
        </is>
      </c>
      <c r="I17" s="10" t="inlineStr">
        <is>
          <t>não mente</t>
        </is>
      </c>
      <c r="J17" s="10" t="n"/>
      <c r="K17" s="10" t="n"/>
      <c r="L17" s="10" t="n"/>
      <c r="M17" s="10" t="n"/>
      <c r="N17" s="10" t="n"/>
      <c r="O17" s="10" t="n"/>
      <c r="P17" s="10" t="n"/>
      <c r="Q17" s="10" t="inlineStr">
        <is>
          <t>Olhe o bico das pegadas. Ele não mente.</t>
        </is>
      </c>
      <c r="R17" s="13" t="inlineStr">
        <is>
          <t>Olhe o bico das pegadas! Ele não mente.</t>
        </is>
      </c>
      <c r="S17" s="13" t="inlineStr">
        <is>
          <t>O bico… das pegadas. Ele não mente.</t>
        </is>
      </c>
      <c r="T17" s="13" t="inlineStr">
        <is>
          <t>Olhe o bico das pegadas… ele não mente, não é assim que dizem?</t>
        </is>
      </c>
      <c r="U17" s="13" t="inlineStr">
        <is>
          <t>Olhe o bico das pegadas. Ele não mente.</t>
        </is>
      </c>
      <c r="V17" s="13" t="inlineStr">
        <is>
          <t>Chão molhado confunde… mas olhe o bico das pegadas. Ele não mente.</t>
        </is>
      </c>
      <c r="W17" s="13" t="inlineStr">
        <is>
          <t>Procedimento: olhe o bico das pegadas. Ele não mente.</t>
        </is>
      </c>
      <c r="X17" s="10">
        <f>SUMPRODUCT(($G17:$P17&lt;&gt;"")*ISERROR(SEARCH($G17:$P17,R17)))+SUMPRODUCT(($G17:$P17&lt;&gt;"")*ISERROR(SEARCH($G17:$P17,S17)))+SUMPRODUCT(($G17:$P17&lt;&gt;"")*ISERROR(SEARCH($G17:$P17,T17)))+SUMPRODUCT(($G17:$P17&lt;&gt;"")*ISERROR(SEARCH($G17:$P17,U17)))+SUMPRODUCT(($G17:$P17&lt;&gt;"")*ISERROR(SEARCH($G17:$P17,V17)))+SUMPRODUCT(($G17:$P17&lt;&gt;"")*ISERROR(SEARCH($G17:$P17,W17)))</f>
        <v/>
      </c>
      <c r="Y17" s="10" t="inlineStr">
        <is>
          <t>não dizer a direção</t>
        </is>
      </c>
    </row>
    <row r="18" ht="23.85" customHeight="1" s="8">
      <c r="A18" s="10" t="inlineStr">
        <is>
          <t>c4-17</t>
        </is>
      </c>
      <c r="B18" s="10" t="inlineStr">
        <is>
          <t>resposta a 'Quem mais sabia da passagem?'</t>
        </is>
      </c>
      <c r="C18" s="10" t="inlineStr">
        <is>
          <t>resposta</t>
        </is>
      </c>
      <c r="D18" s="10" t="inlineStr">
        <is>
          <t>residente</t>
        </is>
      </c>
      <c r="E18" s="10" t="inlineStr">
        <is>
          <t>jogador no grupo</t>
        </is>
      </c>
      <c r="F18" s="10" t="n"/>
      <c r="G18" s="10" t="inlineStr">
        <is>
          <t>ele</t>
        </is>
      </c>
      <c r="H18" s="10" t="inlineStr">
        <is>
          <t>quem mais andasse</t>
        </is>
      </c>
      <c r="I18" s="10" t="n"/>
      <c r="J18" s="10" t="n"/>
      <c r="K18" s="10" t="n"/>
      <c r="L18" s="10" t="n"/>
      <c r="M18" s="10" t="n"/>
      <c r="N18" s="10" t="n"/>
      <c r="O18" s="10" t="n"/>
      <c r="P18" s="10" t="n"/>
      <c r="Q18" s="10" t="inlineStr">
        <is>
          <t>Ele. E quem mais andasse por ela.</t>
        </is>
      </c>
      <c r="R18" s="13" t="inlineStr">
        <is>
          <t>Ele! E quem mais andasse por ela.</t>
        </is>
      </c>
      <c r="S18" s="13" t="inlineStr">
        <is>
          <t>Ele… E quem mais andasse por ela.</t>
        </is>
      </c>
      <c r="T18" s="13" t="inlineStr">
        <is>
          <t>Ele… e quem mais andasse por ela, não é?</t>
        </is>
      </c>
      <c r="U18" s="13" t="inlineStr">
        <is>
          <t>Ele, o dono da casa. E quem mais andasse por ela.</t>
        </is>
      </c>
      <c r="V18" s="13" t="inlineStr">
        <is>
          <t>Passagem velha, úmida… Ele. E quem mais andasse por ela.</t>
        </is>
      </c>
      <c r="W18" s="13" t="inlineStr">
        <is>
          <t>Ciente da passagem: ele. E quem mais andasse por ela.</t>
        </is>
      </c>
      <c r="X18" s="10">
        <f>SUMPRODUCT(($G18:$P18&lt;&gt;"")*ISERROR(SEARCH($G18:$P18,R18)))+SUMPRODUCT(($G18:$P18&lt;&gt;"")*ISERROR(SEARCH($G18:$P18,S18)))+SUMPRODUCT(($G18:$P18&lt;&gt;"")*ISERROR(SEARCH($G18:$P18,T18)))+SUMPRODUCT(($G18:$P18&lt;&gt;"")*ISERROR(SEARCH($G18:$P18,U18)))+SUMPRODUCT(($G18:$P18&lt;&gt;"")*ISERROR(SEARCH($G18:$P18,V18)))+SUMPRODUCT(($G18:$P18&lt;&gt;"")*ISERROR(SEARCH($G18:$P18,W18)))</f>
        <v/>
      </c>
      <c r="Y18" s="10" t="n"/>
    </row>
    <row r="19" ht="46.25" customHeight="1" s="8">
      <c r="A19" s="10" t="inlineStr">
        <is>
          <t>c4-18</t>
        </is>
      </c>
      <c r="B19" s="10" t="inlineStr">
        <is>
          <t>resposta a 'Por que escolheu esse posto?'</t>
        </is>
      </c>
      <c r="C19" s="10" t="inlineStr">
        <is>
          <t>resposta</t>
        </is>
      </c>
      <c r="D19" s="10" t="inlineStr">
        <is>
          <t>fala([ch]) (quem escolheu o próprio posto; muda por partida)</t>
        </is>
      </c>
      <c r="E19" s="10" t="inlineStr">
        <is>
          <t>jogador no grupo</t>
        </is>
      </c>
      <c r="F19" s="10" t="inlineStr">
        <is>
          <t>só quando quem escolheu não é o jogador</t>
        </is>
      </c>
      <c r="G19" s="10" t="inlineStr">
        <is>
          <t>sirvo</t>
        </is>
      </c>
      <c r="H19" s="10" t="inlineStr">
        <is>
          <t>alguma coisa</t>
        </is>
      </c>
      <c r="I19" s="10" t="n"/>
      <c r="J19" s="10" t="n"/>
      <c r="K19" s="10" t="n"/>
      <c r="L19" s="10" t="n"/>
      <c r="M19" s="10" t="n"/>
      <c r="N19" s="10" t="n"/>
      <c r="O19" s="10" t="n"/>
      <c r="P19" s="10" t="n"/>
      <c r="Q19" s="10" t="inlineStr">
        <is>
          <t>Porque é onde eu sirvo para alguma coisa.</t>
        </is>
      </c>
      <c r="R19" s="13" t="inlineStr">
        <is>
          <t>Porque é onde eu sirvo para alguma coisa! Basta?</t>
        </is>
      </c>
      <c r="S19" s="13" t="inlineStr">
        <is>
          <t>Porque ali… eu sirvo para alguma coisa.</t>
        </is>
      </c>
      <c r="T19" s="13" t="inlineStr">
        <is>
          <t>Porque é onde eu sirvo para alguma coisa… faz sentido, não faz?</t>
        </is>
      </c>
      <c r="U19" s="13" t="inlineStr">
        <is>
          <t>Porque é onde eu sirvo para alguma coisa.</t>
        </is>
      </c>
      <c r="V19" s="13" t="inlineStr">
        <is>
          <t>Ah, tanta demora, tanta espera… Porque é onde eu sirvo para alguma coisa.</t>
        </is>
      </c>
      <c r="W19" s="13" t="inlineStr">
        <is>
          <t>Justificativa: é onde eu sirvo para alguma coisa.</t>
        </is>
      </c>
      <c r="X19" s="10">
        <f>SUMPRODUCT(($G19:$P19&lt;&gt;"")*ISERROR(SEARCH($G19:$P19,R19)))+SUMPRODUCT(($G19:$P19&lt;&gt;"")*ISERROR(SEARCH($G19:$P19,S19)))+SUMPRODUCT(($G19:$P19&lt;&gt;"")*ISERROR(SEARCH($G19:$P19,T19)))+SUMPRODUCT(($G19:$P19&lt;&gt;"")*ISERROR(SEARCH($G19:$P19,U19)))+SUMPRODUCT(($G19:$P19&lt;&gt;"")*ISERROR(SEARCH($G19:$P19,V19)))+SUMPRODUCT(($G19:$P19&lt;&gt;"")*ISERROR(SEARCH($G19:$P19,W19)))</f>
        <v/>
      </c>
      <c r="Y19" s="10" t="inlineStr">
        <is>
          <t>texto fixo, falante muda por partida: sem adjetivo de gênero sobre si</t>
        </is>
      </c>
    </row>
    <row r="20" ht="23.85" customHeight="1" s="8">
      <c r="A20" s="10" t="inlineStr">
        <is>
          <t>c4-19</t>
        </is>
      </c>
      <c r="B20" s="10" t="inlineStr">
        <is>
          <t>resposta a 'Vamos ficar onde nos mandaram.'</t>
        </is>
      </c>
      <c r="C20" s="10" t="inlineStr">
        <is>
          <t>resposta</t>
        </is>
      </c>
      <c r="D20" s="10" t="inlineStr">
        <is>
          <t>fala(['policial','tabeliao'])</t>
        </is>
      </c>
      <c r="E20" s="10" t="inlineStr">
        <is>
          <t>jogador no grupo</t>
        </is>
      </c>
      <c r="F20" s="10" t="n"/>
      <c r="G20" s="10" t="inlineStr">
        <is>
          <t>é o</t>
        </is>
      </c>
      <c r="H20" s="10" t="inlineStr">
        <is>
          <t>combinado</t>
        </is>
      </c>
      <c r="I20" s="10" t="n"/>
      <c r="J20" s="10" t="n"/>
      <c r="K20" s="10" t="n"/>
      <c r="L20" s="10" t="n"/>
      <c r="M20" s="10" t="n"/>
      <c r="N20" s="10" t="n"/>
      <c r="O20" s="10" t="n"/>
      <c r="P20" s="10" t="n"/>
      <c r="Q20" s="10" t="inlineStr">
        <is>
          <t>É o combinado.</t>
        </is>
      </c>
      <c r="R20" s="13" t="inlineStr">
        <is>
          <t>É o combinado!</t>
        </is>
      </c>
      <c r="S20" s="13" t="inlineStr">
        <is>
          <t>… É o combinado.</t>
        </is>
      </c>
      <c r="T20" s="13" t="inlineStr">
        <is>
          <t>É o combinado…</t>
        </is>
      </c>
      <c r="U20" s="13" t="inlineStr">
        <is>
          <t>É o combinado.</t>
        </is>
      </c>
      <c r="V20" s="13" t="inlineStr">
        <is>
          <t>Ah… é o combinado.</t>
        </is>
      </c>
      <c r="W20" s="13" t="inlineStr">
        <is>
          <t>É o combinado.</t>
        </is>
      </c>
      <c r="X20" s="10">
        <f>SUMPRODUCT(($G20:$P20&lt;&gt;"")*ISERROR(SEARCH($G20:$P20,R20)))+SUMPRODUCT(($G20:$P20&lt;&gt;"")*ISERROR(SEARCH($G20:$P20,S20)))+SUMPRODUCT(($G20:$P20&lt;&gt;"")*ISERROR(SEARCH($G20:$P20,T20)))+SUMPRODUCT(($G20:$P20&lt;&gt;"")*ISERROR(SEARCH($G20:$P20,U20)))+SUMPRODUCT(($G20:$P20&lt;&gt;"")*ISERROR(SEARCH($G20:$P20,V20)))+SUMPRODUCT(($G20:$P20&lt;&gt;"")*ISERROR(SEARCH($G20:$P20,W20)))</f>
        <v/>
      </c>
      <c r="Y20" s="10" t="n"/>
    </row>
    <row r="21" ht="35.05" customHeight="1" s="8">
      <c r="A21" s="10" t="inlineStr">
        <is>
          <t>c4-20</t>
        </is>
      </c>
      <c r="B21" s="10" t="inlineStr">
        <is>
          <t>resposta privada a 'Você acha que essa trilha é de hoje?'</t>
        </is>
      </c>
      <c r="C21" s="10" t="inlineStr">
        <is>
          <t>resposta</t>
        </is>
      </c>
      <c r="D21" s="10" t="inlineStr">
        <is>
          <t>quem estiver no privado com o jogador</t>
        </is>
      </c>
      <c r="E21" s="10" t="inlineStr">
        <is>
          <t>jogador no privado</t>
        </is>
      </c>
      <c r="F21" s="10" t="n"/>
      <c r="G21" s="10" t="inlineStr">
        <is>
          <t>água parada</t>
        </is>
      </c>
      <c r="H21" s="10" t="inlineStr">
        <is>
          <t>dentro</t>
        </is>
      </c>
      <c r="I21" s="10" t="n"/>
      <c r="J21" s="10" t="n"/>
      <c r="K21" s="10" t="n"/>
      <c r="L21" s="10" t="n"/>
      <c r="M21" s="10" t="n"/>
      <c r="N21" s="10" t="n"/>
      <c r="O21" s="10" t="n"/>
      <c r="P21" s="10" t="n"/>
      <c r="Q21" s="10" t="inlineStr">
        <is>
          <t>É. Tem água parada dentro.</t>
        </is>
      </c>
      <c r="R21" s="13" t="inlineStr">
        <is>
          <t>É! Tem água parada dentro.</t>
        </is>
      </c>
      <c r="S21" s="13" t="inlineStr">
        <is>
          <t>É… Água parada dentro.</t>
        </is>
      </c>
      <c r="T21" s="13" t="inlineStr">
        <is>
          <t>É, sim… tem água parada dentro. Você viu também?</t>
        </is>
      </c>
      <c r="U21" s="13" t="inlineStr">
        <is>
          <t>É. Tem água parada dentro.</t>
        </is>
      </c>
      <c r="V21" s="13" t="inlineStr">
        <is>
          <t>Chove tanto… mas é. Tem água parada dentro.</t>
        </is>
      </c>
      <c r="W21" s="13" t="inlineStr">
        <is>
          <t>Afirmativo. Água parada dentro.</t>
        </is>
      </c>
      <c r="X21" s="10">
        <f>SUMPRODUCT(($G21:$P21&lt;&gt;"")*ISERROR(SEARCH($G21:$P21,R21)))+SUMPRODUCT(($G21:$P21&lt;&gt;"")*ISERROR(SEARCH($G21:$P21,S21)))+SUMPRODUCT(($G21:$P21&lt;&gt;"")*ISERROR(SEARCH($G21:$P21,T21)))+SUMPRODUCT(($G21:$P21&lt;&gt;"")*ISERROR(SEARCH($G21:$P21,U21)))+SUMPRODUCT(($G21:$P21&lt;&gt;"")*ISERROR(SEARCH($G21:$P21,V21)))+SUMPRODUCT(($G21:$P21&lt;&gt;"")*ISERROR(SEARCH($G21:$P21,W21)))</f>
        <v/>
      </c>
      <c r="Y21" s="10" t="inlineStr">
        <is>
          <t>falante varia: sem adjetivo de gênero</t>
        </is>
      </c>
    </row>
    <row r="22" ht="35.05" customHeight="1" s="8">
      <c r="A22" s="10" t="inlineStr">
        <is>
          <t>c4-21</t>
        </is>
      </c>
      <c r="B22" s="10" t="inlineStr">
        <is>
          <t>resposta privada a 'Não confio em ninguém aqui.'</t>
        </is>
      </c>
      <c r="C22" s="10" t="inlineStr">
        <is>
          <t>resposta</t>
        </is>
      </c>
      <c r="D22" s="10" t="inlineStr">
        <is>
          <t>quem estiver no privado com o jogador</t>
        </is>
      </c>
      <c r="E22" s="10" t="inlineStr">
        <is>
          <t>jogador no privado</t>
        </is>
      </c>
      <c r="F22" s="10" t="n"/>
      <c r="G22" s="10" t="inlineStr">
        <is>
          <t>nem eu</t>
        </is>
      </c>
      <c r="H22" s="10" t="n"/>
      <c r="I22" s="10" t="n"/>
      <c r="J22" s="10" t="n"/>
      <c r="K22" s="10" t="n"/>
      <c r="L22" s="10" t="n"/>
      <c r="M22" s="10" t="n"/>
      <c r="N22" s="10" t="n"/>
      <c r="O22" s="10" t="n"/>
      <c r="P22" s="10" t="n"/>
      <c r="Q22" s="10" t="inlineStr">
        <is>
          <t>Nem eu.</t>
        </is>
      </c>
      <c r="R22" s="13" t="inlineStr">
        <is>
          <t>Nem eu!</t>
        </is>
      </c>
      <c r="S22" s="13" t="inlineStr">
        <is>
          <t>… Nem eu.</t>
        </is>
      </c>
      <c r="T22" s="13" t="inlineStr">
        <is>
          <t>Nem eu…</t>
        </is>
      </c>
      <c r="U22" s="13" t="inlineStr">
        <is>
          <t>Nem eu.</t>
        </is>
      </c>
      <c r="V22" s="13" t="inlineStr">
        <is>
          <t>Nem eu.</t>
        </is>
      </c>
      <c r="W22" s="13" t="inlineStr">
        <is>
          <t>Nem eu.</t>
        </is>
      </c>
      <c r="X22" s="10">
        <f>SUMPRODUCT(($G22:$P22&lt;&gt;"")*ISERROR(SEARCH($G22:$P22,R22)))+SUMPRODUCT(($G22:$P22&lt;&gt;"")*ISERROR(SEARCH($G22:$P22,S22)))+SUMPRODUCT(($G22:$P22&lt;&gt;"")*ISERROR(SEARCH($G22:$P22,T22)))+SUMPRODUCT(($G22:$P22&lt;&gt;"")*ISERROR(SEARCH($G22:$P22,U22)))+SUMPRODUCT(($G22:$P22&lt;&gt;"")*ISERROR(SEARCH($G22:$P22,V22)))+SUMPRODUCT(($G22:$P22&lt;&gt;"")*ISERROR(SEARCH($G22:$P22,W22)))</f>
        <v/>
      </c>
      <c r="Y22" s="10" t="inlineStr">
        <is>
          <t>fala de duas palavras: um item só. Falante varia: sem adjetivo de gênero</t>
        </is>
      </c>
    </row>
    <row r="23" ht="23.85" customHeight="1" s="8">
      <c r="A23" s="10" t="inlineStr">
        <is>
          <t>c4-22</t>
        </is>
      </c>
      <c r="B23" s="10" t="inlineStr">
        <is>
          <t>debate: quem conhece a casa por função</t>
        </is>
      </c>
      <c r="C23" s="10" t="inlineStr">
        <is>
          <t>resposta</t>
        </is>
      </c>
      <c r="D23" s="10" t="inlineStr">
        <is>
          <t>fala(['governanta','jardineiro','residente'])</t>
        </is>
      </c>
      <c r="E23" s="10" t="inlineStr">
        <is>
          <t>grupo (debate)</t>
        </is>
      </c>
      <c r="F23" s="10" t="n"/>
      <c r="G23" s="10" t="inlineStr">
        <is>
          <t>trabalhei</t>
        </is>
      </c>
      <c r="H23" s="10" t="inlineStr">
        <is>
          <t>função</t>
        </is>
      </c>
      <c r="I23" s="10" t="n"/>
      <c r="J23" s="10" t="n"/>
      <c r="K23" s="10" t="n"/>
      <c r="L23" s="10" t="n"/>
      <c r="M23" s="10" t="n"/>
      <c r="N23" s="10" t="n"/>
      <c r="O23" s="10" t="n"/>
      <c r="P23" s="10" t="n"/>
      <c r="Q23" s="10" t="inlineStr">
        <is>
          <t>Eu conheço a casa porque trabalhei nela. Isso é função.</t>
        </is>
      </c>
      <c r="R23" s="13" t="inlineStr">
        <is>
          <t>Eu conheço a casa porque trabalhei nela! Isso é função.</t>
        </is>
      </c>
      <c r="S23" s="13" t="inlineStr">
        <is>
          <t>Conheço a casa… trabalhei nela. Isso é função.</t>
        </is>
      </c>
      <c r="T23" s="13" t="inlineStr">
        <is>
          <t>Eu conheço a casa porque trabalhei nela… isso é função, não é?</t>
        </is>
      </c>
      <c r="U23" s="13" t="inlineStr">
        <is>
          <t>Conheço a casa porque trabalhei nela, com lealdade. Isso é função.</t>
        </is>
      </c>
      <c r="V23" s="13" t="inlineStr">
        <is>
          <t>Tanta coisa muda com o tempo… Eu conheço a casa porque trabalhei nela. Isso é função.</t>
        </is>
      </c>
      <c r="W23" s="13" t="inlineStr">
        <is>
          <t>Conheço a casa porque trabalhei nela. Classificação: função.</t>
        </is>
      </c>
      <c r="X23" s="10">
        <f>SUMPRODUCT(($G23:$P23&lt;&gt;"")*ISERROR(SEARCH($G23:$P23,R23)))+SUMPRODUCT(($G23:$P23&lt;&gt;"")*ISERROR(SEARCH($G23:$P23,S23)))+SUMPRODUCT(($G23:$P23&lt;&gt;"")*ISERROR(SEARCH($G23:$P23,T23)))+SUMPRODUCT(($G23:$P23&lt;&gt;"")*ISERROR(SEARCH($G23:$P23,U23)))+SUMPRODUCT(($G23:$P23&lt;&gt;"")*ISERROR(SEARCH($G23:$P23,V23)))+SUMPRODUCT(($G23:$P23&lt;&gt;"")*ISERROR(SEARCH($G23:$P23,W23)))</f>
        <v/>
      </c>
      <c r="Y23" s="10" t="inlineStr">
        <is>
          <t>falante pode ser homem ou mulher: sem adjetivo de gênero</t>
        </is>
      </c>
    </row>
    <row r="24" ht="35.05" customHeight="1" s="8">
      <c r="A24" s="10" t="inlineStr">
        <is>
          <t>c4-23</t>
        </is>
      </c>
      <c r="B24" s="10" t="inlineStr">
        <is>
          <t>debate: o nome antigo do quarto</t>
        </is>
      </c>
      <c r="C24" s="10" t="inlineStr">
        <is>
          <t>resposta</t>
        </is>
      </c>
      <c r="D24" s="10" t="inlineStr">
        <is>
          <t>fala(['investigador','policial','advogado'])</t>
        </is>
      </c>
      <c r="E24" s="10" t="inlineStr">
        <is>
          <t>grupo (debate)</t>
        </is>
      </c>
      <c r="F24" s="10" t="n"/>
      <c r="G24" s="10" t="inlineStr">
        <is>
          <t>nome antigo</t>
        </is>
      </c>
      <c r="H24" s="10" t="inlineStr">
        <is>
          <t>outro jeito</t>
        </is>
      </c>
      <c r="I24" s="10" t="n"/>
      <c r="J24" s="10" t="n"/>
      <c r="K24" s="10" t="n"/>
      <c r="L24" s="10" t="n"/>
      <c r="M24" s="10" t="n"/>
      <c r="N24" s="10" t="n"/>
      <c r="O24" s="10" t="n"/>
      <c r="P24" s="10" t="n"/>
      <c r="Q24" s="10" t="inlineStr">
        <is>
          <t>Quem chama o quarto pelo nome antigo conhece de outro jeito.</t>
        </is>
      </c>
      <c r="R24" s="13" t="inlineStr">
        <is>
          <t>Quem chama o quarto pelo nome antigo conhece de outro jeito! Simples assim.</t>
        </is>
      </c>
      <c r="S24" s="13" t="inlineStr">
        <is>
          <t>Quem chama o quarto… pelo nome antigo… conhece de outro jeito.</t>
        </is>
      </c>
      <c r="T24" s="13" t="inlineStr">
        <is>
          <t>Quem chama o quarto pelo nome antigo conhece de outro jeito… não é?</t>
        </is>
      </c>
      <c r="U24" s="13" t="inlineStr">
        <is>
          <t>Quem chama o quarto pelo nome antigo conhece de outro jeito.</t>
        </is>
      </c>
      <c r="V24" s="13" t="inlineStr">
        <is>
          <t>Nome é coisa que o tempo apaga… mas quem chama o quarto pelo nome antigo conhece de outro jeito.</t>
        </is>
      </c>
      <c r="W24" s="13" t="inlineStr">
        <is>
          <t>Anote: quem chama o quarto pelo nome antigo conhece de outro jeito.</t>
        </is>
      </c>
      <c r="X24" s="10">
        <f>SUMPRODUCT(($G24:$P24&lt;&gt;"")*ISERROR(SEARCH($G24:$P24,R24)))+SUMPRODUCT(($G24:$P24&lt;&gt;"")*ISERROR(SEARCH($G24:$P24,S24)))+SUMPRODUCT(($G24:$P24&lt;&gt;"")*ISERROR(SEARCH($G24:$P24,T24)))+SUMPRODUCT(($G24:$P24&lt;&gt;"")*ISERROR(SEARCH($G24:$P24,U24)))+SUMPRODUCT(($G24:$P24&lt;&gt;"")*ISERROR(SEARCH($G24:$P24,V24)))+SUMPRODUCT(($G24:$P24&lt;&gt;"")*ISERROR(SEARCH($G24:$P24,W24)))</f>
        <v/>
      </c>
      <c r="Y24" s="10" t="n"/>
    </row>
    <row r="25" ht="35.05" customHeight="1" s="8">
      <c r="A25" s="10" t="inlineStr">
        <is>
          <t>c4-24</t>
        </is>
      </c>
      <c r="B25" s="10" t="inlineStr">
        <is>
          <t>debate: quem precisava da passagem</t>
        </is>
      </c>
      <c r="C25" s="10" t="inlineStr">
        <is>
          <t>resposta</t>
        </is>
      </c>
      <c r="D25" s="10" t="inlineStr">
        <is>
          <t>fala(['jornalista','herdeira','tabeliao'])</t>
        </is>
      </c>
      <c r="E25" s="10" t="inlineStr">
        <is>
          <t>grupo (debate)</t>
        </is>
      </c>
      <c r="F25" s="10" t="n"/>
      <c r="G25" s="10" t="inlineStr">
        <is>
          <t>não é crime</t>
        </is>
      </c>
      <c r="H25" s="10" t="inlineStr">
        <is>
          <t>precisava da passagem</t>
        </is>
      </c>
      <c r="I25" s="10" t="inlineStr">
        <is>
          <t>esta noite</t>
        </is>
      </c>
      <c r="J25" s="10" t="n"/>
      <c r="K25" s="10" t="n"/>
      <c r="L25" s="10" t="n"/>
      <c r="M25" s="10" t="n"/>
      <c r="N25" s="10" t="n"/>
      <c r="O25" s="10" t="n"/>
      <c r="P25" s="10" t="n"/>
      <c r="Q25" s="10" t="inlineStr">
        <is>
          <t>Conhecer a casa não é crime. A pergunta é quem precisava da passagem esta noite.</t>
        </is>
      </c>
      <c r="R25" s="13" t="inlineStr">
        <is>
          <t>Conhecer a casa não é crime! A pergunta é quem precisava da passagem esta noite.</t>
        </is>
      </c>
      <c r="S25" s="13" t="inlineStr">
        <is>
          <t>Conhecer a casa… não é crime. Quem precisava da passagem… esta noite?</t>
        </is>
      </c>
      <c r="T25" s="13" t="inlineStr">
        <is>
          <t>Conhecer a casa não é crime, é? A pergunta é quem precisava da passagem esta noite…</t>
        </is>
      </c>
      <c r="U25" s="13" t="inlineStr">
        <is>
          <t>Conhecer a casa dele não é crime. A pergunta é quem precisava da passagem esta noite.</t>
        </is>
      </c>
      <c r="V25" s="13" t="inlineStr">
        <is>
          <t>A chuva, o frio, todo mundo tenso… Conhecer a casa não é crime. A pergunta é quem precisava da passagem esta noite.</t>
        </is>
      </c>
      <c r="W25" s="13" t="inlineStr">
        <is>
          <t>Conhecer a casa não é crime. Questão a registrar: quem precisava da passagem esta noite.</t>
        </is>
      </c>
      <c r="X25" s="10">
        <f>SUMPRODUCT(($G25:$P25&lt;&gt;"")*ISERROR(SEARCH($G25:$P25,R25)))+SUMPRODUCT(($G25:$P25&lt;&gt;"")*ISERROR(SEARCH($G25:$P25,S25)))+SUMPRODUCT(($G25:$P25&lt;&gt;"")*ISERROR(SEARCH($G25:$P25,T25)))+SUMPRODUCT(($G25:$P25&lt;&gt;"")*ISERROR(SEARCH($G25:$P25,U25)))+SUMPRODUCT(($G25:$P25&lt;&gt;"")*ISERROR(SEARCH($G25:$P25,V25)))+SUMPRODUCT(($G25:$P25&lt;&gt;"")*ISERROR(SEARCH($G25:$P25,W25)))</f>
        <v/>
      </c>
      <c r="Y25" s="10" t="inlineStr">
        <is>
          <t>falante pode ser homem ou mulher: sem adjetivo de gênero</t>
        </is>
      </c>
    </row>
    <row r="26" ht="35.05" customHeight="1" s="8">
      <c r="A26" s="10" t="inlineStr">
        <is>
          <t>c4-25</t>
        </is>
      </c>
      <c r="B26" s="10" t="inlineStr">
        <is>
          <t>o rádio: o Faroleiro passava na casa antes do turno</t>
        </is>
      </c>
      <c r="C26" s="10" t="inlineStr">
        <is>
          <t>roteiro</t>
        </is>
      </c>
      <c r="D26" s="10" t="inlineStr">
        <is>
          <t>faroleiro</t>
        </is>
      </c>
      <c r="E26" s="10" t="inlineStr">
        <is>
          <t>a casa, pelo rádio</t>
        </is>
      </c>
      <c r="F26" s="10" t="inlineStr">
        <is>
          <t>Jardineiro ou Governanta na casa</t>
        </is>
      </c>
      <c r="G26" s="10" t="inlineStr">
        <is>
          <t>antes do turno</t>
        </is>
      </c>
      <c r="H26" s="10" t="inlineStr">
        <is>
          <t>quase todo dia</t>
        </is>
      </c>
      <c r="I26" s="10" t="n"/>
      <c r="J26" s="10" t="n"/>
      <c r="K26" s="10" t="n"/>
      <c r="L26" s="10" t="n"/>
      <c r="M26" s="10" t="n"/>
      <c r="N26" s="10" t="n"/>
      <c r="O26" s="10" t="n"/>
      <c r="P26" s="10" t="n"/>
      <c r="Q26" s="10" t="inlineStr">
        <is>
          <t>Eu passava aí antes do turno, quase todo dia.</t>
        </is>
      </c>
      <c r="R26" s="13" t="inlineStr">
        <is>
          <t>Eu passava aí antes do turno, quase todo dia!</t>
        </is>
      </c>
      <c r="S26" s="13" t="inlineStr">
        <is>
          <t>Eu passava aí… antes do turno. Quase todo dia.</t>
        </is>
      </c>
      <c r="T26" s="13" t="inlineStr">
        <is>
          <t>Eu passava aí antes do turno, quase todo dia… isso ajuda?</t>
        </is>
      </c>
      <c r="U26" s="13" t="inlineStr">
        <is>
          <t>Eu passava aí antes do turno, quase todo dia. Era o caminho.</t>
        </is>
      </c>
      <c r="V26" s="13" t="inlineStr">
        <is>
          <t>Com a estrada do jeito que está… eu passava aí antes do turno, quase todo dia.</t>
        </is>
      </c>
      <c r="W26" s="13" t="inlineStr">
        <is>
          <t>Rotina: antes do turno, quase todo dia, eu passava aí.</t>
        </is>
      </c>
      <c r="X26" s="10">
        <f>SUMPRODUCT(($G26:$P26&lt;&gt;"")*ISERROR(SEARCH($G26:$P26,R26)))+SUMPRODUCT(($G26:$P26&lt;&gt;"")*ISERROR(SEARCH($G26:$P26,S26)))+SUMPRODUCT(($G26:$P26&lt;&gt;"")*ISERROR(SEARCH($G26:$P26,T26)))+SUMPRODUCT(($G26:$P26&lt;&gt;"")*ISERROR(SEARCH($G26:$P26,U26)))+SUMPRODUCT(($G26:$P26&lt;&gt;"")*ISERROR(SEARCH($G26:$P26,V26)))+SUMPRODUCT(($G26:$P26&lt;&gt;"")*ISERROR(SEARCH($G26:$P26,W26)))</f>
        <v/>
      </c>
      <c r="Y26" s="10" t="inlineStr">
        <is>
          <t>Novo em 02/10 (decisão do Mario). Segue com c4-26 e/ou c4-27, conforme quem está na casa.</t>
        </is>
      </c>
    </row>
    <row r="27" ht="35.05" customHeight="1" s="8">
      <c r="A27" s="10" t="inlineStr">
        <is>
          <t>c4-26</t>
        </is>
      </c>
      <c r="B27" s="10" t="inlineStr">
        <is>
          <t>o rádio: o gato</t>
        </is>
      </c>
      <c r="C27" s="10" t="inlineStr">
        <is>
          <t>roteiro</t>
        </is>
      </c>
      <c r="D27" s="10" t="inlineStr">
        <is>
          <t>faroleiro</t>
        </is>
      </c>
      <c r="E27" s="10" t="inlineStr">
        <is>
          <t>a casa, pelo rádio</t>
        </is>
      </c>
      <c r="F27" s="10" t="inlineStr">
        <is>
          <t>Jardineiro na casa</t>
        </is>
      </c>
      <c r="G27" s="10" t="inlineStr">
        <is>
          <t>Jardineiro</t>
        </is>
      </c>
      <c r="H27" s="10" t="inlineStr">
        <is>
          <t>comida no portão</t>
        </is>
      </c>
      <c r="I27" s="10" t="inlineStr">
        <is>
          <t>gato</t>
        </is>
      </c>
      <c r="J27" s="10" t="n"/>
      <c r="K27" s="10" t="n"/>
      <c r="L27" s="10" t="n"/>
      <c r="M27" s="10" t="n"/>
      <c r="N27" s="10" t="n"/>
      <c r="O27" s="10" t="n"/>
      <c r="P27" s="10" t="n"/>
      <c r="Q27" s="10" t="inlineStr">
        <is>
          <t>Via {jar} deixar comida no portão. Para um gato.</t>
        </is>
      </c>
      <c r="R27" s="13" t="inlineStr">
        <is>
          <t>Via {jar} deixar comida no portão! Para um gato.</t>
        </is>
      </c>
      <c r="S27" s="13" t="inlineStr">
        <is>
          <t>{Jar}… comida no portão. Para um gato.</t>
        </is>
      </c>
      <c r="T27" s="13" t="inlineStr">
        <is>
          <t>Via {jar} deixar comida no portão… para um gato, sabe?</t>
        </is>
      </c>
      <c r="U27" s="13" t="inlineStr">
        <is>
          <t>Via {jar} deixar comida no portão. Para um gato. Nada de mal nisso.</t>
        </is>
      </c>
      <c r="V27" s="13" t="inlineStr">
        <is>
          <t>Chovia muito naquelas semanas… Via {jar} deixar comida no portão. Para um gato.</t>
        </is>
      </c>
      <c r="W27" s="13" t="inlineStr">
        <is>
          <t>Observado: {jar} deixando comida no portão. Destino: um gato.</t>
        </is>
      </c>
      <c r="X27" s="10">
        <f>SUMPRODUCT(($G27:$P27&lt;&gt;"")*ISERROR(SEARCH($G27:$P27,R27)))+SUMPRODUCT(($G27:$P27&lt;&gt;"")*ISERROR(SEARCH($G27:$P27,S27)))+SUMPRODUCT(($G27:$P27&lt;&gt;"")*ISERROR(SEARCH($G27:$P27,T27)))+SUMPRODUCT(($G27:$P27&lt;&gt;"")*ISERROR(SEARCH($G27:$P27,U27)))+SUMPRODUCT(($G27:$P27&lt;&gt;"")*ISERROR(SEARCH($G27:$P27,V27)))+SUMPRODUCT(($G27:$P27&lt;&gt;"")*ISERROR(SEARCH($G27:$P27,W27)))</f>
        <v/>
      </c>
      <c r="Y27" s="10" t="inlineStr">
        <is>
          <t>O segredo continua do Jardineiro; o Faroleiro é só testemunha. O Faroleiro nunca mente.</t>
        </is>
      </c>
    </row>
    <row r="28" ht="35.05" customHeight="1" s="8">
      <c r="A28" s="10" t="inlineStr">
        <is>
          <t>c4-27</t>
        </is>
      </c>
      <c r="B28" s="10" t="inlineStr">
        <is>
          <t>o rádio: as terças</t>
        </is>
      </c>
      <c r="C28" s="10" t="inlineStr">
        <is>
          <t>roteiro</t>
        </is>
      </c>
      <c r="D28" s="10" t="inlineStr">
        <is>
          <t>faroleiro</t>
        </is>
      </c>
      <c r="E28" s="10" t="inlineStr">
        <is>
          <t>a casa, pelo rádio</t>
        </is>
      </c>
      <c r="F28" s="10" t="inlineStr">
        <is>
          <t>Governanta na casa</t>
        </is>
      </c>
      <c r="G28" s="10" t="inlineStr">
        <is>
          <t>terças de manhã</t>
        </is>
      </c>
      <c r="H28" s="10" t="inlineStr">
        <is>
          <t>janela da copa aberta</t>
        </is>
      </c>
      <c r="I28" s="10" t="n"/>
      <c r="J28" s="10" t="n"/>
      <c r="K28" s="10" t="n"/>
      <c r="L28" s="10" t="n"/>
      <c r="M28" s="10" t="n"/>
      <c r="N28" s="10" t="n"/>
      <c r="O28" s="10" t="n"/>
      <c r="P28" s="10" t="n"/>
      <c r="Q28" s="10" t="inlineStr">
        <is>
          <t>E às terças de manhã, a janela da copa aberta.</t>
        </is>
      </c>
      <c r="R28" s="13" t="inlineStr">
        <is>
          <t>E às terças de manhã, a janela da copa aberta!</t>
        </is>
      </c>
      <c r="S28" s="13" t="inlineStr">
        <is>
          <t>E às terças de manhã… a janela da copa aberta.</t>
        </is>
      </c>
      <c r="T28" s="13" t="inlineStr">
        <is>
          <t>E às terças de manhã, a janela da copa aberta… estranho, não?</t>
        </is>
      </c>
      <c r="U28" s="13" t="inlineStr">
        <is>
          <t>E às terças de manhã, a janela da copa aberta. Isso eu vi.</t>
        </is>
      </c>
      <c r="V28" s="13" t="inlineStr">
        <is>
          <t>Ah, e às terças de manhã, com aquela umidade… a janela da copa aberta.</t>
        </is>
      </c>
      <c r="W28" s="13" t="inlineStr">
        <is>
          <t>Às terças de manhã: janela da copa aberta.</t>
        </is>
      </c>
      <c r="X28" s="10">
        <f>SUMPRODUCT(($G28:$P28&lt;&gt;"")*ISERROR(SEARCH($G28:$P28,R28)))+SUMPRODUCT(($G28:$P28&lt;&gt;"")*ISERROR(SEARCH($G28:$P28,S28)))+SUMPRODUCT(($G28:$P28&lt;&gt;"")*ISERROR(SEARCH($G28:$P28,T28)))+SUMPRODUCT(($G28:$P28&lt;&gt;"")*ISERROR(SEARCH($G28:$P28,U28)))+SUMPRODUCT(($G28:$P28&lt;&gt;"")*ISERROR(SEARCH($G28:$P28,V28)))+SUMPRODUCT(($G28:$P28&lt;&gt;"")*ISERROR(SEARCH($G28:$P28,W28)))</f>
        <v/>
      </c>
      <c r="Y28" s="10" t="inlineStr">
        <is>
          <t>Testemunho das terças da Governanta (o segredo é dela). Leal cego: 'alguém cuidava da casa' não nomeia ninguém.</t>
        </is>
      </c>
    </row>
  </sheetData>
  <autoFilter ref="A1:Y28"/>
  <conditionalFormatting sqref="X2:X28">
    <cfRule type="expression" rank="0" priority="2" equalAverage="0" aboveAverage="0" dxfId="4" text="" percent="0" bottom="0">
      <formula>X2&gt;0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Y18"/>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1"/>
    <col width="24" customWidth="1" style="7" min="2" max="2"/>
    <col width="12" customWidth="1" style="7" min="3" max="3"/>
    <col width="18" customWidth="1" style="7" min="4" max="4"/>
    <col width="12" customWidth="1" style="7" min="5" max="5"/>
    <col width="14" customWidth="1" style="7" min="6" max="6"/>
    <col width="12" customWidth="1" style="7" min="7" max="16"/>
    <col width="40" customWidth="1" style="7" min="17" max="17"/>
    <col width="38" customWidth="1" style="7" min="18" max="23"/>
    <col width="8" customWidth="1" style="7" min="24" max="24"/>
    <col width="34" customWidth="1" style="7" min="25" max="25"/>
  </cols>
  <sheetData>
    <row r="1" ht="15" customHeight="1" s="8">
      <c r="A1" s="12" t="inlineStr">
        <is>
          <t>ID</t>
        </is>
      </c>
      <c r="B1" s="12" t="inlineStr">
        <is>
          <t>Cena</t>
        </is>
      </c>
      <c r="C1" s="12" t="inlineStr">
        <is>
          <t>Momento</t>
        </is>
      </c>
      <c r="D1" s="12" t="inlineStr">
        <is>
          <t>Quem fala</t>
        </is>
      </c>
      <c r="E1" s="12" t="inlineStr">
        <is>
          <t>Com quem</t>
        </is>
      </c>
      <c r="F1" s="12" t="inlineStr">
        <is>
          <t>Condição</t>
        </is>
      </c>
      <c r="G1" s="12" t="inlineStr">
        <is>
          <t>Item 1</t>
        </is>
      </c>
      <c r="H1" s="12" t="inlineStr">
        <is>
          <t>Item 2</t>
        </is>
      </c>
      <c r="I1" s="12" t="inlineStr">
        <is>
          <t>Item 3</t>
        </is>
      </c>
      <c r="J1" s="12" t="inlineStr">
        <is>
          <t>Item 4</t>
        </is>
      </c>
      <c r="K1" s="12" t="inlineStr">
        <is>
          <t>Item 5</t>
        </is>
      </c>
      <c r="L1" s="12" t="inlineStr">
        <is>
          <t>Item 6</t>
        </is>
      </c>
      <c r="M1" s="12" t="inlineStr">
        <is>
          <t>Item 7</t>
        </is>
      </c>
      <c r="N1" s="12" t="inlineStr">
        <is>
          <t>Item 8</t>
        </is>
      </c>
      <c r="O1" s="12" t="inlineStr">
        <is>
          <t>Item 9</t>
        </is>
      </c>
      <c r="P1" s="12" t="inlineStr">
        <is>
          <t>Item 10</t>
        </is>
      </c>
      <c r="Q1" s="12" t="inlineStr">
        <is>
          <t>Fala original</t>
        </is>
      </c>
      <c r="R1" s="12" t="inlineStr">
        <is>
          <t>Explosivo</t>
        </is>
      </c>
      <c r="S1" s="12" t="inlineStr">
        <is>
          <t>Calmo opaco</t>
        </is>
      </c>
      <c r="T1" s="12" t="inlineStr">
        <is>
          <t>Ingênuo</t>
        </is>
      </c>
      <c r="U1" s="12" t="inlineStr">
        <is>
          <t>Leal cego</t>
        </is>
      </c>
      <c r="V1" s="12" t="inlineStr">
        <is>
          <t>Evasivo</t>
        </is>
      </c>
      <c r="W1" s="12" t="inlineStr">
        <is>
          <t>Burocrata</t>
        </is>
      </c>
      <c r="X1" s="12" t="inlineStr">
        <is>
          <t>Faltam</t>
        </is>
      </c>
      <c r="Y1" s="12" t="inlineStr">
        <is>
          <t>Nota</t>
        </is>
      </c>
    </row>
    <row r="2" ht="46.25" customHeight="1" s="8">
      <c r="A2" s="10" t="inlineStr">
        <is>
          <t>c5-01</t>
        </is>
      </c>
      <c r="B2" s="10" t="inlineStr">
        <is>
          <t>antes do apagão, a ata registra a reabertura</t>
        </is>
      </c>
      <c r="C2" s="10" t="inlineStr">
        <is>
          <t>roteiro</t>
        </is>
      </c>
      <c r="D2" s="10" t="inlineStr">
        <is>
          <t>tabeliao (se presente) | policial</t>
        </is>
      </c>
      <c r="E2" s="10" t="inlineStr">
        <is>
          <t>ata / grupo</t>
        </is>
      </c>
      <c r="F2" s="10" t="n"/>
      <c r="G2" s="10" t="inlineStr">
        <is>
          <t>reabertura</t>
        </is>
      </c>
      <c r="H2" s="10" t="inlineStr">
        <is>
          <t>nove e meia</t>
        </is>
      </c>
      <c r="I2" s="10" t="inlineStr">
        <is>
          <t>postos</t>
        </is>
      </c>
      <c r="J2" s="10" t="n"/>
      <c r="K2" s="10" t="n"/>
      <c r="L2" s="10" t="n"/>
      <c r="M2" s="10" t="n"/>
      <c r="N2" s="10" t="n"/>
      <c r="O2" s="10" t="n"/>
      <c r="P2" s="10" t="n"/>
      <c r="Q2" s="10" t="inlineStr">
        <is>
          <t>Reabertura às nove e meia. Todos nos postos.</t>
        </is>
      </c>
      <c r="R2" s="13" t="inlineStr">
        <is>
          <t>Reabertura às nove e meia! Todos nos postos, sem demora.</t>
        </is>
      </c>
      <c r="S2" s="13" t="inlineStr">
        <is>
          <t>Reabertura… às nove e meia. Todos… nos postos.</t>
        </is>
      </c>
      <c r="T2" s="13" t="inlineStr">
        <is>
          <t>Reabertura às nove e meia. Todos nos postos… é isso, não é?</t>
        </is>
      </c>
      <c r="U2" s="13" t="inlineStr">
        <is>
          <t>Reabertura às nove e meia. Todos nos postos.</t>
        </is>
      </c>
      <c r="V2" s="13" t="inlineStr">
        <is>
          <t>A estrada lá fora deve estar um lago… Reabertura às nove e meia. Todos nos postos.</t>
        </is>
      </c>
      <c r="W2" s="13" t="inlineStr">
        <is>
          <t>Para a ata: reabertura às nove e meia. Todos nos postos.</t>
        </is>
      </c>
      <c r="X2" s="10">
        <f>SUMPRODUCT(($G2:$P2&lt;&gt;"")*ISERROR(SEARCH($G2:$P2,R2)))+SUMPRODUCT(($G2:$P2&lt;&gt;"")*ISERROR(SEARCH($G2:$P2,S2)))+SUMPRODUCT(($G2:$P2&lt;&gt;"")*ISERROR(SEARCH($G2:$P2,T2)))+SUMPRODUCT(($G2:$P2&lt;&gt;"")*ISERROR(SEARCH($G2:$P2,U2)))+SUMPRODUCT(($G2:$P2&lt;&gt;"")*ISERROR(SEARCH($G2:$P2,V2)))+SUMPRODUCT(($G2:$P2&lt;&gt;"")*ISERROR(SEARCH($G2:$P2,W2)))</f>
        <v/>
      </c>
      <c r="Y2" s="10" t="inlineStr">
        <is>
          <t>Enquadre: "{X} conferiu a hora no próprio relógio e anotou na ata: …". Falante é o Tabelião se presente, senão o Policial (ambos masculinos).</t>
        </is>
      </c>
    </row>
    <row r="3" ht="35.05" customHeight="1" s="8">
      <c r="A3" s="10" t="inlineStr">
        <is>
          <t>c5-02</t>
        </is>
      </c>
      <c r="B3" s="10" t="inlineStr">
        <is>
          <t>o apagão: a guarda grita da porta</t>
        </is>
      </c>
      <c r="C3" s="10" t="inlineStr">
        <is>
          <t>roteiro</t>
        </is>
      </c>
      <c r="D3" s="10" t="inlineStr">
        <is>
          <t>guarda (alcancaC4(P).guarda, varia por partida)</t>
        </is>
      </c>
      <c r="E3" s="10" t="inlineStr">
        <is>
          <t>grupo</t>
        </is>
      </c>
      <c r="F3" s="10" t="n"/>
      <c r="G3" s="10" t="inlineStr">
        <is>
          <t>ninguém</t>
        </is>
      </c>
      <c r="H3" s="10" t="inlineStr">
        <is>
          <t>mexe</t>
        </is>
      </c>
      <c r="I3" s="10" t="n"/>
      <c r="J3" s="10" t="n"/>
      <c r="K3" s="10" t="n"/>
      <c r="L3" s="10" t="n"/>
      <c r="M3" s="10" t="n"/>
      <c r="N3" s="10" t="n"/>
      <c r="O3" s="10" t="n"/>
      <c r="P3" s="10" t="n"/>
      <c r="Q3" s="10" t="inlineStr">
        <is>
          <t>Ninguém se mexe!</t>
        </is>
      </c>
      <c r="R3" s="13" t="inlineStr">
        <is>
          <t>Ninguém se mexe!</t>
        </is>
      </c>
      <c r="S3" s="13" t="inlineStr">
        <is>
          <t>Ninguém… se mexe.</t>
        </is>
      </c>
      <c r="T3" s="13" t="inlineStr">
        <is>
          <t>Ninguém se mexe…</t>
        </is>
      </c>
      <c r="U3" s="13" t="inlineStr">
        <is>
          <t>Ninguém se mexe!</t>
        </is>
      </c>
      <c r="V3" s="13" t="inlineStr">
        <is>
          <t>Hum… ninguém se mexe!</t>
        </is>
      </c>
      <c r="W3" s="13" t="inlineStr">
        <is>
          <t>Ninguém se mexe!</t>
        </is>
      </c>
      <c r="X3" s="10">
        <f>SUMPRODUCT(($G3:$P3&lt;&gt;"")*ISERROR(SEARCH($G3:$P3,R3)))+SUMPRODUCT(($G3:$P3&lt;&gt;"")*ISERROR(SEARCH($G3:$P3,S3)))+SUMPRODUCT(($G3:$P3&lt;&gt;"")*ISERROR(SEARCH($G3:$P3,T3)))+SUMPRODUCT(($G3:$P3&lt;&gt;"")*ISERROR(SEARCH($G3:$P3,U3)))+SUMPRODUCT(($G3:$P3&lt;&gt;"")*ISERROR(SEARCH($G3:$P3,V3)))+SUMPRODUCT(($G3:$P3&lt;&gt;"")*ISERROR(SEARCH($G3:$P3,W3)))</f>
        <v/>
      </c>
      <c r="Y3" s="10" t="inlineStr">
        <is>
          <t>Enquadre: "…", gritou {guarda}, da porta. Falante varia: sem adjetivo de gênero.</t>
        </is>
      </c>
    </row>
    <row r="4" ht="79.84999999999999" customHeight="1" s="8">
      <c r="A4" s="10" t="inlineStr">
        <is>
          <t>c5-03</t>
        </is>
      </c>
      <c r="B4" s="10" t="inlineStr">
        <is>
          <t>o escuro: a mensagem da voz no segundo da personalidade</t>
        </is>
      </c>
      <c r="C4" s="10" t="inlineStr">
        <is>
          <t>voz</t>
        </is>
      </c>
      <c r="D4" s="10" t="inlineStr">
        <is>
          <t>acompanhante</t>
        </is>
      </c>
      <c r="E4" s="10" t="inlineStr">
        <is>
          <t>grupo</t>
        </is>
      </c>
      <c r="F4" s="10" t="n"/>
      <c r="G4" s="10" t="inlineStr">
        <is>
          <t>vocês</t>
        </is>
      </c>
      <c r="H4" s="10" t="inlineStr">
        <is>
          <t>agora</t>
        </is>
      </c>
      <c r="I4" s="10" t="inlineStr">
        <is>
          <t>relógio</t>
        </is>
      </c>
      <c r="J4" s="10" t="n"/>
      <c r="K4" s="10" t="n"/>
      <c r="L4" s="10" t="n"/>
      <c r="M4" s="10" t="n"/>
      <c r="N4" s="10" t="n"/>
      <c r="O4" s="10" t="n"/>
      <c r="P4" s="10" t="n"/>
      <c r="Q4" s="10" t="inlineStr">
        <is>
          <t>guardia: Fiquem onde estão. | explosiva: Agora vocês sabem como é o escuro desta casa. | ardilosa: Quem de vocês está olhando para o relógio agora? | quieta: .</t>
        </is>
      </c>
      <c r="R4" s="13" t="inlineStr">
        <is>
          <t>Agora! Quem de vocês tem os olhos no relógio?</t>
        </is>
      </c>
      <c r="S4" s="13" t="inlineStr">
        <is>
          <t>Vocês… o relógio. Agora.</t>
        </is>
      </c>
      <c r="T4" s="13" t="inlineStr">
        <is>
          <t>Alguém de vocês está olhando o relógio agora? Só queria saber…</t>
        </is>
      </c>
      <c r="U4" s="13" t="inlineStr">
        <is>
          <t>O relógio dele, agora, no escuro. Algum de vocês está olhando?</t>
        </is>
      </c>
      <c r="V4" s="13" t="inlineStr">
        <is>
          <t>Quem de vocês está olhando para o relógio agora?</t>
        </is>
      </c>
      <c r="W4" s="13" t="inlineStr">
        <is>
          <t>Para a ata, agora: qual de vocês está olhando para o relógio?</t>
        </is>
      </c>
      <c r="X4" s="10">
        <f>SUMPRODUCT(($G4:$P4&lt;&gt;"")*ISERROR(SEARCH($G4:$P4,R4)))+SUMPRODUCT(($G4:$P4&lt;&gt;"")*ISERROR(SEARCH($G4:$P4,S4)))+SUMPRODUCT(($G4:$P4&lt;&gt;"")*ISERROR(SEARCH($G4:$P4,T4)))+SUMPRODUCT(($G4:$P4&lt;&gt;"")*ISERROR(SEARCH($G4:$P4,U4)))+SUMPRODUCT(($G4:$P4&lt;&gt;"")*ISERROR(SEARCH($G4:$P4,V4)))+SUMPRODUCT(($G4:$P4&lt;&gt;"")*ISERROR(SEARCH($G4:$P4,W4)))</f>
        <v/>
      </c>
      <c r="Y4" s="10" t="inlineStr">
        <is>
          <t>Função (passada 2): chamar a atenção para o relógio no escuro. Evasivo = texto exato da ardilosa; os outros cinco dizem a mesma função, sem ordens. Segundo de chegada (PERS_TEMPO) segue a personalidade antiga: definir para ingenuo/burocrata.</t>
        </is>
      </c>
    </row>
    <row r="5" ht="23.85" customHeight="1" s="8">
      <c r="A5" s="10" t="inlineStr">
        <is>
          <t>c5-04</t>
        </is>
      </c>
      <c r="B5" s="10" t="inlineStr">
        <is>
          <t>a luz volta: o Policial confere o pulso</t>
        </is>
      </c>
      <c r="C5" s="10" t="inlineStr">
        <is>
          <t>roteiro</t>
        </is>
      </c>
      <c r="D5" s="10" t="inlineStr">
        <is>
          <t>policial</t>
        </is>
      </c>
      <c r="E5" s="10" t="inlineStr">
        <is>
          <t>grupo</t>
        </is>
      </c>
      <c r="F5" s="10" t="n"/>
      <c r="G5" s="10" t="inlineStr">
        <is>
          <t>nove e trinta e um</t>
        </is>
      </c>
      <c r="H5" s="10" t="n"/>
      <c r="I5" s="10" t="n"/>
      <c r="J5" s="10" t="n"/>
      <c r="K5" s="10" t="n"/>
      <c r="L5" s="10" t="n"/>
      <c r="M5" s="10" t="n"/>
      <c r="N5" s="10" t="n"/>
      <c r="O5" s="10" t="n"/>
      <c r="P5" s="10" t="n"/>
      <c r="Q5" s="10" t="inlineStr">
        <is>
          <t>Nove e trinta e um.</t>
        </is>
      </c>
      <c r="R5" s="13" t="inlineStr">
        <is>
          <t>Nove e trinta e um!</t>
        </is>
      </c>
      <c r="S5" s="13" t="inlineStr">
        <is>
          <t>… Nove e trinta e um.</t>
        </is>
      </c>
      <c r="T5" s="13" t="inlineStr">
        <is>
          <t>Nove e trinta e um…</t>
        </is>
      </c>
      <c r="U5" s="13" t="inlineStr">
        <is>
          <t>Nove e trinta e um.</t>
        </is>
      </c>
      <c r="V5" s="13" t="inlineStr">
        <is>
          <t>Bem… nove e trinta e um.</t>
        </is>
      </c>
      <c r="W5" s="13" t="inlineStr">
        <is>
          <t>Nove e trinta e um.</t>
        </is>
      </c>
      <c r="X5" s="10">
        <f>SUMPRODUCT(($G5:$P5&lt;&gt;"")*ISERROR(SEARCH($G5:$P5,R5)))+SUMPRODUCT(($G5:$P5&lt;&gt;"")*ISERROR(SEARCH($G5:$P5,S5)))+SUMPRODUCT(($G5:$P5&lt;&gt;"")*ISERROR(SEARCH($G5:$P5,T5)))+SUMPRODUCT(($G5:$P5&lt;&gt;"")*ISERROR(SEARCH($G5:$P5,U5)))+SUMPRODUCT(($G5:$P5&lt;&gt;"")*ISERROR(SEARCH($G5:$P5,V5)))+SUMPRODUCT(($G5:$P5&lt;&gt;"")*ISERROR(SEARCH($G5:$P5,W5)))</f>
        <v/>
      </c>
      <c r="Y5" s="10" t="inlineStr">
        <is>
          <t>Enquadre: "{Pol} olhou o próprio pulso. …". Item único: a fala só tem a hora.</t>
        </is>
      </c>
    </row>
    <row r="6" ht="46.25" customHeight="1" s="8">
      <c r="A6" s="10" t="inlineStr">
        <is>
          <t>c5-05</t>
        </is>
      </c>
      <c r="B6" s="10" t="inlineStr">
        <is>
          <t>o rádio do farol depois do apagão</t>
        </is>
      </c>
      <c r="C6" s="10" t="inlineStr">
        <is>
          <t>roteiro</t>
        </is>
      </c>
      <c r="D6" s="10" t="inlineStr">
        <is>
          <t>faroleiro</t>
        </is>
      </c>
      <c r="E6" s="10" t="inlineStr">
        <is>
          <t>grupo (rádio do vestíbulo)</t>
        </is>
      </c>
      <c r="F6" s="10" t="n"/>
      <c r="G6" s="10" t="inlineStr">
        <is>
          <t>Casa da Costa</t>
        </is>
      </c>
      <c r="H6" s="10" t="inlineStr">
        <is>
          <t>costa inteira</t>
        </is>
      </c>
      <c r="I6" s="10" t="inlineStr">
        <is>
          <t>da vila ao cabo</t>
        </is>
      </c>
      <c r="J6" s="10" t="inlineStr">
        <is>
          <t>seis clarões</t>
        </is>
      </c>
      <c r="K6" s="10" t="n"/>
      <c r="L6" s="10" t="n"/>
      <c r="M6" s="10" t="n"/>
      <c r="N6" s="10" t="n"/>
      <c r="O6" s="10" t="n"/>
      <c r="P6" s="10" t="n"/>
      <c r="Q6" s="10" t="inlineStr">
        <is>
          <t>Casa da Costa, aqui é o farol. Apagou a costa inteira, da vila ao cabo. Voltou tudo junto agora. Contei seis clarões.</t>
        </is>
      </c>
      <c r="R6" s="13" t="inlineStr">
        <is>
          <t>Casa da Costa, aqui é o farol. Apagou a costa inteira, da vila ao cabo! Voltou tudo junto agora. Contei seis clarões.</t>
        </is>
      </c>
      <c r="S6" s="13" t="inlineStr">
        <is>
          <t>Casa da Costa… o farol. Apagou a costa inteira… da vila ao cabo. Voltou tudo junto, agora. Seis clarões… contei.</t>
        </is>
      </c>
      <c r="T6" s="13" t="inlineStr">
        <is>
          <t>Casa da Costa? Aqui é o farol, estão me ouvindo? Apagou a costa inteira, da vila ao cabo. Voltou tudo junto agora. Contei seis clarões. Alguém aí contou igual?</t>
        </is>
      </c>
      <c r="U6" s="13" t="inlineStr">
        <is>
          <t>Casa da Costa, aqui é o farol. Apagou a costa inteira, da vila ao cabo. Voltou tudo junto agora. Contei seis clarões. Disso eu tenho certeza.</t>
        </is>
      </c>
      <c r="V6" s="13" t="inlineStr">
        <is>
          <t>Casa da Costa, aqui é o farol. Que frio aqui em cima… Apagou a costa inteira, da vila ao cabo. Voltou tudo junto agora. Contei seis clarões.</t>
        </is>
      </c>
      <c r="W6" s="13" t="inlineStr">
        <is>
          <t>Casa da Costa, farol informando. Ocorrência: apagou a costa inteira, da vila ao cabo. Retorno: tudo junto, agora. Contagem: seis clarões.</t>
        </is>
      </c>
      <c r="X6" s="10">
        <f>SUMPRODUCT(($G6:$P6&lt;&gt;"")*ISERROR(SEARCH($G6:$P6,R6)))+SUMPRODUCT(($G6:$P6&lt;&gt;"")*ISERROR(SEARCH($G6:$P6,S6)))+SUMPRODUCT(($G6:$P6&lt;&gt;"")*ISERROR(SEARCH($G6:$P6,T6)))+SUMPRODUCT(($G6:$P6&lt;&gt;"")*ISERROR(SEARCH($G6:$P6,U6)))+SUMPRODUCT(($G6:$P6&lt;&gt;"")*ISERROR(SEARCH($G6:$P6,V6)))+SUMPRODUCT(($G6:$P6&lt;&gt;"")*ISERROR(SEARCH($G6:$P6,W6)))</f>
        <v/>
      </c>
      <c r="Y6" s="10" t="inlineStr">
        <is>
          <t>Enquadre: "O rádio chiou no vestíbulo. …" Depois vem "E depois: &lt;D.farol&gt;", que é por partida (C5_R2.farol) e não entra aqui.</t>
        </is>
      </c>
    </row>
    <row r="7" ht="35.05" customHeight="1" s="8">
      <c r="A7" s="10" t="inlineStr">
        <is>
          <t>c5-06</t>
        </is>
      </c>
      <c r="B7" s="10" t="inlineStr">
        <is>
          <t>depois do apagão, alguém pergunta pelo raspado</t>
        </is>
      </c>
      <c r="C7" s="10" t="inlineStr">
        <is>
          <t>chat</t>
        </is>
      </c>
      <c r="D7" s="10" t="inlineStr">
        <is>
          <t>voz(['jornalista','herdeira','advogado'],D.calou)</t>
        </is>
      </c>
      <c r="E7" s="10" t="inlineStr">
        <is>
          <t>grupo</t>
        </is>
      </c>
      <c r="F7" s="10" t="n"/>
      <c r="G7" s="10" t="inlineStr">
        <is>
          <t>barulho de madeira</t>
        </is>
      </c>
      <c r="H7" s="10" t="inlineStr">
        <is>
          <t>oitenta</t>
        </is>
      </c>
      <c r="I7" s="10" t="n"/>
      <c r="J7" s="10" t="n"/>
      <c r="K7" s="10" t="n"/>
      <c r="L7" s="10" t="n"/>
      <c r="M7" s="10" t="n"/>
      <c r="N7" s="10" t="n"/>
      <c r="O7" s="10" t="n"/>
      <c r="P7" s="10" t="n"/>
      <c r="Q7" s="10" t="inlineStr">
        <is>
          <t>Alguém ouviu aquele barulho de madeira, aos oitenta?</t>
        </is>
      </c>
      <c r="R7" s="13" t="inlineStr">
        <is>
          <t>Aquele barulho de madeira, aos oitenta! Alguém ouviu ou não?</t>
        </is>
      </c>
      <c r="S7" s="13" t="inlineStr">
        <is>
          <t>Aquele barulho de madeira… aos oitenta. Alguém ouviu?</t>
        </is>
      </c>
      <c r="T7" s="13" t="inlineStr">
        <is>
          <t>Alguém mais ouviu aquele barulho de madeira, aos oitenta? Ou foi impressão minha?</t>
        </is>
      </c>
      <c r="U7" s="13" t="inlineStr">
        <is>
          <t>Alguém ouviu aquele barulho de madeira, aos oitenta?</t>
        </is>
      </c>
      <c r="V7" s="13" t="inlineStr">
        <is>
          <t>Essa umidade entra nos ossos… Alguém ouviu aquele barulho de madeira, aos oitenta?</t>
        </is>
      </c>
      <c r="W7" s="13" t="inlineStr">
        <is>
          <t>Anoto a pergunta: alguém ouviu aquele barulho de madeira, aos oitenta?</t>
        </is>
      </c>
      <c r="X7" s="10">
        <f>SUMPRODUCT(($G7:$P7&lt;&gt;"")*ISERROR(SEARCH($G7:$P7,R7)))+SUMPRODUCT(($G7:$P7&lt;&gt;"")*ISERROR(SEARCH($G7:$P7,S7)))+SUMPRODUCT(($G7:$P7&lt;&gt;"")*ISERROR(SEARCH($G7:$P7,T7)))+SUMPRODUCT(($G7:$P7&lt;&gt;"")*ISERROR(SEARCH($G7:$P7,U7)))+SUMPRODUCT(($G7:$P7&lt;&gt;"")*ISERROR(SEARCH($G7:$P7,V7)))+SUMPRODUCT(($G7:$P7&lt;&gt;"")*ISERROR(SEARCH($G7:$P7,W7)))</f>
        <v/>
      </c>
      <c r="Y7" s="10" t="inlineStr">
        <is>
          <t>Falante varia (nunca quem calou): sem adjetivo de gênero.</t>
        </is>
      </c>
    </row>
    <row r="8" ht="23.85" customHeight="1" s="8">
      <c r="A8" s="10" t="inlineStr">
        <is>
          <t>c5-07</t>
        </is>
      </c>
      <c r="B8" s="10" t="inlineStr">
        <is>
          <t>depois do apagão, alguém organiza o grupo</t>
        </is>
      </c>
      <c r="C8" s="10" t="inlineStr">
        <is>
          <t>chat</t>
        </is>
      </c>
      <c r="D8" s="10" t="inlineStr">
        <is>
          <t>voz(['policial','tabeliao','residente'])</t>
        </is>
      </c>
      <c r="E8" s="10" t="inlineStr">
        <is>
          <t>grupo</t>
        </is>
      </c>
      <c r="F8" s="10" t="n"/>
      <c r="G8" s="10" t="inlineStr">
        <is>
          <t>ninguém sai do lugar</t>
        </is>
      </c>
      <c r="H8" s="10" t="inlineStr">
        <is>
          <t>onde estava</t>
        </is>
      </c>
      <c r="I8" s="10" t="n"/>
      <c r="J8" s="10" t="n"/>
      <c r="K8" s="10" t="n"/>
      <c r="L8" s="10" t="n"/>
      <c r="M8" s="10" t="n"/>
      <c r="N8" s="10" t="n"/>
      <c r="O8" s="10" t="n"/>
      <c r="P8" s="10" t="n"/>
      <c r="Q8" s="10" t="inlineStr">
        <is>
          <t>Ninguém sai do lugar. Cada um diz onde estava.</t>
        </is>
      </c>
      <c r="R8" s="13" t="inlineStr">
        <is>
          <t>Ninguém sai do lugar! Cada um diz onde estava.</t>
        </is>
      </c>
      <c r="S8" s="13" t="inlineStr">
        <is>
          <t>Ninguém sai do lugar. Cada um… diz onde estava.</t>
        </is>
      </c>
      <c r="T8" s="13" t="inlineStr">
        <is>
          <t>Ninguém sai do lugar, tá? E cada um diz onde estava… pode ser?</t>
        </is>
      </c>
      <c r="U8" s="13" t="inlineStr">
        <is>
          <t>Ninguém sai do lugar. Cada um diz onde estava.</t>
        </is>
      </c>
      <c r="V8" s="13" t="inlineStr">
        <is>
          <t>Já é tarde, todo mundo cansado… Ninguém sai do lugar. E cada um diz onde estava.</t>
        </is>
      </c>
      <c r="W8" s="13" t="inlineStr">
        <is>
          <t>Procedimento: ninguém sai do lugar. Em seguida, cada um declara onde estava.</t>
        </is>
      </c>
      <c r="X8" s="10">
        <f>SUMPRODUCT(($G8:$P8&lt;&gt;"")*ISERROR(SEARCH($G8:$P8,R8)))+SUMPRODUCT(($G8:$P8&lt;&gt;"")*ISERROR(SEARCH($G8:$P8,S8)))+SUMPRODUCT(($G8:$P8&lt;&gt;"")*ISERROR(SEARCH($G8:$P8,T8)))+SUMPRODUCT(($G8:$P8&lt;&gt;"")*ISERROR(SEARCH($G8:$P8,U8)))+SUMPRODUCT(($G8:$P8&lt;&gt;"")*ISERROR(SEARCH($G8:$P8,V8)))+SUMPRODUCT(($G8:$P8&lt;&gt;"")*ISERROR(SEARCH($G8:$P8,W8)))</f>
        <v/>
      </c>
      <c r="Y8" s="10" t="inlineStr">
        <is>
          <t>Falantes possíveis todos masculinos.</t>
        </is>
      </c>
    </row>
    <row r="9" ht="35.05" customHeight="1" s="8">
      <c r="A9" s="10" t="inlineStr">
        <is>
          <t>c5-08</t>
        </is>
      </c>
      <c r="B9" s="10" t="inlineStr">
        <is>
          <t>no privado, pergunta sobre a tela no corredor</t>
        </is>
      </c>
      <c r="C9" s="10" t="inlineStr">
        <is>
          <t>privado</t>
        </is>
      </c>
      <c r="D9" s="10" t="inlineStr">
        <is>
          <t>voz(['herdeira','observadora','jornalista','residente'],D.tela)</t>
        </is>
      </c>
      <c r="E9" s="10" t="inlineStr">
        <is>
          <t>jogador no privado</t>
        </is>
      </c>
      <c r="F9" s="10" t="n"/>
      <c r="G9" s="10" t="inlineStr">
        <is>
          <t>tela</t>
        </is>
      </c>
      <c r="H9" s="10" t="inlineStr">
        <is>
          <t>atravessou o corredor</t>
        </is>
      </c>
      <c r="I9" s="10" t="inlineStr">
        <is>
          <t>escuro</t>
        </is>
      </c>
      <c r="J9" s="10" t="n"/>
      <c r="K9" s="10" t="n"/>
      <c r="L9" s="10" t="n"/>
      <c r="M9" s="10" t="n"/>
      <c r="N9" s="10" t="n"/>
      <c r="O9" s="10" t="n"/>
      <c r="P9" s="10" t="n"/>
      <c r="Q9" s="10" t="inlineStr">
        <is>
          <t>Você viu a tela que atravessou o corredor no escuro?</t>
        </is>
      </c>
      <c r="R9" s="13" t="inlineStr">
        <is>
          <t>A tela que atravessou o corredor no escuro! Você viu ou não?</t>
        </is>
      </c>
      <c r="S9" s="13" t="inlineStr">
        <is>
          <t>A tela… que atravessou o corredor. No escuro. Você viu?</t>
        </is>
      </c>
      <c r="T9" s="13" t="inlineStr">
        <is>
          <t>Você viu a tela que atravessou o corredor no escuro? Desculpa perguntar assim…</t>
        </is>
      </c>
      <c r="U9" s="13" t="inlineStr">
        <is>
          <t>Me responda direto: você viu a tela que atravessou o corredor no escuro?</t>
        </is>
      </c>
      <c r="V9" s="13" t="inlineStr">
        <is>
          <t>Que noite, esse frio não passa… Você viu a tela que atravessou o corredor no escuro?</t>
        </is>
      </c>
      <c r="W9" s="13" t="inlineStr">
        <is>
          <t>Consulta: você viu a tela que atravessou o corredor no escuro?</t>
        </is>
      </c>
      <c r="X9" s="10">
        <f>SUMPRODUCT(($G9:$P9&lt;&gt;"")*ISERROR(SEARCH($G9:$P9,R9)))+SUMPRODUCT(($G9:$P9&lt;&gt;"")*ISERROR(SEARCH($G9:$P9,S9)))+SUMPRODUCT(($G9:$P9&lt;&gt;"")*ISERROR(SEARCH($G9:$P9,T9)))+SUMPRODUCT(($G9:$P9&lt;&gt;"")*ISERROR(SEARCH($G9:$P9,U9)))+SUMPRODUCT(($G9:$P9&lt;&gt;"")*ISERROR(SEARCH($G9:$P9,V9)))+SUMPRODUCT(($G9:$P9&lt;&gt;"")*ISERROR(SEARCH($G9:$P9,W9)))</f>
        <v/>
      </c>
      <c r="Y9" s="10" t="inlineStr">
        <is>
          <t>Falante varia (nunca o dono da tela): sem adjetivo de gênero.</t>
        </is>
      </c>
    </row>
    <row r="10" ht="35.05" customHeight="1" s="8">
      <c r="A10" s="10" t="inlineStr">
        <is>
          <t>c5-09</t>
        </is>
      </c>
      <c r="B10" s="10" t="inlineStr">
        <is>
          <t>resposta a "Onde cada um estava no quarto clarão?"</t>
        </is>
      </c>
      <c r="C10" s="10" t="inlineStr">
        <is>
          <t>resposta</t>
        </is>
      </c>
      <c r="D10" s="10" t="inlineStr">
        <is>
          <t>fala(['policial','tabeliao','investigador'])</t>
        </is>
      </c>
      <c r="E10" s="10" t="inlineStr">
        <is>
          <t>grupo</t>
        </is>
      </c>
      <c r="F10" s="10" t="n"/>
      <c r="G10" s="10" t="inlineStr">
        <is>
          <t>no posto</t>
        </is>
      </c>
      <c r="H10" s="10" t="inlineStr">
        <is>
          <t>todo mundo</t>
        </is>
      </c>
      <c r="I10" s="10" t="inlineStr">
        <is>
          <t>farol</t>
        </is>
      </c>
      <c r="J10" s="10" t="inlineStr">
        <is>
          <t>ouvidos</t>
        </is>
      </c>
      <c r="K10" s="10" t="n"/>
      <c r="L10" s="10" t="n"/>
      <c r="M10" s="10" t="n"/>
      <c r="N10" s="10" t="n"/>
      <c r="O10" s="10" t="n"/>
      <c r="P10" s="10" t="n"/>
      <c r="Q10" s="10" t="inlineStr">
        <is>
          <t>No posto. É o que todo mundo vai dizer. O farol e os ouvidos é que contam.</t>
        </is>
      </c>
      <c r="R10" s="13" t="inlineStr">
        <is>
          <t>No posto. É o que todo mundo vai dizer, claro! O farol e os ouvidos é que contam.</t>
        </is>
      </c>
      <c r="S10" s="13" t="inlineStr">
        <is>
          <t>No posto… todo mundo vai dizer isso. O farol. Os ouvidos. Isso conta.</t>
        </is>
      </c>
      <c r="T10" s="13" t="inlineStr">
        <is>
          <t>No posto… é o que todo mundo vai dizer, não é? O farol e os ouvidos é que contam.</t>
        </is>
      </c>
      <c r="U10" s="13" t="inlineStr">
        <is>
          <t>No posto. É o que todo mundo vai dizer. O farol e os ouvidos é que contam.</t>
        </is>
      </c>
      <c r="V10" s="13" t="inlineStr">
        <is>
          <t>Ah, essa umidade… No posto, é o que todo mundo vai dizer. O que conta mesmo é o farol e os ouvidos.</t>
        </is>
      </c>
      <c r="W10" s="13" t="inlineStr">
        <is>
          <t>Resposta esperada de todo mundo: no posto. Valem o farol e os ouvidos.</t>
        </is>
      </c>
      <c r="X10" s="10">
        <f>SUMPRODUCT(($G10:$P10&lt;&gt;"")*ISERROR(SEARCH($G10:$P10,R10)))+SUMPRODUCT(($G10:$P10&lt;&gt;"")*ISERROR(SEARCH($G10:$P10,S10)))+SUMPRODUCT(($G10:$P10&lt;&gt;"")*ISERROR(SEARCH($G10:$P10,T10)))+SUMPRODUCT(($G10:$P10&lt;&gt;"")*ISERROR(SEARCH($G10:$P10,U10)))+SUMPRODUCT(($G10:$P10&lt;&gt;"")*ISERROR(SEARCH($G10:$P10,V10)))+SUMPRODUCT(($G10:$P10&lt;&gt;"")*ISERROR(SEARCH($G10:$P10,W10)))</f>
        <v/>
      </c>
      <c r="Y10" s="10" t="inlineStr">
        <is>
          <t>Falantes possíveis todos masculinos.</t>
        </is>
      </c>
    </row>
    <row r="11" ht="35.05" customHeight="1" s="8">
      <c r="A11" s="10" t="inlineStr">
        <is>
          <t>c5-10</t>
        </is>
      </c>
      <c r="B11" s="10" t="inlineStr">
        <is>
          <t>resposta a "Quem ouviu o raspado?"</t>
        </is>
      </c>
      <c r="C11" s="10" t="inlineStr">
        <is>
          <t>resposta</t>
        </is>
      </c>
      <c r="D11" s="10" t="inlineStr">
        <is>
          <t>fala(['jornalista','herdeira','residente'],D.calou)</t>
        </is>
      </c>
      <c r="E11" s="10" t="inlineStr">
        <is>
          <t>grupo</t>
        </is>
      </c>
      <c r="F11" s="10" t="n"/>
      <c r="G11" s="10" t="inlineStr">
        <is>
          <t>todo mundo</t>
        </is>
      </c>
      <c r="H11" s="10" t="inlineStr">
        <is>
          <t>ouviu e calou</t>
        </is>
      </c>
      <c r="I11" s="10" t="n"/>
      <c r="J11" s="10" t="n"/>
      <c r="K11" s="10" t="n"/>
      <c r="L11" s="10" t="n"/>
      <c r="M11" s="10" t="n"/>
      <c r="N11" s="10" t="n"/>
      <c r="O11" s="10" t="n"/>
      <c r="P11" s="10" t="n"/>
      <c r="Q11" s="10" t="inlineStr">
        <is>
          <t>Todo mundo. A pergunta é quem ouviu e calou.</t>
        </is>
      </c>
      <c r="R11" s="13" t="inlineStr">
        <is>
          <t>Todo mundo, ora! A pergunta é quem ouviu e calou.</t>
        </is>
      </c>
      <c r="S11" s="13" t="inlineStr">
        <is>
          <t>Todo mundo. A pergunta… é quem ouviu e calou.</t>
        </is>
      </c>
      <c r="T11" s="13" t="inlineStr">
        <is>
          <t>Todo mundo, não foi? A pergunta é quem ouviu e calou…</t>
        </is>
      </c>
      <c r="U11" s="13" t="inlineStr">
        <is>
          <t>Todo mundo. A pergunta é quem ouviu e calou.</t>
        </is>
      </c>
      <c r="V11" s="13" t="inlineStr">
        <is>
          <t>Que cansaço… Todo mundo. A pergunta é quem ouviu e calou.</t>
        </is>
      </c>
      <c r="W11" s="13" t="inlineStr">
        <is>
          <t>Ouvintes: todo mundo. Pendente: quem ouviu e calou.</t>
        </is>
      </c>
      <c r="X11" s="10">
        <f>SUMPRODUCT(($G11:$P11&lt;&gt;"")*ISERROR(SEARCH($G11:$P11,R11)))+SUMPRODUCT(($G11:$P11&lt;&gt;"")*ISERROR(SEARCH($G11:$P11,S11)))+SUMPRODUCT(($G11:$P11&lt;&gt;"")*ISERROR(SEARCH($G11:$P11,T11)))+SUMPRODUCT(($G11:$P11&lt;&gt;"")*ISERROR(SEARCH($G11:$P11,U11)))+SUMPRODUCT(($G11:$P11&lt;&gt;"")*ISERROR(SEARCH($G11:$P11,V11)))+SUMPRODUCT(($G11:$P11&lt;&gt;"")*ISERROR(SEARCH($G11:$P11,W11)))</f>
        <v/>
      </c>
      <c r="Y11" s="10" t="inlineStr">
        <is>
          <t>Falante varia (nunca quem calou): sem adjetivo de gênero.</t>
        </is>
      </c>
    </row>
    <row r="12" ht="23.85" customHeight="1" s="8">
      <c r="A12" s="10" t="inlineStr">
        <is>
          <t>c5-11</t>
        </is>
      </c>
      <c r="B12" s="10" t="inlineStr">
        <is>
          <t>resposta a "O que o farol viu?"</t>
        </is>
      </c>
      <c r="C12" s="10" t="inlineStr">
        <is>
          <t>resposta</t>
        </is>
      </c>
      <c r="D12" s="10" t="inlineStr">
        <is>
          <t>fala(['investigador','policial'])</t>
        </is>
      </c>
      <c r="E12" s="10" t="inlineStr">
        <is>
          <t>grupo</t>
        </is>
      </c>
      <c r="F12" s="10" t="n"/>
      <c r="G12" s="10" t="inlineStr">
        <is>
          <t>vultos</t>
        </is>
      </c>
      <c r="H12" s="10" t="inlineStr">
        <is>
          <t>rostos</t>
        </is>
      </c>
      <c r="I12" s="10" t="inlineStr">
        <is>
          <t>parados</t>
        </is>
      </c>
      <c r="J12" s="10" t="n"/>
      <c r="K12" s="10" t="n"/>
      <c r="L12" s="10" t="n"/>
      <c r="M12" s="10" t="n"/>
      <c r="N12" s="10" t="n"/>
      <c r="O12" s="10" t="n"/>
      <c r="P12" s="10" t="n"/>
      <c r="Q12" s="10" t="inlineStr">
        <is>
          <t>Vultos, nunca rostos. Mas vultos parados num lugar contam.</t>
        </is>
      </c>
      <c r="R12" s="13" t="inlineStr">
        <is>
          <t>Vultos, nunca rostos! Mas vultos parados num lugar contam.</t>
        </is>
      </c>
      <c r="S12" s="13" t="inlineStr">
        <is>
          <t>Vultos… nunca rostos. Mas parados… num lugar. Contam.</t>
        </is>
      </c>
      <c r="T12" s="13" t="inlineStr">
        <is>
          <t>Só vultos, nunca rostos… Mas vultos parados num lugar contam, não contam?</t>
        </is>
      </c>
      <c r="U12" s="13" t="inlineStr">
        <is>
          <t>Vultos, nunca rostos. Mas vultos parados num lugar contam.</t>
        </is>
      </c>
      <c r="V12" s="13" t="inlineStr">
        <is>
          <t>Essa demora toda… Vultos, nunca rostos. Mas vultos parados num lugar, esses contam.</t>
        </is>
      </c>
      <c r="W12" s="13" t="inlineStr">
        <is>
          <t>Consta: vultos, nunca rostos. Observação: vultos parados num lugar contam.</t>
        </is>
      </c>
      <c r="X12" s="10">
        <f>SUMPRODUCT(($G12:$P12&lt;&gt;"")*ISERROR(SEARCH($G12:$P12,R12)))+SUMPRODUCT(($G12:$P12&lt;&gt;"")*ISERROR(SEARCH($G12:$P12,S12)))+SUMPRODUCT(($G12:$P12&lt;&gt;"")*ISERROR(SEARCH($G12:$P12,T12)))+SUMPRODUCT(($G12:$P12&lt;&gt;"")*ISERROR(SEARCH($G12:$P12,U12)))+SUMPRODUCT(($G12:$P12&lt;&gt;"")*ISERROR(SEARCH($G12:$P12,V12)))+SUMPRODUCT(($G12:$P12&lt;&gt;"")*ISERROR(SEARCH($G12:$P12,W12)))</f>
        <v/>
      </c>
      <c r="Y12" s="10" t="inlineStr">
        <is>
          <t>Falantes possíveis masculinos.</t>
        </is>
      </c>
    </row>
    <row r="13" ht="35.05" customHeight="1" s="8">
      <c r="A13" s="10" t="inlineStr">
        <is>
          <t>c5-12</t>
        </is>
      </c>
      <c r="B13" s="10" t="inlineStr">
        <is>
          <t>resposta a "Ninguém sai do lugar."</t>
        </is>
      </c>
      <c r="C13" s="10" t="inlineStr">
        <is>
          <t>resposta</t>
        </is>
      </c>
      <c r="D13" s="10" t="inlineStr">
        <is>
          <t>fala(['policial','tabeliao'])</t>
        </is>
      </c>
      <c r="E13" s="10" t="inlineStr">
        <is>
          <t>grupo</t>
        </is>
      </c>
      <c r="F13" s="10" t="n"/>
      <c r="G13" s="10" t="inlineStr">
        <is>
          <t>combinado</t>
        </is>
      </c>
      <c r="H13" s="10" t="n"/>
      <c r="I13" s="10" t="n"/>
      <c r="J13" s="10" t="n"/>
      <c r="K13" s="10" t="n"/>
      <c r="L13" s="10" t="n"/>
      <c r="M13" s="10" t="n"/>
      <c r="N13" s="10" t="n"/>
      <c r="O13" s="10" t="n"/>
      <c r="P13" s="10" t="n"/>
      <c r="Q13" s="10" t="inlineStr">
        <is>
          <t>Combinado.</t>
        </is>
      </c>
      <c r="R13" s="13" t="inlineStr">
        <is>
          <t>Combinado!</t>
        </is>
      </c>
      <c r="S13" s="13" t="inlineStr">
        <is>
          <t>…combinado.</t>
        </is>
      </c>
      <c r="T13" s="13" t="inlineStr">
        <is>
          <t>Combinado…</t>
        </is>
      </c>
      <c r="U13" s="13" t="inlineStr">
        <is>
          <t>Combinado.</t>
        </is>
      </c>
      <c r="V13" s="13" t="inlineStr">
        <is>
          <t>Ah… combinado.</t>
        </is>
      </c>
      <c r="W13" s="13" t="inlineStr">
        <is>
          <t>Combinado.</t>
        </is>
      </c>
      <c r="X13" s="10">
        <f>SUMPRODUCT(($G13:$P13&lt;&gt;"")*ISERROR(SEARCH($G13:$P13,R13)))+SUMPRODUCT(($G13:$P13&lt;&gt;"")*ISERROR(SEARCH($G13:$P13,S13)))+SUMPRODUCT(($G13:$P13&lt;&gt;"")*ISERROR(SEARCH($G13:$P13,T13)))+SUMPRODUCT(($G13:$P13&lt;&gt;"")*ISERROR(SEARCH($G13:$P13,U13)))+SUMPRODUCT(($G13:$P13&lt;&gt;"")*ISERROR(SEARCH($G13:$P13,V13)))+SUMPRODUCT(($G13:$P13&lt;&gt;"")*ISERROR(SEARCH($G13:$P13,W13)))</f>
        <v/>
      </c>
      <c r="Y13" s="10" t="inlineStr">
        <is>
          <t>Item único: a fala original tem uma palavra só (exceção à regra de 2 a 5 itens).</t>
        </is>
      </c>
    </row>
    <row r="14" ht="35.05" customHeight="1" s="8">
      <c r="A14" s="10" t="inlineStr">
        <is>
          <t>c5-13</t>
        </is>
      </c>
      <c r="B14" s="10" t="inlineStr">
        <is>
          <t>resposta no privado a "Você viu alguém andar no escuro?"</t>
        </is>
      </c>
      <c r="C14" s="10" t="inlineStr">
        <is>
          <t>resposta</t>
        </is>
      </c>
      <c r="D14" s="10" t="inlineStr">
        <is>
          <t>quem está no privado com o jogador (varia)</t>
        </is>
      </c>
      <c r="E14" s="10" t="inlineStr">
        <is>
          <t>jogador no privado</t>
        </is>
      </c>
      <c r="F14" s="10" t="n"/>
      <c r="G14" s="10" t="inlineStr">
        <is>
          <t>tela passar</t>
        </is>
      </c>
      <c r="H14" s="10" t="inlineStr">
        <is>
          <t>só a luz</t>
        </is>
      </c>
      <c r="I14" s="10" t="n"/>
      <c r="J14" s="10" t="n"/>
      <c r="K14" s="10" t="n"/>
      <c r="L14" s="10" t="n"/>
      <c r="M14" s="10" t="n"/>
      <c r="N14" s="10" t="n"/>
      <c r="O14" s="10" t="n"/>
      <c r="P14" s="10" t="n"/>
      <c r="Q14" s="10" t="inlineStr">
        <is>
          <t>Vi uma tela passar. Só a luz.</t>
        </is>
      </c>
      <c r="R14" s="13" t="inlineStr">
        <is>
          <t>Vi uma tela passar! Só a luz, mais nada.</t>
        </is>
      </c>
      <c r="S14" s="13" t="inlineStr">
        <is>
          <t>Vi… uma tela passar. Só a luz.</t>
        </is>
      </c>
      <c r="T14" s="13" t="inlineStr">
        <is>
          <t>Vi uma tela passar… Só a luz. Desculpa, não ajuda muito, né?</t>
        </is>
      </c>
      <c r="U14" s="13" t="inlineStr">
        <is>
          <t>Vi uma tela passar. Só a luz.</t>
        </is>
      </c>
      <c r="V14" s="13" t="inlineStr">
        <is>
          <t>Que noite comprida… Vi uma tela passar. Só a luz.</t>
        </is>
      </c>
      <c r="W14" s="13" t="inlineStr">
        <is>
          <t>Vi uma tela passar. Só a luz, nada mais.</t>
        </is>
      </c>
      <c r="X14" s="10">
        <f>SUMPRODUCT(($G14:$P14&lt;&gt;"")*ISERROR(SEARCH($G14:$P14,R14)))+SUMPRODUCT(($G14:$P14&lt;&gt;"")*ISERROR(SEARCH($G14:$P14,S14)))+SUMPRODUCT(($G14:$P14&lt;&gt;"")*ISERROR(SEARCH($G14:$P14,T14)))+SUMPRODUCT(($G14:$P14&lt;&gt;"")*ISERROR(SEARCH($G14:$P14,U14)))+SUMPRODUCT(($G14:$P14&lt;&gt;"")*ISERROR(SEARCH($G14:$P14,V14)))+SUMPRODUCT(($G14:$P14&lt;&gt;"")*ISERROR(SEARCH($G14:$P14,W14)))</f>
        <v/>
      </c>
      <c r="Y14" s="10" t="inlineStr">
        <is>
          <t>Falante varia: sem adjetivo de gênero.</t>
        </is>
      </c>
    </row>
    <row r="15" ht="35.05" customHeight="1" s="8">
      <c r="A15" s="10" t="inlineStr">
        <is>
          <t>c5-14</t>
        </is>
      </c>
      <c r="B15" s="10" t="inlineStr">
        <is>
          <t>resposta no privado a "Não confio em ninguém aqui."</t>
        </is>
      </c>
      <c r="C15" s="10" t="inlineStr">
        <is>
          <t>resposta</t>
        </is>
      </c>
      <c r="D15" s="10" t="inlineStr">
        <is>
          <t>quem está no privado com o jogador (varia)</t>
        </is>
      </c>
      <c r="E15" s="10" t="inlineStr">
        <is>
          <t>jogador no privado</t>
        </is>
      </c>
      <c r="F15" s="10" t="n"/>
      <c r="G15" s="10" t="inlineStr">
        <is>
          <t>nem eu</t>
        </is>
      </c>
      <c r="H15" s="10" t="n"/>
      <c r="I15" s="10" t="n"/>
      <c r="J15" s="10" t="n"/>
      <c r="K15" s="10" t="n"/>
      <c r="L15" s="10" t="n"/>
      <c r="M15" s="10" t="n"/>
      <c r="N15" s="10" t="n"/>
      <c r="O15" s="10" t="n"/>
      <c r="P15" s="10" t="n"/>
      <c r="Q15" s="10" t="inlineStr">
        <is>
          <t>Nem eu.</t>
        </is>
      </c>
      <c r="R15" s="13" t="inlineStr">
        <is>
          <t>Nem eu!</t>
        </is>
      </c>
      <c r="S15" s="13" t="inlineStr">
        <is>
          <t>… Nem eu.</t>
        </is>
      </c>
      <c r="T15" s="13" t="inlineStr">
        <is>
          <t>Nem eu…</t>
        </is>
      </c>
      <c r="U15" s="13" t="inlineStr">
        <is>
          <t>Nem eu.</t>
        </is>
      </c>
      <c r="V15" s="13" t="inlineStr">
        <is>
          <t>Nem eu.</t>
        </is>
      </c>
      <c r="W15" s="13" t="inlineStr">
        <is>
          <t>Nem eu.</t>
        </is>
      </c>
      <c r="X15" s="10">
        <f>SUMPRODUCT(($G15:$P15&lt;&gt;"")*ISERROR(SEARCH($G15:$P15,R15)))+SUMPRODUCT(($G15:$P15&lt;&gt;"")*ISERROR(SEARCH($G15:$P15,S15)))+SUMPRODUCT(($G15:$P15&lt;&gt;"")*ISERROR(SEARCH($G15:$P15,T15)))+SUMPRODUCT(($G15:$P15&lt;&gt;"")*ISERROR(SEARCH($G15:$P15,U15)))+SUMPRODUCT(($G15:$P15&lt;&gt;"")*ISERROR(SEARCH($G15:$P15,V15)))+SUMPRODUCT(($G15:$P15&lt;&gt;"")*ISERROR(SEARCH($G15:$P15,W15)))</f>
        <v/>
      </c>
      <c r="Y15" s="10" t="inlineStr">
        <is>
          <t>Item único: fala de duas palavras (exceção à regra de 2 a 5 itens). Falante varia.</t>
        </is>
      </c>
    </row>
    <row r="16" ht="35.05" customHeight="1" s="8">
      <c r="A16" s="10" t="inlineStr">
        <is>
          <t>c5-15</t>
        </is>
      </c>
      <c r="B16" s="10" t="inlineStr">
        <is>
          <t>debate: o que cada som do escuro permite descartar (1)</t>
        </is>
      </c>
      <c r="C16" s="10" t="inlineStr">
        <is>
          <t>chat</t>
        </is>
      </c>
      <c r="D16" s="10" t="inlineStr">
        <is>
          <t>fala(['policial','residente','jornalista'])</t>
        </is>
      </c>
      <c r="E16" s="10" t="inlineStr">
        <is>
          <t>grupo (debate)</t>
        </is>
      </c>
      <c r="F16" s="10" t="n"/>
      <c r="G16" s="10" t="inlineStr">
        <is>
          <t>gritou</t>
        </is>
      </c>
      <c r="H16" s="10" t="inlineStr">
        <is>
          <t>naquele lugar</t>
        </is>
      </c>
      <c r="I16" s="10" t="inlineStr">
        <is>
          <t>endereço</t>
        </is>
      </c>
      <c r="J16" s="10" t="n"/>
      <c r="K16" s="10" t="n"/>
      <c r="L16" s="10" t="n"/>
      <c r="M16" s="10" t="n"/>
      <c r="N16" s="10" t="n"/>
      <c r="O16" s="10" t="n"/>
      <c r="P16" s="10" t="n"/>
      <c r="Q16" s="10" t="inlineStr">
        <is>
          <t>Quem gritou de um lugar estava naquele lugar. Grito não mente o endereço.</t>
        </is>
      </c>
      <c r="R16" s="13" t="inlineStr">
        <is>
          <t>Quem gritou de um lugar estava naquele lugar! Grito não mente o endereço.</t>
        </is>
      </c>
      <c r="S16" s="13" t="inlineStr">
        <is>
          <t>Quem gritou… estava naquele lugar. Grito… não mente o endereço.</t>
        </is>
      </c>
      <c r="T16" s="13" t="inlineStr">
        <is>
          <t>Quem gritou de um lugar estava naquele lugar, não é? Grito não mente o endereço…</t>
        </is>
      </c>
      <c r="U16" s="13" t="inlineStr">
        <is>
          <t>Quem gritou de um lugar estava naquele lugar. Grito não mente o endereço.</t>
        </is>
      </c>
      <c r="V16" s="13" t="inlineStr">
        <is>
          <t>Tanta chuva lá fora… Mas quem gritou de um lugar estava naquele lugar. Grito não mente o endereço.</t>
        </is>
      </c>
      <c r="W16" s="13" t="inlineStr">
        <is>
          <t>Princípio: quem gritou de um lugar estava naquele lugar. Grito não mente o endereço.</t>
        </is>
      </c>
      <c r="X16" s="10">
        <f>SUMPRODUCT(($G16:$P16&lt;&gt;"")*ISERROR(SEARCH($G16:$P16,R16)))+SUMPRODUCT(($G16:$P16&lt;&gt;"")*ISERROR(SEARCH($G16:$P16,S16)))+SUMPRODUCT(($G16:$P16&lt;&gt;"")*ISERROR(SEARCH($G16:$P16,T16)))+SUMPRODUCT(($G16:$P16&lt;&gt;"")*ISERROR(SEARCH($G16:$P16,U16)))+SUMPRODUCT(($G16:$P16&lt;&gt;"")*ISERROR(SEARCH($G16:$P16,V16)))+SUMPRODUCT(($G16:$P16&lt;&gt;"")*ISERROR(SEARCH($G16:$P16,W16)))</f>
        <v/>
      </c>
      <c r="Y16" s="10" t="inlineStr">
        <is>
          <t>Falante varia: sem adjetivo de gênero.</t>
        </is>
      </c>
    </row>
    <row r="17" ht="35.05" customHeight="1" s="8">
      <c r="A17" s="10" t="inlineStr">
        <is>
          <t>c5-16</t>
        </is>
      </c>
      <c r="B17" s="10" t="inlineStr">
        <is>
          <t>debate: o que cada som do escuro permite descartar (2)</t>
        </is>
      </c>
      <c r="C17" s="10" t="inlineStr">
        <is>
          <t>chat</t>
        </is>
      </c>
      <c r="D17" s="10" t="inlineStr">
        <is>
          <t>fala(['observadora','advogado','tabeliao'])</t>
        </is>
      </c>
      <c r="E17" s="10" t="inlineStr">
        <is>
          <t>grupo (debate)</t>
        </is>
      </c>
      <c r="F17" s="10" t="n"/>
      <c r="G17" s="10" t="inlineStr">
        <is>
          <t>degrau</t>
        </is>
      </c>
      <c r="H17" s="10" t="inlineStr">
        <is>
          <t>louça</t>
        </is>
      </c>
      <c r="I17" s="10" t="inlineStr">
        <is>
          <t>lata</t>
        </is>
      </c>
      <c r="J17" s="10" t="inlineStr">
        <is>
          <t>panela</t>
        </is>
      </c>
      <c r="K17" s="10" t="inlineStr">
        <is>
          <t>postos</t>
        </is>
      </c>
      <c r="L17" s="10" t="n"/>
      <c r="M17" s="10" t="n"/>
      <c r="N17" s="10" t="n"/>
      <c r="O17" s="10" t="n"/>
      <c r="P17" s="10" t="n"/>
      <c r="Q17" s="10" t="inlineStr">
        <is>
          <t>O degrau, a louça, a lata, a panela: cada som tem um lugar. Junte com os postos.</t>
        </is>
      </c>
      <c r="R17" s="13" t="inlineStr">
        <is>
          <t>O degrau, a louça, a lata, a panela: cada som tem um lugar. Junte com os postos, não é difícil!</t>
        </is>
      </c>
      <c r="S17" s="13" t="inlineStr">
        <is>
          <t>O degrau. A louça. A lata… a panela. Cada som, um lugar. Junte com os postos.</t>
        </is>
      </c>
      <c r="T17" s="13" t="inlineStr">
        <is>
          <t>O degrau, a louça, a lata, a panela… cada som tem um lugar, não é? Aí é só juntar com os postos.</t>
        </is>
      </c>
      <c r="U17" s="13" t="inlineStr">
        <is>
          <t>O degrau, a louça, a lata, a panela: cada som tem um lugar. Junte com os postos.</t>
        </is>
      </c>
      <c r="V17" s="13" t="inlineStr">
        <is>
          <t>O cansaço pesa… O degrau, a louça, a lata, a panela: cada som tem um lugar. Junte com os postos.</t>
        </is>
      </c>
      <c r="W17" s="13" t="inlineStr">
        <is>
          <t>Itens: degrau, louça, lata, panela. Cada som, um lugar. Procedimento: cruzar com os postos.</t>
        </is>
      </c>
      <c r="X17" s="10">
        <f>SUMPRODUCT(($G17:$P17&lt;&gt;"")*ISERROR(SEARCH($G17:$P17,R17)))+SUMPRODUCT(($G17:$P17&lt;&gt;"")*ISERROR(SEARCH($G17:$P17,S17)))+SUMPRODUCT(($G17:$P17&lt;&gt;"")*ISERROR(SEARCH($G17:$P17,T17)))+SUMPRODUCT(($G17:$P17&lt;&gt;"")*ISERROR(SEARCH($G17:$P17,U17)))+SUMPRODUCT(($G17:$P17&lt;&gt;"")*ISERROR(SEARCH($G17:$P17,V17)))+SUMPRODUCT(($G17:$P17&lt;&gt;"")*ISERROR(SEARCH($G17:$P17,W17)))</f>
        <v/>
      </c>
      <c r="Y17" s="10" t="inlineStr">
        <is>
          <t>Falante varia: sem adjetivo de gênero.</t>
        </is>
      </c>
    </row>
    <row r="18" ht="35.05" customHeight="1" s="8">
      <c r="A18" s="10" t="inlineStr">
        <is>
          <t>c5-17</t>
        </is>
      </c>
      <c r="B18" s="10" t="inlineStr">
        <is>
          <t>debate: o que cada som do escuro permite descartar (3)</t>
        </is>
      </c>
      <c r="C18" s="10" t="inlineStr">
        <is>
          <t>chat</t>
        </is>
      </c>
      <c r="D18" s="10" t="inlineStr">
        <is>
          <t>fala(['herdeira','investigador','governanta'])</t>
        </is>
      </c>
      <c r="E18" s="10" t="inlineStr">
        <is>
          <t>grupo (debate)</t>
        </is>
      </c>
      <c r="F18" s="10" t="n"/>
      <c r="G18" s="10" t="inlineStr">
        <is>
          <t>farol</t>
        </is>
      </c>
      <c r="H18" s="10" t="inlineStr">
        <is>
          <t>nunca mente</t>
        </is>
      </c>
      <c r="I18" s="10" t="inlineStr">
        <is>
          <t>vulto parado duas vezes</t>
        </is>
      </c>
      <c r="J18" s="10" t="inlineStr">
        <is>
          <t>relógio</t>
        </is>
      </c>
      <c r="K18" s="10" t="n"/>
      <c r="L18" s="10" t="n"/>
      <c r="M18" s="10" t="n"/>
      <c r="N18" s="10" t="n"/>
      <c r="O18" s="10" t="n"/>
      <c r="P18" s="10" t="n"/>
      <c r="Q18" s="10" t="inlineStr">
        <is>
          <t>E o farol nunca mente. Vulto parado duas vezes não estava no relógio.</t>
        </is>
      </c>
      <c r="R18" s="13" t="inlineStr">
        <is>
          <t>E o farol nunca mente! Vulto parado duas vezes não estava no relógio.</t>
        </is>
      </c>
      <c r="S18" s="13" t="inlineStr">
        <is>
          <t>O farol… nunca mente. Vulto parado duas vezes… não estava no relógio.</t>
        </is>
      </c>
      <c r="T18" s="13" t="inlineStr">
        <is>
          <t>E o farol nunca mente, né? Então vulto parado duas vezes não estava no relógio…</t>
        </is>
      </c>
      <c r="U18" s="13" t="inlineStr">
        <is>
          <t>E o farol nunca mente. Vulto parado duas vezes não estava no relógio.</t>
        </is>
      </c>
      <c r="V18" s="13" t="inlineStr">
        <is>
          <t>A estrada de volta vai ser longa… E o farol nunca mente. Vulto parado duas vezes não estava no relógio.</t>
        </is>
      </c>
      <c r="W18" s="13" t="inlineStr">
        <is>
          <t>Premissa: o farol nunca mente. Logo, vulto parado duas vezes não estava no relógio.</t>
        </is>
      </c>
      <c r="X18" s="10">
        <f>SUMPRODUCT(($G18:$P18&lt;&gt;"")*ISERROR(SEARCH($G18:$P18,R18)))+SUMPRODUCT(($G18:$P18&lt;&gt;"")*ISERROR(SEARCH($G18:$P18,S18)))+SUMPRODUCT(($G18:$P18&lt;&gt;"")*ISERROR(SEARCH($G18:$P18,T18)))+SUMPRODUCT(($G18:$P18&lt;&gt;"")*ISERROR(SEARCH($G18:$P18,U18)))+SUMPRODUCT(($G18:$P18&lt;&gt;"")*ISERROR(SEARCH($G18:$P18,V18)))+SUMPRODUCT(($G18:$P18&lt;&gt;"")*ISERROR(SEARCH($G18:$P18,W18)))</f>
        <v/>
      </c>
      <c r="Y18" s="10" t="inlineStr">
        <is>
          <t>Falante varia: sem adjetivo de gênero.</t>
        </is>
      </c>
    </row>
  </sheetData>
  <autoFilter ref="A1:Y18"/>
  <conditionalFormatting sqref="X2:X18">
    <cfRule type="expression" rank="0" priority="2" equalAverage="0" aboveAverage="0" dxfId="4" text="" percent="0" bottom="0">
      <formula>X2&gt;0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Y26"/>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1"/>
    <col width="24" customWidth="1" style="7" min="2" max="2"/>
    <col width="12" customWidth="1" style="7" min="3" max="3"/>
    <col width="18" customWidth="1" style="7" min="4" max="4"/>
    <col width="12" customWidth="1" style="7" min="5" max="5"/>
    <col width="14" customWidth="1" style="7" min="6" max="6"/>
    <col width="12" customWidth="1" style="7" min="7" max="16"/>
    <col width="40" customWidth="1" style="7" min="17" max="17"/>
    <col width="38" customWidth="1" style="7" min="18" max="23"/>
    <col width="8" customWidth="1" style="7" min="24" max="24"/>
    <col width="34" customWidth="1" style="7" min="25" max="25"/>
  </cols>
  <sheetData>
    <row r="1" ht="15" customHeight="1" s="8">
      <c r="A1" s="12" t="inlineStr">
        <is>
          <t>ID</t>
        </is>
      </c>
      <c r="B1" s="12" t="inlineStr">
        <is>
          <t>Cena</t>
        </is>
      </c>
      <c r="C1" s="12" t="inlineStr">
        <is>
          <t>Momento</t>
        </is>
      </c>
      <c r="D1" s="12" t="inlineStr">
        <is>
          <t>Quem fala</t>
        </is>
      </c>
      <c r="E1" s="12" t="inlineStr">
        <is>
          <t>Com quem</t>
        </is>
      </c>
      <c r="F1" s="12" t="inlineStr">
        <is>
          <t>Condição</t>
        </is>
      </c>
      <c r="G1" s="12" t="inlineStr">
        <is>
          <t>Item 1</t>
        </is>
      </c>
      <c r="H1" s="12" t="inlineStr">
        <is>
          <t>Item 2</t>
        </is>
      </c>
      <c r="I1" s="12" t="inlineStr">
        <is>
          <t>Item 3</t>
        </is>
      </c>
      <c r="J1" s="12" t="inlineStr">
        <is>
          <t>Item 4</t>
        </is>
      </c>
      <c r="K1" s="12" t="inlineStr">
        <is>
          <t>Item 5</t>
        </is>
      </c>
      <c r="L1" s="12" t="inlineStr">
        <is>
          <t>Item 6</t>
        </is>
      </c>
      <c r="M1" s="12" t="inlineStr">
        <is>
          <t>Item 7</t>
        </is>
      </c>
      <c r="N1" s="12" t="inlineStr">
        <is>
          <t>Item 8</t>
        </is>
      </c>
      <c r="O1" s="12" t="inlineStr">
        <is>
          <t>Item 9</t>
        </is>
      </c>
      <c r="P1" s="12" t="inlineStr">
        <is>
          <t>Item 10</t>
        </is>
      </c>
      <c r="Q1" s="12" t="inlineStr">
        <is>
          <t>Fala original</t>
        </is>
      </c>
      <c r="R1" s="12" t="inlineStr">
        <is>
          <t>Explosivo</t>
        </is>
      </c>
      <c r="S1" s="12" t="inlineStr">
        <is>
          <t>Calmo opaco</t>
        </is>
      </c>
      <c r="T1" s="12" t="inlineStr">
        <is>
          <t>Ingênuo</t>
        </is>
      </c>
      <c r="U1" s="12" t="inlineStr">
        <is>
          <t>Leal cego</t>
        </is>
      </c>
      <c r="V1" s="12" t="inlineStr">
        <is>
          <t>Evasivo</t>
        </is>
      </c>
      <c r="W1" s="12" t="inlineStr">
        <is>
          <t>Burocrata</t>
        </is>
      </c>
      <c r="X1" s="12" t="inlineStr">
        <is>
          <t>Faltam</t>
        </is>
      </c>
      <c r="Y1" s="12" t="inlineStr">
        <is>
          <t>Nota</t>
        </is>
      </c>
    </row>
    <row r="2" ht="46.25" customHeight="1" s="8">
      <c r="A2" s="10" t="inlineStr">
        <is>
          <t>c6-01</t>
        </is>
      </c>
      <c r="B2" s="10" t="inlineStr">
        <is>
          <t>a conta do relógio na sala</t>
        </is>
      </c>
      <c r="C2" s="10" t="inlineStr">
        <is>
          <t>roteiro</t>
        </is>
      </c>
      <c r="D2" s="10" t="inlineStr">
        <is>
          <t>tabeliao | policial (cond)</t>
        </is>
      </c>
      <c r="E2" s="10" t="inlineStr">
        <is>
          <t>grupo</t>
        </is>
      </c>
      <c r="F2" s="10" t="n"/>
      <c r="G2" s="10" t="inlineStr">
        <is>
          <t>relógio</t>
        </is>
      </c>
      <c r="H2" s="10" t="inlineStr">
        <is>
          <t>quatro minutos</t>
        </is>
      </c>
      <c r="I2" s="10" t="inlineStr">
        <is>
          <t>nove e trinta e um</t>
        </is>
      </c>
      <c r="J2" s="10" t="inlineStr">
        <is>
          <t>nove e trinta e cinco</t>
        </is>
      </c>
      <c r="K2" s="10" t="inlineStr">
        <is>
          <t>nove e trinta e quatro</t>
        </is>
      </c>
      <c r="L2" s="10" t="n"/>
      <c r="M2" s="10" t="n"/>
      <c r="N2" s="10" t="n"/>
      <c r="O2" s="10" t="n"/>
      <c r="P2" s="10" t="n"/>
      <c r="Q2" s="10" t="inlineStr">
        <is>
          <t>O relógio andava quatro minutos na frente. Agora são nove e trinta e um. Devia marcar nove e trinta e cinco. Marca nove e trinta e quatro.</t>
        </is>
      </c>
      <c r="R2" s="13" t="inlineStr">
        <is>
          <t>O relógio andava quatro minutos na frente. Agora são nove e trinta e um. Devia marcar nove e trinta e cinco. E marca nove e trinta e quatro!</t>
        </is>
      </c>
      <c r="S2" s="13" t="inlineStr">
        <is>
          <t>O relógio… quatro minutos na frente. Agora… nove e trinta e um. Devia marcar nove e trinta e cinco. Marca… nove e trinta e quatro.</t>
        </is>
      </c>
      <c r="T2" s="13" t="inlineStr">
        <is>
          <t>O relógio andava quatro minutos na frente, não é? Agora são nove e trinta e um… então devia marcar nove e trinta e cinco. Mas marca nove e trinta e quatro. Fiz a conta certo?</t>
        </is>
      </c>
      <c r="U2" s="13" t="inlineStr">
        <is>
          <t>O relógio andava quatro minutos na frente. Agora são nove e trinta e um. Devia marcar nove e trinta e cinco. Marca nove e trinta e quatro.</t>
        </is>
      </c>
      <c r="V2" s="13" t="inlineStr">
        <is>
          <t>Que umidade nesta sala… O relógio andava quatro minutos na frente. Agora são nove e trinta e um. Devia marcar nove e trinta e cinco. Marca nove e trinta e quatro.</t>
        </is>
      </c>
      <c r="W2" s="13" t="inlineStr">
        <is>
          <t>Registre: relógio adiantado quatro minutos. Hora real, nove e trinta e um. Esperado, nove e trinta e cinco. Marcado, nove e trinta e quatro.</t>
        </is>
      </c>
      <c r="X2" s="10">
        <f>SUMPRODUCT(($G2:$P2&lt;&gt;"")*ISERROR(SEARCH($G2:$P2,R2)))+SUMPRODUCT(($G2:$P2&lt;&gt;"")*ISERROR(SEARCH($G2:$P2,S2)))+SUMPRODUCT(($G2:$P2&lt;&gt;"")*ISERROR(SEARCH($G2:$P2,T2)))+SUMPRODUCT(($G2:$P2&lt;&gt;"")*ISERROR(SEARCH($G2:$P2,U2)))+SUMPRODUCT(($G2:$P2&lt;&gt;"")*ISERROR(SEARCH($G2:$P2,V2)))+SUMPRODUCT(($G2:$P2&lt;&gt;"")*ISERROR(SEARCH($G2:$P2,W2)))</f>
        <v/>
      </c>
      <c r="Y2" s="10" t="inlineStr">
        <is>
          <t>cond = tabeliao se presente, senão policial (os dois masculinos). Enquadre: 'fez a conta em voz alta, porque era assim que pensava'.</t>
        </is>
      </c>
    </row>
    <row r="3" ht="35.05" customHeight="1" s="8">
      <c r="A3" s="10" t="inlineStr">
        <is>
          <t>c6-02</t>
        </is>
      </c>
      <c r="B3" s="10" t="inlineStr">
        <is>
          <t>o relógio perdeu um minuto</t>
        </is>
      </c>
      <c r="C3" s="10" t="inlineStr">
        <is>
          <t>roteiro</t>
        </is>
      </c>
      <c r="D3" s="10" t="inlineStr">
        <is>
          <t>investigador</t>
        </is>
      </c>
      <c r="E3" s="10" t="inlineStr">
        <is>
          <t>grupo</t>
        </is>
      </c>
      <c r="F3" s="10" t="n"/>
      <c r="G3" s="10" t="inlineStr">
        <is>
          <t>quase um minuto</t>
        </is>
      </c>
      <c r="H3" s="10" t="inlineStr">
        <is>
          <t>ata</t>
        </is>
      </c>
      <c r="I3" s="10" t="inlineStr">
        <is>
          <t>acertado</t>
        </is>
      </c>
      <c r="J3" s="10" t="inlineStr">
        <is>
          <t>oito e dezessete</t>
        </is>
      </c>
      <c r="K3" s="10" t="n"/>
      <c r="L3" s="10" t="n"/>
      <c r="M3" s="10" t="n"/>
      <c r="N3" s="10" t="n"/>
      <c r="O3" s="10" t="n"/>
      <c r="P3" s="10" t="n"/>
      <c r="Q3" s="10" t="inlineStr">
        <is>
          <t>Perdeu quase um minuto. A ata diz que ele foi acertado às oito e dezessete.</t>
        </is>
      </c>
      <c r="R3" s="13" t="inlineStr">
        <is>
          <t>Perdeu quase um minuto! A ata diz que ele foi acertado às oito e dezessete.</t>
        </is>
      </c>
      <c r="S3" s="13" t="inlineStr">
        <is>
          <t>Quase um minuto… perdido. A ata… acertado às oito e dezessete.</t>
        </is>
      </c>
      <c r="T3" s="13" t="inlineStr">
        <is>
          <t>Ele perdeu quase um minuto, não foi? E a ata diz que foi acertado às oito e dezessete… se eu li direito.</t>
        </is>
      </c>
      <c r="U3" s="13" t="inlineStr">
        <is>
          <t>Perdeu quase um minuto. A ata diz que ele foi acertado às oito e dezessete. Está escrito.</t>
        </is>
      </c>
      <c r="V3" s="13" t="inlineStr">
        <is>
          <t>Que noite comprida… Perdeu quase um minuto. A ata diz que ele foi acertado às oito e dezessete.</t>
        </is>
      </c>
      <c r="W3" s="13" t="inlineStr">
        <is>
          <t>Consta: perda de quase um minuto. A ata registra que foi acertado às oito e dezessete.</t>
        </is>
      </c>
      <c r="X3" s="10">
        <f>SUMPRODUCT(($G3:$P3&lt;&gt;"")*ISERROR(SEARCH($G3:$P3,R3)))+SUMPRODUCT(($G3:$P3&lt;&gt;"")*ISERROR(SEARCH($G3:$P3,S3)))+SUMPRODUCT(($G3:$P3&lt;&gt;"")*ISERROR(SEARCH($G3:$P3,T3)))+SUMPRODUCT(($G3:$P3&lt;&gt;"")*ISERROR(SEARCH($G3:$P3,U3)))+SUMPRODUCT(($G3:$P3&lt;&gt;"")*ISERROR(SEARCH($G3:$P3,V3)))+SUMPRODUCT(($G3:$P3&lt;&gt;"")*ISERROR(SEARCH($G3:$P3,W3)))</f>
        <v/>
      </c>
      <c r="Y3" s="10" t="inlineStr">
        <is>
          <t>'ele' é o relógio. Fala citada em narração, atribuída ao Investigador.</t>
        </is>
      </c>
    </row>
    <row r="4" ht="46.25" customHeight="1" s="8">
      <c r="A4" s="10" t="inlineStr">
        <is>
          <t>c6-03</t>
        </is>
      </c>
      <c r="B4" s="10" t="inlineStr">
        <is>
          <t>o relógio perdeu um minuto</t>
        </is>
      </c>
      <c r="C4" s="10" t="inlineStr">
        <is>
          <t>roteiro</t>
        </is>
      </c>
      <c r="D4" s="10" t="inlineStr">
        <is>
          <t>investigador (sem atribuição explícita)</t>
        </is>
      </c>
      <c r="E4" s="10" t="inlineStr">
        <is>
          <t>grupo</t>
        </is>
      </c>
      <c r="F4" s="10" t="n"/>
      <c r="G4" s="10" t="inlineStr">
        <is>
          <t>um minuto</t>
        </is>
      </c>
      <c r="H4" s="10" t="inlineStr">
        <is>
          <t>sozinho</t>
        </is>
      </c>
      <c r="I4" s="10" t="inlineStr">
        <is>
          <t>parou</t>
        </is>
      </c>
      <c r="J4" s="10" t="n"/>
      <c r="K4" s="10" t="n"/>
      <c r="L4" s="10" t="n"/>
      <c r="M4" s="10" t="n"/>
      <c r="N4" s="10" t="n"/>
      <c r="O4" s="10" t="n"/>
      <c r="P4" s="10" t="n"/>
      <c r="Q4" s="10" t="inlineStr">
        <is>
          <t>Não se perde um minuto sozinho. Alguém o parou.</t>
        </is>
      </c>
      <c r="R4" s="13" t="inlineStr">
        <is>
          <t>Não se perde um minuto sozinho, de jeito nenhum! Alguém o parou.</t>
        </is>
      </c>
      <c r="S4" s="13" t="inlineStr">
        <is>
          <t>Um minuto… não se perde sozinho. Alguém… o parou.</t>
        </is>
      </c>
      <c r="T4" s="13" t="inlineStr">
        <is>
          <t>Relógio não perde um minuto sozinho, perde? Então alguém o parou…</t>
        </is>
      </c>
      <c r="U4" s="13" t="inlineStr">
        <is>
          <t>Não se perde um minuto sozinho. Alguém o parou.</t>
        </is>
      </c>
      <c r="V4" s="13" t="inlineStr">
        <is>
          <t>Essa espera cansa… Mas não se perde um minuto sozinho. Alguém o parou.</t>
        </is>
      </c>
      <c r="W4" s="13" t="inlineStr">
        <is>
          <t>Um minuto não se perde sozinho. Conclusão: alguém o parou.</t>
        </is>
      </c>
      <c r="X4" s="10">
        <f>SUMPRODUCT(($G4:$P4&lt;&gt;"")*ISERROR(SEARCH($G4:$P4,R4)))+SUMPRODUCT(($G4:$P4&lt;&gt;"")*ISERROR(SEARCH($G4:$P4,S4)))+SUMPRODUCT(($G4:$P4&lt;&gt;"")*ISERROR(SEARCH($G4:$P4,T4)))+SUMPRODUCT(($G4:$P4&lt;&gt;"")*ISERROR(SEARCH($G4:$P4,U4)))+SUMPRODUCT(($G4:$P4&lt;&gt;"")*ISERROR(SEARCH($G4:$P4,V4)))+SUMPRODUCT(($G4:$P4&lt;&gt;"")*ISERROR(SEARCH($G4:$P4,W4)))</f>
        <v/>
      </c>
      <c r="Y4" s="10" t="inlineStr">
        <is>
          <t>Terceira aspa da mesma narração, sem 'disse'; tratada como continuação do Investigador. Seguida de narração: 'Todos olharam para o móvel...'.</t>
        </is>
      </c>
    </row>
    <row r="5" ht="79.84999999999999" customHeight="1" s="8">
      <c r="A5" s="10" t="inlineStr">
        <is>
          <t>c6-04</t>
        </is>
      </c>
      <c r="B5" s="10" t="inlineStr">
        <is>
          <t>o adendo lido na sala do relógio</t>
        </is>
      </c>
      <c r="C5" s="10" t="inlineStr">
        <is>
          <t>roteiro</t>
        </is>
      </c>
      <c r="D5" s="10" t="inlineStr">
        <is>
          <t>advogado | tabeliao | investigador (quemLe)</t>
        </is>
      </c>
      <c r="E5" s="10" t="inlineStr">
        <is>
          <t>grupo</t>
        </is>
      </c>
      <c r="F5" s="10" t="n"/>
      <c r="G5" s="10" t="inlineStr">
        <is>
          <t>manuscrito</t>
        </is>
      </c>
      <c r="H5" s="10" t="inlineStr">
        <is>
          <t>vale</t>
        </is>
      </c>
      <c r="I5" s="10" t="inlineStr">
        <is>
          <t>direito de morar</t>
        </is>
      </c>
      <c r="J5" s="10" t="inlineStr">
        <is>
          <t>venda</t>
        </is>
      </c>
      <c r="K5" s="10" t="inlineStr">
        <is>
          <t>abrir mão</t>
        </is>
      </c>
      <c r="L5" s="10" t="n"/>
      <c r="M5" s="10" t="n"/>
      <c r="N5" s="10" t="n"/>
      <c r="O5" s="10" t="n"/>
      <c r="P5" s="10" t="n"/>
      <c r="Q5" s="10" t="inlineStr">
        <is>
          <t>Manuscrito, datado, assinado. Se a letra for dele, vale. E um direito de morar para a vida inteira trava a venda da casa. Ninguém compra uma casa com alguém morando dentro por lei. Quem tiver isso pode pedir o que quiser para abrir mão.</t>
        </is>
      </c>
      <c r="R5" s="13" t="inlineStr">
        <is>
          <t>Manuscrito, datado, assinado. Se a letra for dele, vale, e pronto. Um direito de morar para a vida inteira trava a venda da casa! Ninguém compra casa com alguém morando dentro por lei. Quem tiver isso pede o que quiser para abrir mão.</t>
        </is>
      </c>
      <c r="S5" s="13" t="inlineStr">
        <is>
          <t>Manuscrito… datado. Assinado. Se a letra for dele… vale. Direito de morar, vida inteira… trava a venda da casa. Ninguém compra casa com alguém morando dentro, por lei. Quem tiver isso… pede o que quiser. Para abrir mão.</t>
        </is>
      </c>
      <c r="T5" s="13" t="inlineStr">
        <is>
          <t>É manuscrito, datado, assinado… se a letra for dele, vale, não é? E um direito de morar pela vida inteira trava a venda da casa. Ninguém compra casa com alguém morando dentro por lei, né? Quem tiver isso pode pedir o que quiser para abrir mão… é isso mesmo?</t>
        </is>
      </c>
      <c r="U5" s="13" t="inlineStr">
        <is>
          <t>Manuscrito, datado, assinado. Se a letra for dele, vale. E um direito de morar para a vida inteira trava a venda da casa. Ninguém compra uma casa com alguém morando dentro por lei. Quem tiver isso pode pedir o que quiser para abrir mão. É a casa dele que está em jogo.</t>
        </is>
      </c>
      <c r="V5" s="13" t="inlineStr">
        <is>
          <t>O cansaço já pesa… Manuscrito, datado, assinado. Se a letra for dele, vale. E um direito de morar para a vida inteira trava a venda da casa: ninguém compra casa com alguém morando dentro por lei. Quem tiver isso pode pedir o que quiser para abrir mão.</t>
        </is>
      </c>
      <c r="W5" s="13" t="inlineStr">
        <is>
          <t>Consta: manuscrito, datado, assinado. Se a letra for dele, vale. Efeito: direito de morar para a vida inteira trava a venda da casa; ninguém compra casa com alguém morando dentro por lei. Por fim: quem tiver isso pode pedir o que quiser para abrir mão.</t>
        </is>
      </c>
      <c r="X5" s="10">
        <f>SUMPRODUCT(($G5:$P5&lt;&gt;"")*ISERROR(SEARCH($G5:$P5,R5)))+SUMPRODUCT(($G5:$P5&lt;&gt;"")*ISERROR(SEARCH($G5:$P5,S5)))+SUMPRODUCT(($G5:$P5&lt;&gt;"")*ISERROR(SEARCH($G5:$P5,T5)))+SUMPRODUCT(($G5:$P5&lt;&gt;"")*ISERROR(SEARCH($G5:$P5,U5)))+SUMPRODUCT(($G5:$P5&lt;&gt;"")*ISERROR(SEARCH($G5:$P5,V5)))+SUMPRODUCT(($G5:$P5&lt;&gt;"")*ISERROR(SEARCH($G5:$P5,W5)))</f>
        <v/>
      </c>
      <c r="Y5" s="10" t="inlineStr">
        <is>
          <t>quemLe = advogado se presente, senão tabelião, senão investigador (todos masculinos). Enquadre: 'tirou os óculos' / 'ergueu os olhos'; depois a Herdeira senta.</t>
        </is>
      </c>
    </row>
    <row r="6" ht="57.45" customHeight="1" s="8">
      <c r="A6" s="10" t="inlineStr">
        <is>
          <t>c6-05</t>
        </is>
      </c>
      <c r="B6" s="10" t="inlineStr">
        <is>
          <t>a observadora compara o adendo com o caderno</t>
        </is>
      </c>
      <c r="C6" s="10" t="inlineStr">
        <is>
          <t>roteiro</t>
        </is>
      </c>
      <c r="D6" s="10" t="inlineStr">
        <is>
          <t>observadora</t>
        </is>
      </c>
      <c r="E6" s="10" t="inlineStr">
        <is>
          <t>grupo</t>
        </is>
      </c>
      <c r="F6" s="10" t="inlineStr">
        <is>
          <t>só na partida 6 (P===6)</t>
        </is>
      </c>
      <c r="G6" s="10" t="inlineStr">
        <is>
          <t>enquanto viver</t>
        </is>
      </c>
      <c r="H6" s="10" t="inlineStr">
        <is>
          <t>sépia</t>
        </is>
      </c>
      <c r="I6" s="10" t="inlineStr">
        <is>
          <t>outra tinta</t>
        </is>
      </c>
      <c r="J6" s="10" t="inlineStr">
        <is>
          <t>azul</t>
        </is>
      </c>
      <c r="K6" s="10" t="inlineStr">
        <is>
          <t>firme demais</t>
        </is>
      </c>
      <c r="L6" s="10" t="n"/>
      <c r="M6" s="10" t="n"/>
      <c r="N6" s="10" t="n"/>
      <c r="O6" s="10" t="n"/>
      <c r="P6" s="10" t="n"/>
      <c r="Q6" s="10" t="inlineStr">
        <is>
          <t>A letra dele vai até 'enquanto viver'. Trêmula, sépia. 'E o que dele se puder tirar' é outra tinta. Azul. A tinta do caderno. E a mão está firme demais para um homem que já não enxergava.</t>
        </is>
      </c>
      <c r="R6" s="13" t="inlineStr">
        <is>
          <t>A letra dele vai até 'enquanto viver'. Trêmula, sépia. 'E o que dele se puder tirar' é outra tinta, azul, a tinta do caderno! E a mão está firme demais para um homem que já não enxergava.</t>
        </is>
      </c>
      <c r="S6" s="13" t="inlineStr">
        <is>
          <t>A letra dele… até 'enquanto viver'. Trêmula. Sépia. 'E o que dele se puder tirar'… outra tinta. Azul. A do caderno. E a mão… firme demais. Para quem já não enxergava.</t>
        </is>
      </c>
      <c r="T6" s="13" t="inlineStr">
        <is>
          <t>A letra dele vai até 'enquanto viver', não vai? Trêmula, sépia… E 'o que dele se puder tirar' é outra tinta, acho. Azul, a do caderno. E a mão está firme demais para um homem que já não enxergava… ou estou vendo coisa?</t>
        </is>
      </c>
      <c r="U6" s="13" t="inlineStr">
        <is>
          <t>A letra dele vai até 'enquanto viver'. Trêmula, sépia. 'E o que dele se puder tirar' é outra tinta. Azul. A tinta do caderno. E a mão está firme demais para um homem que já não enxergava. Isso eu não deixo passar.</t>
        </is>
      </c>
      <c r="V6" s="13" t="inlineStr">
        <is>
          <t>Que umidade… A letra dele vai até 'enquanto viver'. Trêmula, sépia. 'E o que dele se puder tirar' é outra tinta. Azul, a do caderno. E a mão, firme demais para um homem que já não enxergava.</t>
        </is>
      </c>
      <c r="W6" s="13" t="inlineStr">
        <is>
          <t>Item um: letra dele até 'enquanto viver', trêmula, sépia. Item dois: 'e o que dele se puder tirar', outra tinta, azul, a do caderno. Item três: mão firme demais para quem já não enxergava.</t>
        </is>
      </c>
      <c r="X6" s="10">
        <f>SUMPRODUCT(($G6:$P6&lt;&gt;"")*ISERROR(SEARCH($G6:$P6,R6)))+SUMPRODUCT(($G6:$P6&lt;&gt;"")*ISERROR(SEARCH($G6:$P6,S6)))+SUMPRODUCT(($G6:$P6&lt;&gt;"")*ISERROR(SEARCH($G6:$P6,T6)))+SUMPRODUCT(($G6:$P6&lt;&gt;"")*ISERROR(SEARCH($G6:$P6,U6)))+SUMPRODUCT(($G6:$P6&lt;&gt;"")*ISERROR(SEARCH($G6:$P6,V6)))+SUMPRODUCT(($G6:$P6&lt;&gt;"")*ISERROR(SEARCH($G6:$P6,W6)))</f>
        <v/>
      </c>
      <c r="Y6" s="10" t="inlineStr">
        <is>
          <t>Fixa no código, mas só roda na P6 (a voz é a culpada). As aspas simples internas são \' no JS.</t>
        </is>
      </c>
    </row>
    <row r="7" ht="46.25" customHeight="1" s="8">
      <c r="A7" s="10" t="inlineStr">
        <is>
          <t>c6-06</t>
        </is>
      </c>
      <c r="B7" s="10" t="inlineStr">
        <is>
          <t>quem diz que esteve no fim</t>
        </is>
      </c>
      <c r="C7" s="10" t="inlineStr">
        <is>
          <t>roteiro</t>
        </is>
      </c>
      <c r="D7" s="10" t="inlineStr">
        <is>
          <t>chefe_de_cozinha</t>
        </is>
      </c>
      <c r="E7" s="10" t="inlineStr">
        <is>
          <t>grupo</t>
        </is>
      </c>
      <c r="F7" s="10" t="inlineStr">
        <is>
          <t>chefe presente, não é o impostor, partida ≠ 15</t>
        </is>
      </c>
      <c r="G7" s="10" t="inlineStr">
        <is>
          <t>cozinhei</t>
        </is>
      </c>
      <c r="H7" s="10" t="inlineStr">
        <is>
          <t>começo do ano</t>
        </is>
      </c>
      <c r="I7" s="10" t="n"/>
      <c r="J7" s="10" t="n"/>
      <c r="K7" s="10" t="n"/>
      <c r="L7" s="10" t="n"/>
      <c r="M7" s="10" t="n"/>
      <c r="N7" s="10" t="n"/>
      <c r="O7" s="10" t="n"/>
      <c r="P7" s="10" t="n"/>
      <c r="Q7" s="10" t="inlineStr">
        <is>
          <t>Eu cozinhei para ele até o começo do ano</t>
        </is>
      </c>
      <c r="R7" s="13" t="inlineStr">
        <is>
          <t>Eu cozinhei para ele até o começo do ano. Até o começo, e daí?</t>
        </is>
      </c>
      <c r="S7" s="13" t="inlineStr">
        <is>
          <t>Cozinhei para ele… até o começo do ano.</t>
        </is>
      </c>
      <c r="T7" s="13" t="inlineStr">
        <is>
          <t>Eu cozinhei para ele até o começo do ano… isso conta, não conta?</t>
        </is>
      </c>
      <c r="U7" s="13" t="inlineStr">
        <is>
          <t>Eu cozinhei para ele até o começo do ano. Ele merecia.</t>
        </is>
      </c>
      <c r="V7" s="13" t="inlineStr">
        <is>
          <t>Que fome dá essa chuva… Eu cozinhei para ele até o começo do ano.</t>
        </is>
      </c>
      <c r="W7" s="13" t="inlineStr">
        <is>
          <t>Para constar: cozinhei para ele até o começo do ano.</t>
        </is>
      </c>
      <c r="X7" s="10">
        <f>SUMPRODUCT(($G7:$P7&lt;&gt;"")*ISERROR(SEARCH($G7:$P7,R7)))+SUMPRODUCT(($G7:$P7&lt;&gt;"")*ISERROR(SEARCH($G7:$P7,S7)))+SUMPRODUCT(($G7:$P7&lt;&gt;"")*ISERROR(SEARCH($G7:$P7,T7)))+SUMPRODUCT(($G7:$P7&lt;&gt;"")*ISERROR(SEARCH($G7:$P7,U7)))+SUMPRODUCT(($G7:$P7&lt;&gt;"")*ISERROR(SEARCH($G7:$P7,V7)))+SUMPRODUCT(($G7:$P7&lt;&gt;"")*ISERROR(SEARCH($G7:$P7,W7)))</f>
        <v/>
      </c>
      <c r="Y7" s="10" t="inlineStr">
        <is>
          <t>Enquadre: 'disse o Chefe de Cozinha, baixo, sem saber por que dizia' — por isso o explosivo vai sem exclamação. Código fecha com '.' após as aspas.</t>
        </is>
      </c>
    </row>
    <row r="8" ht="46.25" customHeight="1" s="8">
      <c r="A8" s="10" t="inlineStr">
        <is>
          <t>c6-07</t>
        </is>
      </c>
      <c r="B8" s="10" t="inlineStr">
        <is>
          <t>quem diz que esteve no fim</t>
        </is>
      </c>
      <c r="C8" s="10" t="inlineStr">
        <is>
          <t>roteiro</t>
        </is>
      </c>
      <c r="D8" s="10" t="inlineStr">
        <is>
          <t>chefe_de_cozinha</t>
        </is>
      </c>
      <c r="E8" s="10" t="inlineStr">
        <is>
          <t>grupo</t>
        </is>
      </c>
      <c r="F8" s="10" t="inlineStr">
        <is>
          <t>chefe presente, não é o impostor, partida 15</t>
        </is>
      </c>
      <c r="G8" s="10" t="inlineStr">
        <is>
          <t>caldo</t>
        </is>
      </c>
      <c r="H8" s="10" t="inlineStr">
        <is>
          <t>até o fim</t>
        </is>
      </c>
      <c r="I8" s="10" t="n"/>
      <c r="J8" s="10" t="n"/>
      <c r="K8" s="10" t="n"/>
      <c r="L8" s="10" t="n"/>
      <c r="M8" s="10" t="n"/>
      <c r="N8" s="10" t="n"/>
      <c r="O8" s="10" t="n"/>
      <c r="P8" s="10" t="n"/>
      <c r="Q8" s="10" t="inlineStr">
        <is>
          <t>Fiz o caldo dele até o fim</t>
        </is>
      </c>
      <c r="R8" s="13" t="inlineStr">
        <is>
          <t>Fiz o caldo dele até o fim. Pronto, falei.</t>
        </is>
      </c>
      <c r="S8" s="13" t="inlineStr">
        <is>
          <t>O caldo dele… fiz até o fim.</t>
        </is>
      </c>
      <c r="T8" s="13" t="inlineStr">
        <is>
          <t>Fiz o caldo dele até o fim… é isso que vocês querem saber, não é?</t>
        </is>
      </c>
      <c r="U8" s="13" t="inlineStr">
        <is>
          <t>Fiz o caldo dele até o fim. Até o fim mesmo.</t>
        </is>
      </c>
      <c r="V8" s="13" t="inlineStr">
        <is>
          <t>Essa demora toda… Fiz o caldo dele até o fim.</t>
        </is>
      </c>
      <c r="W8" s="13" t="inlineStr">
        <is>
          <t>Fiz o caldo dele até o fim. É o que tenho a declarar.</t>
        </is>
      </c>
      <c r="X8" s="10">
        <f>SUMPRODUCT(($G8:$P8&lt;&gt;"")*ISERROR(SEARCH($G8:$P8,R8)))+SUMPRODUCT(($G8:$P8&lt;&gt;"")*ISERROR(SEARCH($G8:$P8,S8)))+SUMPRODUCT(($G8:$P8&lt;&gt;"")*ISERROR(SEARCH($G8:$P8,T8)))+SUMPRODUCT(($G8:$P8&lt;&gt;"")*ISERROR(SEARCH($G8:$P8,U8)))+SUMPRODUCT(($G8:$P8&lt;&gt;"")*ISERROR(SEARCH($G8:$P8,V8)))+SUMPRODUCT(($G8:$P8&lt;&gt;"")*ISERROR(SEARCH($G8:$P8,W8)))</f>
        <v/>
      </c>
      <c r="Y8" s="10" t="inlineStr">
        <is>
          <t>Mesmo enquadre 'baixo, sem saber por que dizia'. Ver dúvida: FIM_R2 não tem a partida 15, então C6_R2X retorna null nela.</t>
        </is>
      </c>
    </row>
    <row r="9" ht="35.05" customHeight="1" s="8">
      <c r="A9" s="10" t="inlineStr">
        <is>
          <t>c6-08</t>
        </is>
      </c>
      <c r="B9" s="10" t="inlineStr">
        <is>
          <t>quem diz que esteve no fim</t>
        </is>
      </c>
      <c r="C9" s="10" t="inlineStr">
        <is>
          <t>roteiro</t>
        </is>
      </c>
      <c r="D9" s="10" t="inlineStr">
        <is>
          <t>governanta</t>
        </is>
      </c>
      <c r="E9" s="10" t="inlineStr">
        <is>
          <t>grupo</t>
        </is>
      </c>
      <c r="F9" s="10" t="inlineStr">
        <is>
          <t>governanta presente e não é o impostor</t>
        </is>
      </c>
      <c r="G9" s="10" t="inlineStr">
        <is>
          <t>terças</t>
        </is>
      </c>
      <c r="H9" s="10" t="inlineStr">
        <is>
          <t>depois</t>
        </is>
      </c>
      <c r="I9" s="10" t="inlineStr">
        <is>
          <t>arejar</t>
        </is>
      </c>
      <c r="J9" s="10" t="n"/>
      <c r="K9" s="10" t="n"/>
      <c r="L9" s="10" t="n"/>
      <c r="M9" s="10" t="n"/>
      <c r="N9" s="10" t="n"/>
      <c r="O9" s="10" t="n"/>
      <c r="P9" s="10" t="n"/>
      <c r="Q9" s="10" t="inlineStr">
        <is>
          <t>Eu vinha às terças. Depois. Para arejar</t>
        </is>
      </c>
      <c r="R9" s="13" t="inlineStr">
        <is>
          <t>Eu vinha às terças. Depois. Para arejar, só isso!</t>
        </is>
      </c>
      <c r="S9" s="13" t="inlineStr">
        <is>
          <t>Às terças… eu vinha. Depois. Para arejar.</t>
        </is>
      </c>
      <c r="T9" s="13" t="inlineStr">
        <is>
          <t>Eu vinha às terças… depois, sabe? Para arejar. Não tinha problema, tinha?</t>
        </is>
      </c>
      <c r="U9" s="13" t="inlineStr">
        <is>
          <t>Eu vinha às terças. Depois. Para arejar.</t>
        </is>
      </c>
      <c r="V9" s="13" t="inlineStr">
        <is>
          <t>Que frio… Eu vinha às terças. Depois. Para arejar.</t>
        </is>
      </c>
      <c r="W9" s="13" t="inlineStr">
        <is>
          <t>Frequência: eu vinha às terças. Depois. Finalidade: arejar.</t>
        </is>
      </c>
      <c r="X9" s="10">
        <f>SUMPRODUCT(($G9:$P9&lt;&gt;"")*ISERROR(SEARCH($G9:$P9,R9)))+SUMPRODUCT(($G9:$P9&lt;&gt;"")*ISERROR(SEARCH($G9:$P9,S9)))+SUMPRODUCT(($G9:$P9&lt;&gt;"")*ISERROR(SEARCH($G9:$P9,T9)))+SUMPRODUCT(($G9:$P9&lt;&gt;"")*ISERROR(SEARCH($G9:$P9,U9)))+SUMPRODUCT(($G9:$P9&lt;&gt;"")*ISERROR(SEARCH($G9:$P9,V9)))+SUMPRODUCT(($G9:$P9&lt;&gt;"")*ISERROR(SEARCH($G9:$P9,W9)))</f>
        <v/>
      </c>
      <c r="Y9" s="10" t="inlineStr">
        <is>
          <t>'Depois' fica ambíguo de propósito, como no original.</t>
        </is>
      </c>
    </row>
    <row r="10" ht="35.05" customHeight="1" s="8">
      <c r="A10" s="10" t="inlineStr">
        <is>
          <t>c6-09</t>
        </is>
      </c>
      <c r="B10" s="10" t="inlineStr">
        <is>
          <t>quem diz que esteve no fim</t>
        </is>
      </c>
      <c r="C10" s="10" t="inlineStr">
        <is>
          <t>roteiro</t>
        </is>
      </c>
      <c r="D10" s="10" t="inlineStr">
        <is>
          <t>jardineiro</t>
        </is>
      </c>
      <c r="E10" s="10" t="inlineStr">
        <is>
          <t>grupo</t>
        </is>
      </c>
      <c r="F10" s="10" t="inlineStr">
        <is>
          <t>jardineiro presente e não é o impostor</t>
        </is>
      </c>
      <c r="G10" s="10" t="inlineStr">
        <is>
          <t>jasmim</t>
        </is>
      </c>
      <c r="H10" s="10" t="inlineStr">
        <is>
          <t>cuidava</t>
        </is>
      </c>
      <c r="I10" s="10" t="inlineStr">
        <is>
          <t>era eu</t>
        </is>
      </c>
      <c r="J10" s="10" t="n"/>
      <c r="K10" s="10" t="n"/>
      <c r="L10" s="10" t="n"/>
      <c r="M10" s="10" t="n"/>
      <c r="N10" s="10" t="n"/>
      <c r="O10" s="10" t="n"/>
      <c r="P10" s="10" t="n"/>
      <c r="Q10" s="10" t="inlineStr">
        <is>
          <t>Quem cuidava do jasmim era eu</t>
        </is>
      </c>
      <c r="R10" s="13" t="inlineStr">
        <is>
          <t>Quem cuidava do jasmim era eu! Algum problema?</t>
        </is>
      </c>
      <c r="S10" s="13" t="inlineStr">
        <is>
          <t>O jasmim… quem cuidava era eu.</t>
        </is>
      </c>
      <c r="T10" s="13" t="inlineStr">
        <is>
          <t>Quem cuidava do jasmim era eu… isso importa, não é?</t>
        </is>
      </c>
      <c r="U10" s="13" t="inlineStr">
        <is>
          <t>Quem cuidava do jasmim era eu.</t>
        </is>
      </c>
      <c r="V10" s="13" t="inlineStr">
        <is>
          <t>Lá fora, essa chuva… Quem cuidava do jasmim era eu.</t>
        </is>
      </c>
      <c r="W10" s="13" t="inlineStr">
        <is>
          <t>Quem cuidava do jasmim era eu. Fica anotado.</t>
        </is>
      </c>
      <c r="X10" s="10">
        <f>SUMPRODUCT(($G10:$P10&lt;&gt;"")*ISERROR(SEARCH($G10:$P10,R10)))+SUMPRODUCT(($G10:$P10&lt;&gt;"")*ISERROR(SEARCH($G10:$P10,S10)))+SUMPRODUCT(($G10:$P10&lt;&gt;"")*ISERROR(SEARCH($G10:$P10,T10)))+SUMPRODUCT(($G10:$P10&lt;&gt;"")*ISERROR(SEARCH($G10:$P10,U10)))+SUMPRODUCT(($G10:$P10&lt;&gt;"")*ISERROR(SEARCH($G10:$P10,V10)))+SUMPRODUCT(($G10:$P10&lt;&gt;"")*ISERROR(SEARCH($G10:$P10,W10)))</f>
        <v/>
      </c>
      <c r="Y10" s="10" t="n"/>
    </row>
    <row r="11" ht="46.25" customHeight="1" s="8">
      <c r="A11" s="10" t="inlineStr">
        <is>
          <t>c6-10</t>
        </is>
      </c>
      <c r="B11" s="10" t="inlineStr">
        <is>
          <t>quem diz que esteve no fim</t>
        </is>
      </c>
      <c r="C11" s="10" t="inlineStr">
        <is>
          <t>roteiro</t>
        </is>
      </c>
      <c r="D11" s="10" t="inlineStr">
        <is>
          <t>tabeliao</t>
        </is>
      </c>
      <c r="E11" s="10" t="inlineStr">
        <is>
          <t>grupo</t>
        </is>
      </c>
      <c r="F11" s="10" t="inlineStr">
        <is>
          <t>tabelião presente e houve pelo menos um 'dito'</t>
        </is>
      </c>
      <c r="G11" s="10" t="inlineStr">
        <is>
          <t>ata</t>
        </is>
      </c>
      <c r="H11" s="10" t="inlineStr">
        <is>
          <t>sentimento</t>
        </is>
      </c>
      <c r="I11" s="10" t="inlineStr">
        <is>
          <t>fato</t>
        </is>
      </c>
      <c r="J11" s="10" t="n"/>
      <c r="K11" s="10" t="n"/>
      <c r="L11" s="10" t="n"/>
      <c r="M11" s="10" t="n"/>
      <c r="N11" s="10" t="n"/>
      <c r="O11" s="10" t="n"/>
      <c r="P11" s="10" t="n"/>
      <c r="Q11" s="10" t="inlineStr">
        <is>
          <t>Ata não registra sentimento. Registra fato.</t>
        </is>
      </c>
      <c r="R11" s="13" t="inlineStr">
        <is>
          <t>Ata não registra sentimento! Registra fato. Poupem-me.</t>
        </is>
      </c>
      <c r="S11" s="13" t="inlineStr">
        <is>
          <t>Ata… não registra sentimento. Registra fato.</t>
        </is>
      </c>
      <c r="T11" s="13" t="inlineStr">
        <is>
          <t>A ata não registra sentimento, não é? Só fato… desculpem.</t>
        </is>
      </c>
      <c r="U11" s="13" t="inlineStr">
        <is>
          <t>Ata não registra sentimento. Registra fato.</t>
        </is>
      </c>
      <c r="V11" s="13" t="inlineStr">
        <is>
          <t>Todo mundo cansado, eu entendo… Mas ata não registra sentimento. Registra fato.</t>
        </is>
      </c>
      <c r="W11" s="13" t="inlineStr">
        <is>
          <t>Ata: não registra sentimento. Registra fato.</t>
        </is>
      </c>
      <c r="X11" s="10">
        <f>SUMPRODUCT(($G11:$P11&lt;&gt;"")*ISERROR(SEARCH($G11:$P11,R11)))+SUMPRODUCT(($G11:$P11&lt;&gt;"")*ISERROR(SEARCH($G11:$P11,S11)))+SUMPRODUCT(($G11:$P11&lt;&gt;"")*ISERROR(SEARCH($G11:$P11,T11)))+SUMPRODUCT(($G11:$P11&lt;&gt;"")*ISERROR(SEARCH($G11:$P11,U11)))+SUMPRODUCT(($G11:$P11&lt;&gt;"")*ISERROR(SEARCH($G11:$P11,V11)))+SUMPRODUCT(($G11:$P11&lt;&gt;"")*ISERROR(SEARCH($G11:$P11,W11)))</f>
        <v/>
      </c>
      <c r="Y11" s="10" t="inlineStr">
        <is>
          <t>Duas aspas partidas por narração: 'disse o Tabelião, sem levantar os olhos do papel'.</t>
        </is>
      </c>
    </row>
    <row r="12" ht="68.65000000000001" customHeight="1" s="8">
      <c r="A12" s="10" t="inlineStr">
        <is>
          <t>c6-11</t>
        </is>
      </c>
      <c r="B12" s="10" t="inlineStr">
        <is>
          <t>a voz depois da fuga e do adendo</t>
        </is>
      </c>
      <c r="C12" s="10" t="inlineStr">
        <is>
          <t>voz</t>
        </is>
      </c>
      <c r="D12" s="10" t="inlineStr">
        <is>
          <t>acompanhante</t>
        </is>
      </c>
      <c r="E12" s="10" t="inlineStr">
        <is>
          <t>grupo (número desconhecido)</t>
        </is>
      </c>
      <c r="F12" s="10" t="n"/>
      <c r="G12" s="10" t="inlineStr">
        <is>
          <t>esteve aqui</t>
        </is>
      </c>
      <c r="H12" s="10" t="inlineStr">
        <is>
          <t>dias</t>
        </is>
      </c>
      <c r="I12" s="10" t="n"/>
      <c r="J12" s="10" t="n"/>
      <c r="K12" s="10" t="n"/>
      <c r="L12" s="10" t="n"/>
      <c r="M12" s="10" t="n"/>
      <c r="N12" s="10" t="n"/>
      <c r="O12" s="10" t="n"/>
      <c r="P12" s="10" t="n"/>
      <c r="Q12" s="10" t="inlineStr">
        <is>
          <t>guardia: Está tudo aí. Leiam. | explosiva: Agora é tarde para bater na porta. | ardilosa: Um de vocês vai dizer que esteve aqui. Contem os dias. | quieta: Leiam.</t>
        </is>
      </c>
      <c r="R12" s="13" t="inlineStr">
        <is>
          <t>Alguém aí vai jurar que esteve aqui! Contem os dias, pelo menos.</t>
        </is>
      </c>
      <c r="S12" s="13" t="inlineStr">
        <is>
          <t>Alguém… vai dizer que esteve aqui. Os dias. Contem.</t>
        </is>
      </c>
      <c r="T12" s="13" t="inlineStr">
        <is>
          <t>Alguém vai dizer que esteve aqui, não vai? Contem os dias… por favor.</t>
        </is>
      </c>
      <c r="U12" s="13" t="inlineStr">
        <is>
          <t>Alguém vai dizer que esteve aqui. Contem os dias. Todos.</t>
        </is>
      </c>
      <c r="V12" s="13" t="inlineStr">
        <is>
          <t>Um de vocês vai dizer que esteve aqui. Contem os dias.</t>
        </is>
      </c>
      <c r="W12" s="13" t="inlineStr">
        <is>
          <t>Previsão: um de vocês dirá que esteve aqui. Conferência: os dias.</t>
        </is>
      </c>
      <c r="X12" s="10">
        <f>SUMPRODUCT(($G12:$P12&lt;&gt;"")*ISERROR(SEARCH($G12:$P12,R12)))+SUMPRODUCT(($G12:$P12&lt;&gt;"")*ISERROR(SEARCH($G12:$P12,S12)))+SUMPRODUCT(($G12:$P12&lt;&gt;"")*ISERROR(SEARCH($G12:$P12,T12)))+SUMPRODUCT(($G12:$P12&lt;&gt;"")*ISERROR(SEARCH($G12:$P12,U12)))+SUMPRODUCT(($G12:$P12&lt;&gt;"")*ISERROR(SEARCH($G12:$P12,V12)))+SUMPRODUCT(($G12:$P12&lt;&gt;"")*ISERROR(SEARCH($G12:$P12,W12)))</f>
        <v/>
      </c>
      <c r="Y12" s="10" t="inlineStr">
        <is>
          <t>Função (passada 2): alguém vai dizer que esteve aqui; contem os dias. Evasivo = texto exato da ardilosa (P2, P6, P15). Os outros cinco dizem a mesma função, sem "leiam" e sem "tarde para bater na porta".</t>
        </is>
      </c>
    </row>
    <row r="13" ht="57.45" customHeight="1" s="8">
      <c r="A13" s="10" t="inlineStr">
        <is>
          <t>c6-12</t>
        </is>
      </c>
      <c r="B13" s="10" t="inlineStr">
        <is>
          <t>a ata de quem estava onde</t>
        </is>
      </c>
      <c r="C13" s="10" t="inlineStr">
        <is>
          <t>roteiro</t>
        </is>
      </c>
      <c r="D13" s="10" t="inlineStr">
        <is>
          <t>tabeliao | policial (cond)</t>
        </is>
      </c>
      <c r="E13" s="10" t="inlineStr">
        <is>
          <t>grupo</t>
        </is>
      </c>
      <c r="F13" s="10" t="n"/>
      <c r="G13" s="10" t="inlineStr">
        <is>
          <t>para a ata</t>
        </is>
      </c>
      <c r="H13" s="10" t="n"/>
      <c r="I13" s="10" t="n"/>
      <c r="J13" s="10" t="n"/>
      <c r="K13" s="10" t="n"/>
      <c r="L13" s="10" t="n"/>
      <c r="M13" s="10" t="n"/>
      <c r="N13" s="10" t="n"/>
      <c r="O13" s="10" t="n"/>
      <c r="P13" s="10" t="n"/>
      <c r="Q13" s="10" t="inlineStr">
        <is>
          <t>Para a ata.</t>
        </is>
      </c>
      <c r="R13" s="13" t="inlineStr">
        <is>
          <t>Para a ata!</t>
        </is>
      </c>
      <c r="S13" s="13" t="inlineStr">
        <is>
          <t>… Para a ata.</t>
        </is>
      </c>
      <c r="T13" s="13" t="inlineStr">
        <is>
          <t>Para a ata…</t>
        </is>
      </c>
      <c r="U13" s="13" t="inlineStr">
        <is>
          <t>Para a ata.</t>
        </is>
      </c>
      <c r="V13" s="13" t="inlineStr">
        <is>
          <t>Hum… para a ata.</t>
        </is>
      </c>
      <c r="W13" s="13" t="inlineStr">
        <is>
          <t>Para a ata.</t>
        </is>
      </c>
      <c r="X13" s="10">
        <f>SUMPRODUCT(($G13:$P13&lt;&gt;"")*ISERROR(SEARCH($G13:$P13,R13)))+SUMPRODUCT(($G13:$P13&lt;&gt;"")*ISERROR(SEARCH($G13:$P13,S13)))+SUMPRODUCT(($G13:$P13&lt;&gt;"")*ISERROR(SEARCH($G13:$P13,T13)))+SUMPRODUCT(($G13:$P13&lt;&gt;"")*ISERROR(SEARCH($G13:$P13,U13)))+SUMPRODUCT(($G13:$P13&lt;&gt;"")*ISERROR(SEARCH($G13:$P13,V13)))+SUMPRODUCT(($G13:$P13&lt;&gt;"")*ISERROR(SEARCH($G13:$P13,W13)))</f>
        <v/>
      </c>
      <c r="Y13" s="10" t="inlineStr">
        <is>
          <t>cond = tabeliao se presente, senão policial. Fala de três palavras: um item só. Enquadre: 'pediu que cada um dissesse onde estava no escuro, e quem tinha visto quem'.</t>
        </is>
      </c>
    </row>
    <row r="14" ht="35.05" customHeight="1" s="8">
      <c r="A14" s="10" t="inlineStr">
        <is>
          <t>c6-13</t>
        </is>
      </c>
      <c r="B14" s="10" t="inlineStr">
        <is>
          <t>depois de quem estava onde</t>
        </is>
      </c>
      <c r="C14" s="10" t="inlineStr">
        <is>
          <t>chat</t>
        </is>
      </c>
      <c r="D14" s="10" t="inlineStr">
        <is>
          <t>voz(['herdeira','jornalista','residente'],imp)</t>
        </is>
      </c>
      <c r="E14" s="10" t="inlineStr">
        <is>
          <t>grupo</t>
        </is>
      </c>
      <c r="F14" s="10" t="n"/>
      <c r="G14" s="10" t="inlineStr">
        <is>
          <t>caderno</t>
        </is>
      </c>
      <c r="H14" s="10" t="inlineStr">
        <is>
          <t>disse outra</t>
        </is>
      </c>
      <c r="I14" s="10" t="inlineStr">
        <is>
          <t>marcou</t>
        </is>
      </c>
      <c r="J14" s="10" t="n"/>
      <c r="K14" s="10" t="n"/>
      <c r="L14" s="10" t="n"/>
      <c r="M14" s="10" t="n"/>
      <c r="N14" s="10" t="n"/>
      <c r="O14" s="10" t="n"/>
      <c r="P14" s="10" t="n"/>
      <c r="Q14" s="10" t="inlineStr">
        <is>
          <t>O caderno diz uma coisa e alguém aqui disse outra. Alguém marcou o que foi dito?</t>
        </is>
      </c>
      <c r="R14" s="13" t="inlineStr">
        <is>
          <t>O caderno diz uma coisa e alguém aqui disse outra! Alguém marcou o que foi dito ou não?</t>
        </is>
      </c>
      <c r="S14" s="13" t="inlineStr">
        <is>
          <t>O caderno… diz uma coisa. Alguém aqui disse outra. Alguém marcou… o que foi dito?</t>
        </is>
      </c>
      <c r="T14" s="13" t="inlineStr">
        <is>
          <t>O caderno diz uma coisa e alguém aqui disse outra, não é? Alguém marcou o que foi dito? Por favor, diz que sim.</t>
        </is>
      </c>
      <c r="U14" s="13" t="inlineStr">
        <is>
          <t>O caderno diz uma coisa e alguém aqui disse outra. Alguém marcou o que foi dito?</t>
        </is>
      </c>
      <c r="V14" s="13" t="inlineStr">
        <is>
          <t>Já perdi a conta das horas… O caderno diz uma coisa e alguém aqui disse outra. Alguém marcou o que foi dito?</t>
        </is>
      </c>
      <c r="W14" s="13" t="inlineStr">
        <is>
          <t>Divergência: o caderno diz uma coisa, alguém aqui disse outra. Pergunta: alguém marcou o que foi dito?</t>
        </is>
      </c>
      <c r="X14" s="10">
        <f>SUMPRODUCT(($G14:$P14&lt;&gt;"")*ISERROR(SEARCH($G14:$P14,R14)))+SUMPRODUCT(($G14:$P14&lt;&gt;"")*ISERROR(SEARCH($G14:$P14,S14)))+SUMPRODUCT(($G14:$P14&lt;&gt;"")*ISERROR(SEARCH($G14:$P14,T14)))+SUMPRODUCT(($G14:$P14&lt;&gt;"")*ISERROR(SEARCH($G14:$P14,U14)))+SUMPRODUCT(($G14:$P14&lt;&gt;"")*ISERROR(SEARCH($G14:$P14,V14)))+SUMPRODUCT(($G14:$P14&lt;&gt;"")*ISERROR(SEARCH($G14:$P14,W14)))</f>
        <v/>
      </c>
      <c r="Y14" s="10" t="inlineStr">
        <is>
          <t>Falante varia de gênero: sem adjetivo sobre si.</t>
        </is>
      </c>
    </row>
    <row r="15" ht="46.25" customHeight="1" s="8">
      <c r="A15" s="10" t="inlineStr">
        <is>
          <t>c6-14</t>
        </is>
      </c>
      <c r="B15" s="10" t="inlineStr">
        <is>
          <t>depois de quem estava onde</t>
        </is>
      </c>
      <c r="C15" s="10" t="inlineStr">
        <is>
          <t>privado</t>
        </is>
      </c>
      <c r="D15" s="10" t="inlineStr">
        <is>
          <t>voz(['observadora','investigador','herdeira','policial'],imp)</t>
        </is>
      </c>
      <c r="E15" s="10" t="inlineStr">
        <is>
          <t>jogador no privado</t>
        </is>
      </c>
      <c r="F15" s="10" t="n"/>
      <c r="G15" s="10" t="inlineStr">
        <is>
          <t>caderno</t>
        </is>
      </c>
      <c r="H15" s="10" t="inlineStr">
        <is>
          <t>cada um disse</t>
        </is>
      </c>
      <c r="I15" s="10" t="inlineStr">
        <is>
          <t>lembranças</t>
        </is>
      </c>
      <c r="J15" s="10" t="inlineStr">
        <is>
          <t>não fecha</t>
        </is>
      </c>
      <c r="K15" s="10" t="n"/>
      <c r="L15" s="10" t="n"/>
      <c r="M15" s="10" t="n"/>
      <c r="N15" s="10" t="n"/>
      <c r="O15" s="10" t="n"/>
      <c r="P15" s="10" t="n"/>
      <c r="Q15" s="10" t="inlineStr">
        <is>
          <t>Confira o caderno com o que cada um disse antes. Uma das lembranças não fecha.</t>
        </is>
      </c>
      <c r="R15" s="13" t="inlineStr">
        <is>
          <t>Confira o caderno com o que cada um disse antes! Uma das lembranças não fecha.</t>
        </is>
      </c>
      <c r="S15" s="13" t="inlineStr">
        <is>
          <t>O caderno… confira com o que cada um disse. Antes. Uma das lembranças… não fecha.</t>
        </is>
      </c>
      <c r="T15" s="13" t="inlineStr">
        <is>
          <t>Confira o caderno com o que cada um disse antes… uma das lembranças não fecha. Você também reparou?</t>
        </is>
      </c>
      <c r="U15" s="13" t="inlineStr">
        <is>
          <t>Confira o caderno com o que cada um disse antes. Uma das lembranças não fecha.</t>
        </is>
      </c>
      <c r="V15" s="13" t="inlineStr">
        <is>
          <t>Tanta gente falando a noite toda, a gente cansa… Confira o caderno com o que cada um disse antes. Uma das lembranças não fecha.</t>
        </is>
      </c>
      <c r="W15" s="13" t="inlineStr">
        <is>
          <t>Procedimento: conferir o caderno com o que cada um disse antes. Resultado: uma das lembranças não fecha.</t>
        </is>
      </c>
      <c r="X15" s="10">
        <f>SUMPRODUCT(($G15:$P15&lt;&gt;"")*ISERROR(SEARCH($G15:$P15,R15)))+SUMPRODUCT(($G15:$P15&lt;&gt;"")*ISERROR(SEARCH($G15:$P15,S15)))+SUMPRODUCT(($G15:$P15&lt;&gt;"")*ISERROR(SEARCH($G15:$P15,T15)))+SUMPRODUCT(($G15:$P15&lt;&gt;"")*ISERROR(SEARCH($G15:$P15,U15)))+SUMPRODUCT(($G15:$P15&lt;&gt;"")*ISERROR(SEARCH($G15:$P15,V15)))+SUMPRODUCT(($G15:$P15&lt;&gt;"")*ISERROR(SEARCH($G15:$P15,W15)))</f>
        <v/>
      </c>
      <c r="Y15" s="10" t="inlineStr">
        <is>
          <t>Falante varia de gênero.</t>
        </is>
      </c>
    </row>
    <row r="16" ht="35.05" customHeight="1" s="8">
      <c r="A16" s="10" t="inlineStr">
        <is>
          <t>c6-15</t>
        </is>
      </c>
      <c r="B16" s="10" t="inlineStr">
        <is>
          <t>resposta: o que está escrito no caderno</t>
        </is>
      </c>
      <c r="C16" s="10" t="inlineStr">
        <is>
          <t>resposta</t>
        </is>
      </c>
      <c r="D16" s="10" t="inlineStr">
        <is>
          <t>fala(['investigador','observadora'])</t>
        </is>
      </c>
      <c r="E16" s="10" t="inlineStr">
        <is>
          <t>grupo</t>
        </is>
      </c>
      <c r="F16" s="10" t="n"/>
      <c r="G16" s="10" t="inlineStr">
        <is>
          <t>rotina</t>
        </is>
      </c>
      <c r="H16" s="10" t="inlineStr">
        <is>
          <t>bateu à porta</t>
        </is>
      </c>
      <c r="I16" s="10" t="inlineStr">
        <is>
          <t>compare</t>
        </is>
      </c>
      <c r="J16" s="10" t="n"/>
      <c r="K16" s="10" t="n"/>
      <c r="L16" s="10" t="n"/>
      <c r="M16" s="10" t="n"/>
      <c r="N16" s="10" t="n"/>
      <c r="O16" s="10" t="n"/>
      <c r="P16" s="10" t="n"/>
      <c r="Q16" s="10" t="inlineStr">
        <is>
          <t>A rotina dele, e quem bateu à porta. Compare com o que cada um disse.</t>
        </is>
      </c>
      <c r="R16" s="13" t="inlineStr">
        <is>
          <t>A rotina dele, e quem bateu à porta! Compare com o que cada um disse.</t>
        </is>
      </c>
      <c r="S16" s="13" t="inlineStr">
        <is>
          <t>A rotina dele… e quem bateu à porta. Compare. Com o que cada um disse.</t>
        </is>
      </c>
      <c r="T16" s="13" t="inlineStr">
        <is>
          <t>A rotina dele e quem bateu à porta… Compare com o que cada um disse, pode ser?</t>
        </is>
      </c>
      <c r="U16" s="13" t="inlineStr">
        <is>
          <t>A rotina dele, e quem bateu à porta. Compare com o que cada um disse.</t>
        </is>
      </c>
      <c r="V16" s="13" t="inlineStr">
        <is>
          <t>Muita coisa, e esse cansaço… A rotina dele, e quem bateu à porta. Compare com o que cada um disse.</t>
        </is>
      </c>
      <c r="W16" s="13" t="inlineStr">
        <is>
          <t>Conteúdo: a rotina dele; quem bateu à porta. Instrução: compare com o que cada um disse.</t>
        </is>
      </c>
      <c r="X16" s="10">
        <f>SUMPRODUCT(($G16:$P16&lt;&gt;"")*ISERROR(SEARCH($G16:$P16,R16)))+SUMPRODUCT(($G16:$P16&lt;&gt;"")*ISERROR(SEARCH($G16:$P16,S16)))+SUMPRODUCT(($G16:$P16&lt;&gt;"")*ISERROR(SEARCH($G16:$P16,T16)))+SUMPRODUCT(($G16:$P16&lt;&gt;"")*ISERROR(SEARCH($G16:$P16,U16)))+SUMPRODUCT(($G16:$P16&lt;&gt;"")*ISERROR(SEARCH($G16:$P16,V16)))+SUMPRODUCT(($G16:$P16&lt;&gt;"")*ISERROR(SEARCH($G16:$P16,W16)))</f>
        <v/>
      </c>
      <c r="Y16" s="10" t="inlineStr">
        <is>
          <t>Falante varia de gênero.</t>
        </is>
      </c>
    </row>
    <row r="17" ht="35.05" customHeight="1" s="8">
      <c r="A17" s="10" t="inlineStr">
        <is>
          <t>c6-16</t>
        </is>
      </c>
      <c r="B17" s="10" t="inlineStr">
        <is>
          <t>resposta: de quem é esse direito</t>
        </is>
      </c>
      <c r="C17" s="10" t="inlineStr">
        <is>
          <t>resposta</t>
        </is>
      </c>
      <c r="D17" s="10" t="inlineStr">
        <is>
          <t>fala([quemLe,'tabeliao','advogado'])</t>
        </is>
      </c>
      <c r="E17" s="10" t="inlineStr">
        <is>
          <t>grupo</t>
        </is>
      </c>
      <c r="F17" s="10" t="n"/>
      <c r="G17" s="10" t="inlineStr">
        <is>
          <t>esteve com ele no fim</t>
        </is>
      </c>
      <c r="H17" s="10" t="inlineStr">
        <is>
          <t>nome</t>
        </is>
      </c>
      <c r="I17" s="10" t="n"/>
      <c r="J17" s="10" t="n"/>
      <c r="K17" s="10" t="n"/>
      <c r="L17" s="10" t="n"/>
      <c r="M17" s="10" t="n"/>
      <c r="N17" s="10" t="n"/>
      <c r="O17" s="10" t="n"/>
      <c r="P17" s="10" t="n"/>
      <c r="Q17" s="10" t="inlineStr">
        <is>
          <t>De quem esteve com ele no fim. Não diz o nome.</t>
        </is>
      </c>
      <c r="R17" s="13" t="inlineStr">
        <is>
          <t>De quem esteve com ele no fim! E não diz o nome, claro.</t>
        </is>
      </c>
      <c r="S17" s="13" t="inlineStr">
        <is>
          <t>De quem esteve com ele no fim… O nome… não diz.</t>
        </is>
      </c>
      <c r="T17" s="13" t="inlineStr">
        <is>
          <t>De quem esteve com ele no fim… mas não diz o nome, né?</t>
        </is>
      </c>
      <c r="U17" s="13" t="inlineStr">
        <is>
          <t>De quem esteve com ele no fim. Não diz o nome, e eu não vou adivinhar.</t>
        </is>
      </c>
      <c r="V17" s="13" t="inlineStr">
        <is>
          <t>Que demora essa noite… De quem esteve com ele no fim. Não diz o nome.</t>
        </is>
      </c>
      <c r="W17" s="13" t="inlineStr">
        <is>
          <t>Titular: quem esteve com ele no fim. O nome não consta.</t>
        </is>
      </c>
      <c r="X17" s="10">
        <f>SUMPRODUCT(($G17:$P17&lt;&gt;"")*ISERROR(SEARCH($G17:$P17,R17)))+SUMPRODUCT(($G17:$P17&lt;&gt;"")*ISERROR(SEARCH($G17:$P17,S17)))+SUMPRODUCT(($G17:$P17&lt;&gt;"")*ISERROR(SEARCH($G17:$P17,T17)))+SUMPRODUCT(($G17:$P17&lt;&gt;"")*ISERROR(SEARCH($G17:$P17,U17)))+SUMPRODUCT(($G17:$P17&lt;&gt;"")*ISERROR(SEARCH($G17:$P17,V17)))+SUMPRODUCT(($G17:$P17&lt;&gt;"")*ISERROR(SEARCH($G17:$P17,W17)))</f>
        <v/>
      </c>
      <c r="Y17" s="10" t="inlineStr">
        <is>
          <t>Falantes possíveis todos masculinos. leal_cego evita afirmar que o texto é dele (na P6 a segunda parte é falsa).</t>
        </is>
      </c>
    </row>
    <row r="18" ht="35.05" customHeight="1" s="8">
      <c r="A18" s="10" t="inlineStr">
        <is>
          <t>c6-17</t>
        </is>
      </c>
      <c r="B18" s="10" t="inlineStr">
        <is>
          <t>resposta: quem viu quem no escuro</t>
        </is>
      </c>
      <c r="C18" s="10" t="inlineStr">
        <is>
          <t>resposta</t>
        </is>
      </c>
      <c r="D18" s="10" t="inlineStr">
        <is>
          <t>fala(['policial','tabeliao','investigador'])</t>
        </is>
      </c>
      <c r="E18" s="10" t="inlineStr">
        <is>
          <t>grupo</t>
        </is>
      </c>
      <c r="F18" s="10" t="n"/>
      <c r="G18" s="10" t="inlineStr">
        <is>
          <t>ata</t>
        </is>
      </c>
      <c r="H18" s="10" t="inlineStr">
        <is>
          <t>visto por outro</t>
        </is>
      </c>
      <c r="I18" s="10" t="inlineStr">
        <is>
          <t>outro lugar</t>
        </is>
      </c>
      <c r="J18" s="10" t="inlineStr">
        <is>
          <t>relógio</t>
        </is>
      </c>
      <c r="K18" s="10" t="n"/>
      <c r="L18" s="10" t="n"/>
      <c r="M18" s="10" t="n"/>
      <c r="N18" s="10" t="n"/>
      <c r="O18" s="10" t="n"/>
      <c r="P18" s="10" t="n"/>
      <c r="Q18" s="10" t="inlineStr">
        <is>
          <t>Está na ata. Quem foi visto por outro, de outro lugar, não estava no relógio.</t>
        </is>
      </c>
      <c r="R18" s="13" t="inlineStr">
        <is>
          <t>Está na ata! Quem foi visto por outro, de outro lugar, não estava no relógio. Simples assim.</t>
        </is>
      </c>
      <c r="S18" s="13" t="inlineStr">
        <is>
          <t>Na ata. Quem foi visto por outro… de outro lugar… não estava no relógio.</t>
        </is>
      </c>
      <c r="T18" s="13" t="inlineStr">
        <is>
          <t>Está na ata, não está? Quem foi visto por outro, de outro lugar, não estava no relógio… faz sentido?</t>
        </is>
      </c>
      <c r="U18" s="13" t="inlineStr">
        <is>
          <t>Está na ata. Quem foi visto por outro, de outro lugar, não estava no relógio.</t>
        </is>
      </c>
      <c r="V18" s="13" t="inlineStr">
        <is>
          <t>Frio, aqui dentro… Está na ata. Quem foi visto por outro, de outro lugar, não estava no relógio.</t>
        </is>
      </c>
      <c r="W18" s="13" t="inlineStr">
        <is>
          <t>Consta na ata. Regra: quem foi visto por outro, de outro lugar, não estava no relógio.</t>
        </is>
      </c>
      <c r="X18" s="10">
        <f>SUMPRODUCT(($G18:$P18&lt;&gt;"")*ISERROR(SEARCH($G18:$P18,R18)))+SUMPRODUCT(($G18:$P18&lt;&gt;"")*ISERROR(SEARCH($G18:$P18,S18)))+SUMPRODUCT(($G18:$P18&lt;&gt;"")*ISERROR(SEARCH($G18:$P18,T18)))+SUMPRODUCT(($G18:$P18&lt;&gt;"")*ISERROR(SEARCH($G18:$P18,U18)))+SUMPRODUCT(($G18:$P18&lt;&gt;"")*ISERROR(SEARCH($G18:$P18,V18)))+SUMPRODUCT(($G18:$P18&lt;&gt;"")*ISERROR(SEARCH($G18:$P18,W18)))</f>
        <v/>
      </c>
      <c r="Y18" s="10" t="n"/>
    </row>
    <row r="19" ht="23.85" customHeight="1" s="8">
      <c r="A19" s="10" t="inlineStr">
        <is>
          <t>c6-18</t>
        </is>
      </c>
      <c r="B19" s="10" t="inlineStr">
        <is>
          <t>resposta: vamos esperar a ata</t>
        </is>
      </c>
      <c r="C19" s="10" t="inlineStr">
        <is>
          <t>resposta</t>
        </is>
      </c>
      <c r="D19" s="10" t="inlineStr">
        <is>
          <t>fala(['tabeliao','policial'])</t>
        </is>
      </c>
      <c r="E19" s="10" t="inlineStr">
        <is>
          <t>grupo</t>
        </is>
      </c>
      <c r="F19" s="10" t="n"/>
      <c r="G19" s="10" t="inlineStr">
        <is>
          <t>ata</t>
        </is>
      </c>
      <c r="H19" s="10" t="inlineStr">
        <is>
          <t>não demora</t>
        </is>
      </c>
      <c r="I19" s="10" t="n"/>
      <c r="J19" s="10" t="n"/>
      <c r="K19" s="10" t="n"/>
      <c r="L19" s="10" t="n"/>
      <c r="M19" s="10" t="n"/>
      <c r="N19" s="10" t="n"/>
      <c r="O19" s="10" t="n"/>
      <c r="P19" s="10" t="n"/>
      <c r="Q19" s="10" t="inlineStr">
        <is>
          <t>A ata não demora.</t>
        </is>
      </c>
      <c r="R19" s="13" t="inlineStr">
        <is>
          <t>A ata não demora!</t>
        </is>
      </c>
      <c r="S19" s="13" t="inlineStr">
        <is>
          <t>A… ata não demora.</t>
        </is>
      </c>
      <c r="T19" s="13" t="inlineStr">
        <is>
          <t>A ata não demora…</t>
        </is>
      </c>
      <c r="U19" s="13" t="inlineStr">
        <is>
          <t>A ata não demora.</t>
        </is>
      </c>
      <c r="V19" s="13" t="inlineStr">
        <is>
          <t>Bem… a ata não demora.</t>
        </is>
      </c>
      <c r="W19" s="13" t="inlineStr">
        <is>
          <t>A ata não demora.</t>
        </is>
      </c>
      <c r="X19" s="10">
        <f>SUMPRODUCT(($G19:$P19&lt;&gt;"")*ISERROR(SEARCH($G19:$P19,R19)))+SUMPRODUCT(($G19:$P19&lt;&gt;"")*ISERROR(SEARCH($G19:$P19,S19)))+SUMPRODUCT(($G19:$P19&lt;&gt;"")*ISERROR(SEARCH($G19:$P19,T19)))+SUMPRODUCT(($G19:$P19&lt;&gt;"")*ISERROR(SEARCH($G19:$P19,U19)))+SUMPRODUCT(($G19:$P19&lt;&gt;"")*ISERROR(SEARCH($G19:$P19,V19)))+SUMPRODUCT(($G19:$P19&lt;&gt;"")*ISERROR(SEARCH($G19:$P19,W19)))</f>
        <v/>
      </c>
      <c r="Y19" s="10" t="n"/>
    </row>
    <row r="20" ht="35.05" customHeight="1" s="8">
      <c r="A20" s="10" t="inlineStr">
        <is>
          <t>c6-19</t>
        </is>
      </c>
      <c r="B20" s="10" t="inlineStr">
        <is>
          <t>resposta no privado: o caderno desmente alguém</t>
        </is>
      </c>
      <c r="C20" s="10" t="inlineStr">
        <is>
          <t>resposta</t>
        </is>
      </c>
      <c r="D20" s="10" t="inlineStr">
        <is>
          <t>quem estiver no privado com o jogador</t>
        </is>
      </c>
      <c r="E20" s="10" t="inlineStr">
        <is>
          <t>jogador no privado</t>
        </is>
      </c>
      <c r="F20" s="10" t="n"/>
      <c r="G20" s="10" t="inlineStr">
        <is>
          <t>desmente</t>
        </is>
      </c>
      <c r="H20" s="10" t="inlineStr">
        <is>
          <t>não digo quem</t>
        </is>
      </c>
      <c r="I20" s="10" t="inlineStr">
        <is>
          <t>leia você</t>
        </is>
      </c>
      <c r="J20" s="10" t="n"/>
      <c r="K20" s="10" t="n"/>
      <c r="L20" s="10" t="n"/>
      <c r="M20" s="10" t="n"/>
      <c r="N20" s="10" t="n"/>
      <c r="O20" s="10" t="n"/>
      <c r="P20" s="10" t="n"/>
      <c r="Q20" s="10" t="inlineStr">
        <is>
          <t>Desmente. Não digo quem: leia você.</t>
        </is>
      </c>
      <c r="R20" s="13" t="inlineStr">
        <is>
          <t>Desmente! Não digo quem: leia você, ora.</t>
        </is>
      </c>
      <c r="S20" s="13" t="inlineStr">
        <is>
          <t>Desmente… Não digo quem. Leia você.</t>
        </is>
      </c>
      <c r="T20" s="13" t="inlineStr">
        <is>
          <t>Desmente, sim… Não digo quem, desculpa. Leia você?</t>
        </is>
      </c>
      <c r="U20" s="13" t="inlineStr">
        <is>
          <t>Desmente. Não digo quem: leia você.</t>
        </is>
      </c>
      <c r="V20" s="13" t="inlineStr">
        <is>
          <t>Ah, que noite comprida… Desmente. Não digo quem: leia você.</t>
        </is>
      </c>
      <c r="W20" s="13" t="inlineStr">
        <is>
          <t>Resposta: desmente. Não digo quem. Leia você.</t>
        </is>
      </c>
      <c r="X20" s="10">
        <f>SUMPRODUCT(($G20:$P20&lt;&gt;"")*ISERROR(SEARCH($G20:$P20,R20)))+SUMPRODUCT(($G20:$P20&lt;&gt;"")*ISERROR(SEARCH($G20:$P20,S20)))+SUMPRODUCT(($G20:$P20&lt;&gt;"")*ISERROR(SEARCH($G20:$P20,T20)))+SUMPRODUCT(($G20:$P20&lt;&gt;"")*ISERROR(SEARCH($G20:$P20,U20)))+SUMPRODUCT(($G20:$P20&lt;&gt;"")*ISERROR(SEARCH($G20:$P20,V20)))+SUMPRODUCT(($G20:$P20&lt;&gt;"")*ISERROR(SEARCH($G20:$P20,W20)))</f>
        <v/>
      </c>
      <c r="Y20" s="10" t="inlineStr">
        <is>
          <t>Resposta em string simples (sem slot): falante é o interlocutor do privado, gênero variável.</t>
        </is>
      </c>
    </row>
    <row r="21" ht="35.05" customHeight="1" s="8">
      <c r="A21" s="10" t="inlineStr">
        <is>
          <t>c6-20</t>
        </is>
      </c>
      <c r="B21" s="10" t="inlineStr">
        <is>
          <t>resposta no privado: não confio em ninguém</t>
        </is>
      </c>
      <c r="C21" s="10" t="inlineStr">
        <is>
          <t>resposta</t>
        </is>
      </c>
      <c r="D21" s="10" t="inlineStr">
        <is>
          <t>quem estiver no privado com o jogador</t>
        </is>
      </c>
      <c r="E21" s="10" t="inlineStr">
        <is>
          <t>jogador no privado</t>
        </is>
      </c>
      <c r="F21" s="10" t="n"/>
      <c r="G21" s="10" t="inlineStr">
        <is>
          <t>nem eu</t>
        </is>
      </c>
      <c r="H21" s="10" t="n"/>
      <c r="I21" s="10" t="n"/>
      <c r="J21" s="10" t="n"/>
      <c r="K21" s="10" t="n"/>
      <c r="L21" s="10" t="n"/>
      <c r="M21" s="10" t="n"/>
      <c r="N21" s="10" t="n"/>
      <c r="O21" s="10" t="n"/>
      <c r="P21" s="10" t="n"/>
      <c r="Q21" s="10" t="inlineStr">
        <is>
          <t>Nem eu.</t>
        </is>
      </c>
      <c r="R21" s="13" t="inlineStr">
        <is>
          <t>Nem eu!</t>
        </is>
      </c>
      <c r="S21" s="13" t="inlineStr">
        <is>
          <t>… Nem eu.</t>
        </is>
      </c>
      <c r="T21" s="13" t="inlineStr">
        <is>
          <t>Nem eu…</t>
        </is>
      </c>
      <c r="U21" s="13" t="inlineStr">
        <is>
          <t>Nem eu.</t>
        </is>
      </c>
      <c r="V21" s="13" t="inlineStr">
        <is>
          <t>Ah… nem eu.</t>
        </is>
      </c>
      <c r="W21" s="13" t="inlineStr">
        <is>
          <t>Nem eu.</t>
        </is>
      </c>
      <c r="X21" s="10">
        <f>SUMPRODUCT(($G21:$P21&lt;&gt;"")*ISERROR(SEARCH($G21:$P21,R21)))+SUMPRODUCT(($G21:$P21&lt;&gt;"")*ISERROR(SEARCH($G21:$P21,S21)))+SUMPRODUCT(($G21:$P21&lt;&gt;"")*ISERROR(SEARCH($G21:$P21,T21)))+SUMPRODUCT(($G21:$P21&lt;&gt;"")*ISERROR(SEARCH($G21:$P21,U21)))+SUMPRODUCT(($G21:$P21&lt;&gt;"")*ISERROR(SEARCH($G21:$P21,V21)))+SUMPRODUCT(($G21:$P21&lt;&gt;"")*ISERROR(SEARCH($G21:$P21,W21)))</f>
        <v/>
      </c>
      <c r="Y21" s="10" t="inlineStr">
        <is>
          <t>Fala de duas palavras: um item só. Falante de gênero variável.</t>
        </is>
      </c>
    </row>
    <row r="22" ht="35.05" customHeight="1" s="8">
      <c r="A22" s="10" t="inlineStr">
        <is>
          <t>c6-21</t>
        </is>
      </c>
      <c r="B22" s="10" t="inlineStr">
        <is>
          <t>debate: o que o caderno derruba e confirma</t>
        </is>
      </c>
      <c r="C22" s="10" t="inlineStr">
        <is>
          <t>resposta</t>
        </is>
      </c>
      <c r="D22" s="10" t="inlineStr">
        <is>
          <t>fala(['investigador','observadora','advogado'])</t>
        </is>
      </c>
      <c r="E22" s="10" t="inlineStr">
        <is>
          <t>grupo</t>
        </is>
      </c>
      <c r="F22" s="10" t="n"/>
      <c r="G22" s="10" t="inlineStr">
        <is>
          <t>ler</t>
        </is>
      </c>
      <c r="H22" s="10" t="inlineStr">
        <is>
          <t>subir escada</t>
        </is>
      </c>
      <c r="I22" s="10" t="inlineStr">
        <is>
          <t>peixe</t>
        </is>
      </c>
      <c r="J22" s="10" t="inlineStr">
        <is>
          <t>não deixa</t>
        </is>
      </c>
      <c r="K22" s="10" t="n"/>
      <c r="L22" s="10" t="n"/>
      <c r="M22" s="10" t="n"/>
      <c r="N22" s="10" t="n"/>
      <c r="O22" s="10" t="n"/>
      <c r="P22" s="10" t="n"/>
      <c r="Q22" s="10" t="inlineStr">
        <is>
          <t>A lembrança que fala de ler, de subir escada ou de peixe no fim: o caderno não deixa.</t>
        </is>
      </c>
      <c r="R22" s="13" t="inlineStr">
        <is>
          <t>A lembrança que fala de ler, de subir escada ou de peixe no fim? O caderno não deixa!</t>
        </is>
      </c>
      <c r="S22" s="13" t="inlineStr">
        <is>
          <t>Ler… subir escada… peixe, no fim. O caderno não deixa.</t>
        </is>
      </c>
      <c r="T22" s="13" t="inlineStr">
        <is>
          <t>A lembrança que fala de ler, de subir escada ou de peixe no fim… o caderno não deixa. Entendi certo?</t>
        </is>
      </c>
      <c r="U22" s="13" t="inlineStr">
        <is>
          <t>A lembrança que fala de ler, de subir escada ou de peixe no fim: o caderno não deixa.</t>
        </is>
      </c>
      <c r="V22" s="13" t="inlineStr">
        <is>
          <t>Que noite pesada… A lembrança que fala de ler, de subir escada ou de peixe no fim: o caderno não deixa.</t>
        </is>
      </c>
      <c r="W22" s="13" t="inlineStr">
        <is>
          <t>Lembrança que mencione ler, subir escada ou peixe no fim: o caderno não deixa.</t>
        </is>
      </c>
      <c r="X22" s="10">
        <f>SUMPRODUCT(($G22:$P22&lt;&gt;"")*ISERROR(SEARCH($G22:$P22,R22)))+SUMPRODUCT(($G22:$P22&lt;&gt;"")*ISERROR(SEARCH($G22:$P22,S22)))+SUMPRODUCT(($G22:$P22&lt;&gt;"")*ISERROR(SEARCH($G22:$P22,T22)))+SUMPRODUCT(($G22:$P22&lt;&gt;"")*ISERROR(SEARCH($G22:$P22,U22)))+SUMPRODUCT(($G22:$P22&lt;&gt;"")*ISERROR(SEARCH($G22:$P22,V22)))+SUMPRODUCT(($G22:$P22&lt;&gt;"")*ISERROR(SEARCH($G22:$P22,W22)))</f>
        <v/>
      </c>
      <c r="Y22" s="10" t="inlineStr">
        <is>
          <t>Falante varia de gênero.</t>
        </is>
      </c>
    </row>
    <row r="23" ht="35.05" customHeight="1" s="8">
      <c r="A23" s="10" t="inlineStr">
        <is>
          <t>c6-22</t>
        </is>
      </c>
      <c r="B23" s="10" t="inlineStr">
        <is>
          <t>debate: o que o caderno derruba e confirma</t>
        </is>
      </c>
      <c r="C23" s="10" t="inlineStr">
        <is>
          <t>resposta</t>
        </is>
      </c>
      <c r="D23" s="10" t="inlineStr">
        <is>
          <t>fala(['herdeira','jornalista','residente'])</t>
        </is>
      </c>
      <c r="E23" s="10" t="inlineStr">
        <is>
          <t>grupo</t>
        </is>
      </c>
      <c r="F23" s="10" t="n"/>
      <c r="G23" s="10" t="inlineStr">
        <is>
          <t>confirma</t>
        </is>
      </c>
      <c r="H23" s="10" t="inlineStr">
        <is>
          <t>visita</t>
        </is>
      </c>
      <c r="I23" s="10" t="inlineStr">
        <is>
          <t>último mês</t>
        </is>
      </c>
      <c r="J23" s="10" t="inlineStr">
        <is>
          <t>verdade</t>
        </is>
      </c>
      <c r="K23" s="10" t="n"/>
      <c r="L23" s="10" t="n"/>
      <c r="M23" s="10" t="n"/>
      <c r="N23" s="10" t="n"/>
      <c r="O23" s="10" t="n"/>
      <c r="P23" s="10" t="n"/>
      <c r="Q23" s="10" t="inlineStr">
        <is>
          <t>Mas o caderno também confirma gente. Visita com data dentro do último mês é verdade.</t>
        </is>
      </c>
      <c r="R23" s="13" t="inlineStr">
        <is>
          <t>Mas o caderno também confirma gente! Visita com data dentro do último mês é verdade.</t>
        </is>
      </c>
      <c r="S23" s="13" t="inlineStr">
        <is>
          <t>Mas o caderno… também confirma. Gente. Visita com data, dentro do último mês… é verdade.</t>
        </is>
      </c>
      <c r="T23" s="13" t="inlineStr">
        <is>
          <t>Mas o caderno também confirma gente, não é? Visita com data dentro do último mês é verdade. Que alívio, né?</t>
        </is>
      </c>
      <c r="U23" s="13" t="inlineStr">
        <is>
          <t>Mas o caderno também confirma gente. Visita com data dentro do último mês é verdade.</t>
        </is>
      </c>
      <c r="V23" s="13" t="inlineStr">
        <is>
          <t>Nem tudo é desconfiança, apesar do frio… Mas o caderno também confirma gente. Visita com data dentro do último mês é verdade.</t>
        </is>
      </c>
      <c r="W23" s="13" t="inlineStr">
        <is>
          <t>Ressalva: o caderno também confirma gente. Visita com data dentro do último mês consta como verdade.</t>
        </is>
      </c>
      <c r="X23" s="10">
        <f>SUMPRODUCT(($G23:$P23&lt;&gt;"")*ISERROR(SEARCH($G23:$P23,R23)))+SUMPRODUCT(($G23:$P23&lt;&gt;"")*ISERROR(SEARCH($G23:$P23,S23)))+SUMPRODUCT(($G23:$P23&lt;&gt;"")*ISERROR(SEARCH($G23:$P23,T23)))+SUMPRODUCT(($G23:$P23&lt;&gt;"")*ISERROR(SEARCH($G23:$P23,U23)))+SUMPRODUCT(($G23:$P23&lt;&gt;"")*ISERROR(SEARCH($G23:$P23,V23)))+SUMPRODUCT(($G23:$P23&lt;&gt;"")*ISERROR(SEARCH($G23:$P23,W23)))</f>
        <v/>
      </c>
      <c r="Y23" s="10" t="inlineStr">
        <is>
          <t>Falante varia de gênero.</t>
        </is>
      </c>
    </row>
    <row r="24" ht="46.25" customHeight="1" s="8">
      <c r="A24" s="10" t="inlineStr">
        <is>
          <t>c6-23</t>
        </is>
      </c>
      <c r="B24" s="10" t="inlineStr">
        <is>
          <t>debate: o que o caderno derruba e confirma</t>
        </is>
      </c>
      <c r="C24" s="10" t="inlineStr">
        <is>
          <t>resposta</t>
        </is>
      </c>
      <c r="D24" s="10" t="inlineStr">
        <is>
          <t>fala(['tabeliao','policial','governanta'])</t>
        </is>
      </c>
      <c r="E24" s="10" t="inlineStr">
        <is>
          <t>grupo</t>
        </is>
      </c>
      <c r="F24" s="10" t="n"/>
      <c r="G24" s="10" t="inlineStr">
        <is>
          <t>esteve no fim</t>
        </is>
      </c>
      <c r="H24" s="10" t="inlineStr">
        <is>
          <t>tem que ter estado</t>
        </is>
      </c>
      <c r="I24" s="10" t="inlineStr">
        <is>
          <t>bateu à porta</t>
        </is>
      </c>
      <c r="J24" s="10" t="n"/>
      <c r="K24" s="10" t="n"/>
      <c r="L24" s="10" t="n"/>
      <c r="M24" s="10" t="n"/>
      <c r="N24" s="10" t="n"/>
      <c r="O24" s="10" t="n"/>
      <c r="P24" s="10" t="n"/>
      <c r="Q24" s="10" t="inlineStr">
        <is>
          <t>E quem disse que esteve no fim tem que ter estado. O caderno sabe quem bateu à porta.</t>
        </is>
      </c>
      <c r="R24" s="13" t="inlineStr">
        <is>
          <t>E quem disse que esteve no fim tem que ter estado! O caderno sabe quem bateu à porta.</t>
        </is>
      </c>
      <c r="S24" s="13" t="inlineStr">
        <is>
          <t>Quem disse que esteve no fim… tem que ter estado. O caderno sabe. Quem bateu à porta.</t>
        </is>
      </c>
      <c r="T24" s="13" t="inlineStr">
        <is>
          <t>E quem disse que esteve no fim tem que ter estado, não é? O caderno sabe quem bateu à porta…</t>
        </is>
      </c>
      <c r="U24" s="13" t="inlineStr">
        <is>
          <t>E quem disse que esteve no fim tem que ter estado. O caderno sabe quem bateu à porta.</t>
        </is>
      </c>
      <c r="V24" s="13" t="inlineStr">
        <is>
          <t>Muita gente diz muita coisa numa noite dessas… E quem disse que esteve no fim tem que ter estado. O caderno sabe quem bateu à porta.</t>
        </is>
      </c>
      <c r="W24" s="13" t="inlineStr">
        <is>
          <t>Critério: quem disse que esteve no fim tem que ter estado. O caderno registra quem bateu à porta.</t>
        </is>
      </c>
      <c r="X24" s="10">
        <f>SUMPRODUCT(($G24:$P24&lt;&gt;"")*ISERROR(SEARCH($G24:$P24,R24)))+SUMPRODUCT(($G24:$P24&lt;&gt;"")*ISERROR(SEARCH($G24:$P24,S24)))+SUMPRODUCT(($G24:$P24&lt;&gt;"")*ISERROR(SEARCH($G24:$P24,T24)))+SUMPRODUCT(($G24:$P24&lt;&gt;"")*ISERROR(SEARCH($G24:$P24,U24)))+SUMPRODUCT(($G24:$P24&lt;&gt;"")*ISERROR(SEARCH($G24:$P24,V24)))+SUMPRODUCT(($G24:$P24&lt;&gt;"")*ISERROR(SEARCH($G24:$P24,W24)))</f>
        <v/>
      </c>
      <c r="Y24" s="10" t="inlineStr">
        <is>
          <t>Falante varia de gênero.</t>
        </is>
      </c>
    </row>
    <row r="25" ht="57.45" customHeight="1" s="8">
      <c r="A25" s="10" t="inlineStr">
        <is>
          <t>c6-24</t>
        </is>
      </c>
      <c r="B25" s="10" t="inlineStr">
        <is>
          <t>o rádio: o ajudante do Eletricista confirma a tomada</t>
        </is>
      </c>
      <c r="C25" s="10" t="inlineStr">
        <is>
          <t>roteiro</t>
        </is>
      </c>
      <c r="D25" s="10" t="inlineStr">
        <is>
          <t>ajudante do eletricista (rádio, outra casa da região)</t>
        </is>
      </c>
      <c r="E25" s="10" t="inlineStr">
        <is>
          <t>o condutor, pelo rádio</t>
        </is>
      </c>
      <c r="F25" s="10" t="inlineStr">
        <is>
          <t>Eletricista na casa</t>
        </is>
      </c>
      <c r="G25" s="10" t="inlineStr">
        <is>
          <t>março</t>
        </is>
      </c>
      <c r="H25" s="10" t="inlineStr">
        <is>
          <t>quarto dos fundos</t>
        </is>
      </c>
      <c r="I25" s="10" t="inlineStr">
        <is>
          <t>por telefone</t>
        </is>
      </c>
      <c r="J25" s="10" t="inlineStr">
        <is>
          <t>para quem</t>
        </is>
      </c>
      <c r="K25" s="10" t="n"/>
      <c r="L25" s="10" t="n"/>
      <c r="M25" s="10" t="n"/>
      <c r="N25" s="10" t="n"/>
      <c r="O25" s="10" t="n"/>
      <c r="P25" s="10" t="n"/>
      <c r="Q25" s="10" t="inlineStr">
        <is>
          <t>Foi em março, no quarto dos fundos. O pedido veio por telefone. Ninguém disse para quem.</t>
        </is>
      </c>
      <c r="R25" s="13" t="inlineStr">
        <is>
          <t>Foi em março, no quarto dos fundos! O pedido veio por telefone, e ninguém disse para quem.</t>
        </is>
      </c>
      <c r="S25" s="13" t="inlineStr">
        <is>
          <t>Março… o quarto dos fundos. Pedido por telefone. Para quem… ninguém disse.</t>
        </is>
      </c>
      <c r="T25" s="13" t="inlineStr">
        <is>
          <t>Foi em março, no quarto dos fundos, eu lembro! O pedido veio por telefone… ninguém disse para quem, isso é ruim?</t>
        </is>
      </c>
      <c r="U25" s="13" t="inlineStr">
        <is>
          <t>Foi em março, no quarto dos fundos. O pedido veio por telefone. Ninguém disse para quem, e ele não perguntou.</t>
        </is>
      </c>
      <c r="V25" s="13" t="inlineStr">
        <is>
          <t>Ih, com essa chuva aqui também… Foi em março, no quarto dos fundos. O pedido veio por telefone. Ninguém disse para quem.</t>
        </is>
      </c>
      <c r="W25" s="13" t="inlineStr">
        <is>
          <t>Serviço de março, quarto dos fundos. Pedido por telefone. Destinatário: ninguém disse para quem.</t>
        </is>
      </c>
      <c r="X25" s="10">
        <f>SUMPRODUCT(($G25:$P25&lt;&gt;"")*ISERROR(SEARCH($G25:$P25,R25)))+SUMPRODUCT(($G25:$P25&lt;&gt;"")*ISERROR(SEARCH($G25:$P25,S25)))+SUMPRODUCT(($G25:$P25&lt;&gt;"")*ISERROR(SEARCH($G25:$P25,T25)))+SUMPRODUCT(($G25:$P25&lt;&gt;"")*ISERROR(SEARCH($G25:$P25,U25)))+SUMPRODUCT(($G25:$P25&lt;&gt;"")*ISERROR(SEARCH($G25:$P25,V25)))+SUMPRODUCT(($G25:$P25&lt;&gt;"")*ISERROR(SEARCH($G25:$P25,W25)))</f>
        <v/>
      </c>
      <c r="Y25" s="10" t="inlineStr">
        <is>
          <t>Novo personagem de rádio (02/10): nunca humano, nunca impostor, não mente. Só confirma o que o caderno já diz. Leal cego é leal ao patrão (o Eletricista).</t>
        </is>
      </c>
    </row>
    <row r="26" ht="46.25" customHeight="1" s="8">
      <c r="A26" s="10" t="inlineStr">
        <is>
          <t>c6-25</t>
        </is>
      </c>
      <c r="B26" s="10" t="inlineStr">
        <is>
          <t>quem diz que esteve no fim</t>
        </is>
      </c>
      <c r="C26" s="10" t="inlineStr">
        <is>
          <t>roteiro</t>
        </is>
      </c>
      <c r="D26" s="10" t="inlineStr">
        <is>
          <t>medico</t>
        </is>
      </c>
      <c r="E26" s="10" t="inlineStr">
        <is>
          <t>grupo</t>
        </is>
      </c>
      <c r="F26" s="10" t="inlineStr">
        <is>
          <t>Médico na casa</t>
        </is>
      </c>
      <c r="G26" s="10" t="inlineStr">
        <is>
          <t>examinava</t>
        </is>
      </c>
      <c r="H26" s="10" t="inlineStr">
        <is>
          <t>março</t>
        </is>
      </c>
      <c r="I26" s="10" t="n"/>
      <c r="J26" s="10" t="n"/>
      <c r="K26" s="10" t="n"/>
      <c r="L26" s="10" t="n"/>
      <c r="M26" s="10" t="n"/>
      <c r="N26" s="10" t="n"/>
      <c r="O26" s="10" t="n"/>
      <c r="P26" s="10" t="n"/>
      <c r="Q26" s="10" t="inlineStr">
        <is>
          <t>Eu o examinava. Até março.</t>
        </is>
      </c>
      <c r="R26" s="13" t="inlineStr">
        <is>
          <t>Eu o examinava. Até março! Mais alguma pergunta?</t>
        </is>
      </c>
      <c r="S26" s="13" t="inlineStr">
        <is>
          <t>Eu o examinava. … Até março.</t>
        </is>
      </c>
      <c r="T26" s="13" t="inlineStr">
        <is>
          <t>Eu o examinava, até março… isso ajuda?</t>
        </is>
      </c>
      <c r="U26" s="13" t="inlineStr">
        <is>
          <t>Eu o examinava, sim. Até março.</t>
        </is>
      </c>
      <c r="V26" s="13" t="inlineStr">
        <is>
          <t>Tanta estrada até aqui, toda vez… Eu o examinava. Até março.</t>
        </is>
      </c>
      <c r="W26" s="13" t="inlineStr">
        <is>
          <t>Consta: eu o examinava. Até março.</t>
        </is>
      </c>
      <c r="X26" s="10">
        <f>SUMPRODUCT(($G26:$P26&lt;&gt;"")*ISERROR(SEARCH($G26:$P26,R26)))+SUMPRODUCT(($G26:$P26&lt;&gt;"")*ISERROR(SEARCH($G26:$P26,S26)))+SUMPRODUCT(($G26:$P26&lt;&gt;"")*ISERROR(SEARCH($G26:$P26,T26)))+SUMPRODUCT(($G26:$P26&lt;&gt;"")*ISERROR(SEARCH($G26:$P26,U26)))+SUMPRODUCT(($G26:$P26&lt;&gt;"")*ISERROR(SEARCH($G26:$P26,V26)))+SUMPRODUCT(($G26:$P26&lt;&gt;"")*ISERROR(SEARCH($G26:$P26,W26)))</f>
        <v/>
      </c>
      <c r="Y26" s="10" t="inlineStr">
        <is>
          <t>Médico (02/10): 13º personagem, só com 12 humanos, então é sempre humano; os tipos servem ao narrador. Visitas sempre fora do último mês.</t>
        </is>
      </c>
    </row>
  </sheetData>
  <autoFilter ref="A1:Y26"/>
  <conditionalFormatting sqref="X2:X26">
    <cfRule type="expression" rank="0" priority="2" equalAverage="0" aboveAverage="0" dxfId="4" text="" percent="0" bottom="0">
      <formula>X2&gt;0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Y5"/>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1"/>
    <col width="24" customWidth="1" style="7" min="2" max="2"/>
    <col width="12" customWidth="1" style="7" min="3" max="3"/>
    <col width="18" customWidth="1" style="7" min="4" max="4"/>
    <col width="12" customWidth="1" style="7" min="5" max="5"/>
    <col width="14" customWidth="1" style="7" min="6" max="6"/>
    <col width="12" customWidth="1" style="7" min="7" max="16"/>
    <col width="40" customWidth="1" style="7" min="17" max="17"/>
    <col width="38" customWidth="1" style="7" min="18" max="23"/>
    <col width="8" customWidth="1" style="7" min="24" max="24"/>
    <col width="34" customWidth="1" style="7" min="25" max="25"/>
  </cols>
  <sheetData>
    <row r="1" ht="15" customHeight="1" s="8">
      <c r="A1" s="12" t="inlineStr">
        <is>
          <t>ID</t>
        </is>
      </c>
      <c r="B1" s="12" t="inlineStr">
        <is>
          <t>Cena</t>
        </is>
      </c>
      <c r="C1" s="12" t="inlineStr">
        <is>
          <t>Momento</t>
        </is>
      </c>
      <c r="D1" s="12" t="inlineStr">
        <is>
          <t>Quem fala</t>
        </is>
      </c>
      <c r="E1" s="12" t="inlineStr">
        <is>
          <t>Com quem</t>
        </is>
      </c>
      <c r="F1" s="12" t="inlineStr">
        <is>
          <t>Condição</t>
        </is>
      </c>
      <c r="G1" s="12" t="inlineStr">
        <is>
          <t>Item 1</t>
        </is>
      </c>
      <c r="H1" s="12" t="inlineStr">
        <is>
          <t>Item 2</t>
        </is>
      </c>
      <c r="I1" s="12" t="inlineStr">
        <is>
          <t>Item 3</t>
        </is>
      </c>
      <c r="J1" s="12" t="inlineStr">
        <is>
          <t>Item 4</t>
        </is>
      </c>
      <c r="K1" s="12" t="inlineStr">
        <is>
          <t>Item 5</t>
        </is>
      </c>
      <c r="L1" s="12" t="inlineStr">
        <is>
          <t>Item 6</t>
        </is>
      </c>
      <c r="M1" s="12" t="inlineStr">
        <is>
          <t>Item 7</t>
        </is>
      </c>
      <c r="N1" s="12" t="inlineStr">
        <is>
          <t>Item 8</t>
        </is>
      </c>
      <c r="O1" s="12" t="inlineStr">
        <is>
          <t>Item 9</t>
        </is>
      </c>
      <c r="P1" s="12" t="inlineStr">
        <is>
          <t>Item 10</t>
        </is>
      </c>
      <c r="Q1" s="12" t="inlineStr">
        <is>
          <t>Fala original</t>
        </is>
      </c>
      <c r="R1" s="12" t="inlineStr">
        <is>
          <t>Explosivo</t>
        </is>
      </c>
      <c r="S1" s="12" t="inlineStr">
        <is>
          <t>Calmo opaco</t>
        </is>
      </c>
      <c r="T1" s="12" t="inlineStr">
        <is>
          <t>Ingênuo</t>
        </is>
      </c>
      <c r="U1" s="12" t="inlineStr">
        <is>
          <t>Leal cego</t>
        </is>
      </c>
      <c r="V1" s="12" t="inlineStr">
        <is>
          <t>Evasivo</t>
        </is>
      </c>
      <c r="W1" s="12" t="inlineStr">
        <is>
          <t>Burocrata</t>
        </is>
      </c>
      <c r="X1" s="12" t="inlineStr">
        <is>
          <t>Faltam</t>
        </is>
      </c>
      <c r="Y1" s="12" t="inlineStr">
        <is>
          <t>Nota</t>
        </is>
      </c>
    </row>
    <row r="2" ht="46.25" customHeight="1" s="8">
      <c r="A2" s="10" t="inlineStr">
        <is>
          <t>fin-01</t>
        </is>
      </c>
      <c r="B2" s="10" t="inlineStr">
        <is>
          <t>a acusação: antes das respostas finais, quem conduz pede que cada um diga de quem desconfia</t>
        </is>
      </c>
      <c r="C2" s="10" t="inlineStr">
        <is>
          <t>roteiro</t>
        </is>
      </c>
      <c r="D2" s="10" t="inlineStr">
        <is>
          <t>voz(['tabeliao','policial'])</t>
        </is>
      </c>
      <c r="E2" s="10" t="inlineStr">
        <is>
          <t>grupo</t>
        </is>
      </c>
      <c r="F2" s="10" t="inlineStr">
        <is>
          <t>tabeliao presente → {Tab}; senão → {Pol}</t>
        </is>
      </c>
      <c r="G2" s="10" t="inlineStr">
        <is>
          <t>ata</t>
        </is>
      </c>
      <c r="H2" s="10" t="n"/>
      <c r="I2" s="10" t="n"/>
      <c r="J2" s="10" t="n"/>
      <c r="K2" s="10" t="n"/>
      <c r="L2" s="10" t="n"/>
      <c r="M2" s="10" t="n"/>
      <c r="N2" s="10" t="n"/>
      <c r="O2" s="10" t="n"/>
      <c r="P2" s="10" t="n"/>
      <c r="Q2" s="10" t="inlineStr">
        <is>
          <t>Para a ata.</t>
        </is>
      </c>
      <c r="R2" s="13" t="inlineStr">
        <is>
          <t>Para a ata!</t>
        </is>
      </c>
      <c r="S2" s="13" t="inlineStr">
        <is>
          <t>Para… a ata.</t>
        </is>
      </c>
      <c r="T2" s="13" t="inlineStr">
        <is>
          <t>Para a ata…</t>
        </is>
      </c>
      <c r="U2" s="13" t="inlineStr">
        <is>
          <t>Para a ata.</t>
        </is>
      </c>
      <c r="V2" s="13" t="inlineStr">
        <is>
          <t>Para a ata.</t>
        </is>
      </c>
      <c r="W2" s="13" t="inlineStr">
        <is>
          <t>Para a ata.</t>
        </is>
      </c>
      <c r="X2" s="10">
        <f>SUMPRODUCT(($G2:$P2&lt;&gt;"")*ISERROR(SEARCH($G2:$P2,R2)))+SUMPRODUCT(($G2:$P2&lt;&gt;"")*ISERROR(SEARCH($G2:$P2,S2)))+SUMPRODUCT(($G2:$P2&lt;&gt;"")*ISERROR(SEARCH($G2:$P2,T2)))+SUMPRODUCT(($G2:$P2&lt;&gt;"")*ISERROR(SEARCH($G2:$P2,U2)))+SUMPRODUCT(($G2:$P2&lt;&gt;"")*ISERROR(SEARCH($G2:$P2,V2)))+SUMPRODUCT(($G2:$P2&lt;&gt;"")*ISERROR(SEARCH($G2:$P2,W2)))</f>
        <v/>
      </c>
      <c r="Y2" s="10" t="inlineStr">
        <is>
          <t>Narração: '{Tab}/{Pol} pediu que cada um dissesse, uma vez e sem interrupção, de quem desconfiava.' A fala é só o complemento citado.</t>
        </is>
      </c>
    </row>
    <row r="3" ht="57.45" customHeight="1" s="8">
      <c r="A3" s="10" t="inlineStr">
        <is>
          <t>fin-02</t>
        </is>
      </c>
      <c r="B3" s="10" t="inlineStr">
        <is>
          <t>fim da véspera (prólogo, só funcionário humano): o farol aconselha dormir na casa</t>
        </is>
      </c>
      <c r="C3" s="10" t="inlineStr">
        <is>
          <t>roteiro</t>
        </is>
      </c>
      <c r="D3" s="10" t="inlineStr">
        <is>
          <t>faroleiro</t>
        </is>
      </c>
      <c r="E3" s="10" t="inlineStr">
        <is>
          <t>funcionários no grupo do serviço</t>
        </is>
      </c>
      <c r="F3" s="10" t="inlineStr">
        <is>
          <t>SOU_FUNC e COLEGAS.length&gt;0 (plural)</t>
        </is>
      </c>
      <c r="G3" s="10" t="inlineStr">
        <is>
          <t>farol</t>
        </is>
      </c>
      <c r="H3" s="10" t="inlineStr">
        <is>
          <t>chuva</t>
        </is>
      </c>
      <c r="I3" s="10" t="inlineStr">
        <is>
          <t>previsão</t>
        </is>
      </c>
      <c r="J3" s="10" t="inlineStr">
        <is>
          <t>estrada da costa</t>
        </is>
      </c>
      <c r="K3" s="10" t="inlineStr">
        <is>
          <t>convocados</t>
        </is>
      </c>
      <c r="L3" s="10" t="n"/>
      <c r="M3" s="10" t="n"/>
      <c r="N3" s="10" t="n"/>
      <c r="O3" s="10" t="n"/>
      <c r="P3" s="10" t="n"/>
      <c r="Q3" s="10" t="inlineStr">
        <is>
          <t>Casa da Costa, aqui é o farol. A chuva só aumentou, e a previsão é de mais. A estrada da costa não está segura. É mais seguro vocês dormirem aí e esperar os convocados chegarem.</t>
        </is>
      </c>
      <c r="R3" s="13" t="inlineStr">
        <is>
          <t>Casa da Costa, aqui é o farol. A chuva só aumentou, e a previsão é de mais. A estrada da costa não está segura, de jeito nenhum! O mais seguro é vocês dormirem aí e esperar os convocados chegarem.</t>
        </is>
      </c>
      <c r="S3" s="13" t="inlineStr">
        <is>
          <t>Casa da Costa… aqui é o farol. A chuva… só aumentou. A previsão é de mais. A estrada da costa… não está segura. Mais seguro vocês dormirem aí. Esperar os convocados chegarem.</t>
        </is>
      </c>
      <c r="T3" s="13" t="inlineStr">
        <is>
          <t>Casa da Costa, aqui é o farol… A chuva só aumentou, e a previsão é de mais, pelo que disseram. A estrada da costa não está segura. Não é mais seguro vocês dormirem aí e esperar os convocados chegarem?</t>
        </is>
      </c>
      <c r="U3" s="13" t="inlineStr">
        <is>
          <t>Casa da Costa, aqui é o farol. A chuva só aumentou, e a previsão é de mais. A estrada da costa não está segura. É mais seguro vocês dormirem aí e esperar os convocados chegarem.</t>
        </is>
      </c>
      <c r="V3" s="13" t="inlineStr">
        <is>
          <t>Casa da Costa, aqui é o farol. Daqui de cima a noite não acaba… A chuva só aumentou, e a previsão é de mais. A estrada da costa não está segura. Mais seguro vocês dormirem aí e esperar os convocados chegarem.</t>
        </is>
      </c>
      <c r="W3" s="13" t="inlineStr">
        <is>
          <t>Casa da Costa, aqui é o farol. Situação: chuva em aumento; previsão de mais. Estrada da costa: não segura. Recomendação: vocês dormirem aí e esperar os convocados chegarem.</t>
        </is>
      </c>
      <c r="X3" s="10">
        <f>SUMPRODUCT(($G3:$P3&lt;&gt;"")*ISERROR(SEARCH($G3:$P3,R3)))+SUMPRODUCT(($G3:$P3&lt;&gt;"")*ISERROR(SEARCH($G3:$P3,S3)))+SUMPRODUCT(($G3:$P3&lt;&gt;"")*ISERROR(SEARCH($G3:$P3,T3)))+SUMPRODUCT(($G3:$P3&lt;&gt;"")*ISERROR(SEARCH($G3:$P3,U3)))+SUMPRODUCT(($G3:$P3&lt;&gt;"")*ISERROR(SEARCH($G3:$P3,V3)))+SUMPRODUCT(($G3:$P3&lt;&gt;"")*ISERROR(SEARCH($G3:$P3,W3)))</f>
        <v/>
      </c>
      <c r="Y3" s="10" t="inlineStr">
        <is>
          <t>Pelo rádio VHF ('O velho rádio VHF chia. É o farol:'). Está em final.js mas pertence ao fim do prólogo; o trecho do arquivo termina truncado logo após esta linha.</t>
        </is>
      </c>
    </row>
    <row r="4" ht="57.45" customHeight="1" s="8">
      <c r="A4" s="10" t="inlineStr">
        <is>
          <t>fin-03</t>
        </is>
      </c>
      <c r="B4" s="10" t="inlineStr">
        <is>
          <t>fim da véspera (prólogo, só funcionário humano): o farol aconselha dormir na casa</t>
        </is>
      </c>
      <c r="C4" s="10" t="inlineStr">
        <is>
          <t>roteiro</t>
        </is>
      </c>
      <c r="D4" s="10" t="inlineStr">
        <is>
          <t>faroleiro</t>
        </is>
      </c>
      <c r="E4" s="10" t="inlineStr">
        <is>
          <t>funcionário sozinho</t>
        </is>
      </c>
      <c r="F4" s="10" t="inlineStr">
        <is>
          <t>SOU_FUNC e sem colegas (singular)</t>
        </is>
      </c>
      <c r="G4" s="10" t="inlineStr">
        <is>
          <t>farol</t>
        </is>
      </c>
      <c r="H4" s="10" t="inlineStr">
        <is>
          <t>chuva</t>
        </is>
      </c>
      <c r="I4" s="10" t="inlineStr">
        <is>
          <t>previsão</t>
        </is>
      </c>
      <c r="J4" s="10" t="inlineStr">
        <is>
          <t>estrada da costa</t>
        </is>
      </c>
      <c r="K4" s="10" t="inlineStr">
        <is>
          <t>convocados</t>
        </is>
      </c>
      <c r="L4" s="10" t="n"/>
      <c r="M4" s="10" t="n"/>
      <c r="N4" s="10" t="n"/>
      <c r="O4" s="10" t="n"/>
      <c r="P4" s="10" t="n"/>
      <c r="Q4" s="10" t="inlineStr">
        <is>
          <t>Casa da Costa, aqui é o farol. A chuva só aumentou, e a previsão é de mais. A estrada da costa não está segura. É mais seguro você dormir aí e esperar os convocados chegarem.</t>
        </is>
      </c>
      <c r="R4" s="13" t="inlineStr">
        <is>
          <t>Casa da Costa, aqui é o farol. A chuva só aumentou, e a previsão é de mais. A estrada da costa não está segura, de jeito nenhum! O mais seguro é você dormir aí e esperar os convocados chegarem.</t>
        </is>
      </c>
      <c r="S4" s="13" t="inlineStr">
        <is>
          <t>Casa da Costa… aqui é o farol. A chuva… só aumentou. A previsão é de mais. A estrada da costa… não está segura. Mais seguro você dormir aí. Esperar os convocados chegarem.</t>
        </is>
      </c>
      <c r="T4" s="13" t="inlineStr">
        <is>
          <t>Casa da Costa, aqui é o farol… A chuva só aumentou, e a previsão é de mais, pelo que disseram. A estrada da costa não está segura. Não é mais seguro você dormir aí e esperar os convocados chegarem?</t>
        </is>
      </c>
      <c r="U4" s="13" t="inlineStr">
        <is>
          <t>Casa da Costa, aqui é o farol. A chuva só aumentou, e a previsão é de mais. A estrada da costa não está segura. É mais seguro você dormir aí e esperar os convocados chegarem.</t>
        </is>
      </c>
      <c r="V4" s="13" t="inlineStr">
        <is>
          <t>Casa da Costa, aqui é o farol. Daqui de cima a noite não acaba… A chuva só aumentou, e a previsão é de mais. A estrada da costa não está segura. Mais seguro você dormir aí e esperar os convocados chegarem.</t>
        </is>
      </c>
      <c r="W4" s="13" t="inlineStr">
        <is>
          <t>Casa da Costa, aqui é o farol. Situação: chuva em aumento; previsão de mais. Estrada da costa: não segura. Recomendação: você dormir aí e esperar os convocados chegarem.</t>
        </is>
      </c>
      <c r="X4" s="10">
        <f>SUMPRODUCT(($G4:$P4&lt;&gt;"")*ISERROR(SEARCH($G4:$P4,R4)))+SUMPRODUCT(($G4:$P4&lt;&gt;"")*ISERROR(SEARCH($G4:$P4,S4)))+SUMPRODUCT(($G4:$P4&lt;&gt;"")*ISERROR(SEARCH($G4:$P4,T4)))+SUMPRODUCT(($G4:$P4&lt;&gt;"")*ISERROR(SEARCH($G4:$P4,U4)))+SUMPRODUCT(($G4:$P4&lt;&gt;"")*ISERROR(SEARCH($G4:$P4,V4)))+SUMPRODUCT(($G4:$P4&lt;&gt;"")*ISERROR(SEARCH($G4:$P4,W4)))</f>
        <v/>
      </c>
      <c r="Y4" s="10" t="inlineStr">
        <is>
          <t>Pelo rádio VHF ('O velho rádio VHF chia. É o farol:'). Está em final.js mas pertence ao fim do prólogo; o trecho do arquivo termina truncado logo após esta linha.</t>
        </is>
      </c>
    </row>
    <row r="5" ht="124.6" customHeight="1" s="8">
      <c r="A5" s="10" t="inlineStr">
        <is>
          <t>fin-04</t>
        </is>
      </c>
      <c r="B5" s="10" t="inlineStr">
        <is>
          <t>epílogo: os celulares vibram pela última vez</t>
        </is>
      </c>
      <c r="C5" s="10" t="inlineStr">
        <is>
          <t>voz</t>
        </is>
      </c>
      <c r="D5" s="10" t="inlineStr">
        <is>
          <t>acompanhante</t>
        </is>
      </c>
      <c r="E5" s="10" t="inlineStr">
        <is>
          <t>todos (número desconhecido)</t>
        </is>
      </c>
      <c r="F5" s="10" t="n"/>
      <c r="G5" s="10" t="inlineStr">
        <is>
          <t>papel</t>
        </is>
      </c>
      <c r="H5" s="10" t="inlineStr">
        <is>
          <t>pessoa</t>
        </is>
      </c>
      <c r="I5" s="10" t="n"/>
      <c r="J5" s="10" t="n"/>
      <c r="K5" s="10" t="n"/>
      <c r="L5" s="10" t="n"/>
      <c r="M5" s="10" t="n"/>
      <c r="N5" s="10" t="n"/>
      <c r="O5" s="10" t="n"/>
      <c r="P5" s="10" t="n"/>
      <c r="Q5" s="10" t="inlineStr">
        <is>
          <t>Acharam o papel. Falta a pessoa.</t>
        </is>
      </c>
      <c r="R5" s="13" t="inlineStr">
        <is>
          <t>Acharam o papel! Falta a pessoa.</t>
        </is>
      </c>
      <c r="S5" s="13" t="inlineStr">
        <is>
          <t>O papel… sim. A pessoa… falta.</t>
        </is>
      </c>
      <c r="T5" s="13" t="inlineStr">
        <is>
          <t>Acharam o papel… mas falta a pessoa, não falta?</t>
        </is>
      </c>
      <c r="U5" s="13" t="inlineStr">
        <is>
          <t>O papel, acharam. A pessoa, ainda falta.</t>
        </is>
      </c>
      <c r="V5" s="13" t="inlineStr">
        <is>
          <t>Acharam o papel. Falta a pessoa.</t>
        </is>
      </c>
      <c r="W5" s="13" t="inlineStr">
        <is>
          <t>Papel: achado. Pessoa: em falta.</t>
        </is>
      </c>
      <c r="X5" s="10">
        <f>SUMPRODUCT(($G5:$P5&lt;&gt;"")*ISERROR(SEARCH($G5:$P5,R5)))+SUMPRODUCT(($G5:$P5&lt;&gt;"")*ISERROR(SEARCH($G5:$P5,S5)))+SUMPRODUCT(($G5:$P5&lt;&gt;"")*ISERROR(SEARCH($G5:$P5,T5)))+SUMPRODUCT(($G5:$P5&lt;&gt;"")*ISERROR(SEARCH($G5:$P5,U5)))+SUMPRODUCT(($G5:$P5&lt;&gt;"")*ISERROR(SEARCH($G5:$P5,V5)))+SUMPRODUCT(($G5:$P5&lt;&gt;"")*ISERROR(SEARCH($G5:$P5,W5)))</f>
        <v/>
      </c>
      <c r="Y5" s="10" t="inlineStr">
        <is>
          <t>Função: despedida da voz; fecha o caso do documento (o adendo/ata lido) e deixa aberta a identidade de quem o acompanhou até o fim ('identidade a apurar'). Textos antigos: guardia 'Reguem o jasmim. Ele pediu.', explosiva 'Leram. Agora saiam do quarto.', ardilosa 'Acharam o papel. Falta a pessoa.' (mantido igual em evasivo), quieta 'Boa noite.'. Definida em cap5.js (MSG_EPILOGO), usada em final.js.</t>
        </is>
      </c>
    </row>
  </sheetData>
  <autoFilter ref="A1:Y5"/>
  <conditionalFormatting sqref="X2:X5">
    <cfRule type="expression" rank="0" priority="2" equalAverage="0" aboveAverage="0" dxfId="4" text="" percent="0" bottom="0">
      <formula>X2&gt;0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Z55"/>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2"/>
    <col width="24" customWidth="1" style="7" min="3" max="3"/>
    <col width="12" customWidth="1" style="7" min="4" max="4"/>
    <col width="18" customWidth="1" style="7" min="5" max="5"/>
    <col width="12" customWidth="1" style="7" min="6" max="6"/>
    <col width="14" customWidth="1" style="7" min="7" max="7"/>
    <col width="12" customWidth="1" style="7" min="8" max="17"/>
    <col width="40" customWidth="1" style="7" min="18" max="18"/>
    <col width="38" customWidth="1" style="7" min="19" max="24"/>
    <col width="8" customWidth="1" style="7" min="25" max="25"/>
    <col width="34" customWidth="1" style="7" min="26" max="26"/>
  </cols>
  <sheetData>
    <row r="1" ht="15" customHeight="1" s="8">
      <c r="A1" s="12" t="inlineStr">
        <is>
          <t>ID</t>
        </is>
      </c>
      <c r="B1" s="12" t="inlineStr">
        <is>
          <t>Partida</t>
        </is>
      </c>
      <c r="C1" s="12" t="inlineStr">
        <is>
          <t>Cena</t>
        </is>
      </c>
      <c r="D1" s="12" t="inlineStr">
        <is>
          <t>Momento</t>
        </is>
      </c>
      <c r="E1" s="12" t="inlineStr">
        <is>
          <t>Quem fala</t>
        </is>
      </c>
      <c r="F1" s="12" t="inlineStr">
        <is>
          <t>Com quem</t>
        </is>
      </c>
      <c r="G1" s="12" t="inlineStr">
        <is>
          <t>Condição</t>
        </is>
      </c>
      <c r="H1" s="12" t="inlineStr">
        <is>
          <t>Item 1</t>
        </is>
      </c>
      <c r="I1" s="12" t="inlineStr">
        <is>
          <t>Item 2</t>
        </is>
      </c>
      <c r="J1" s="12" t="inlineStr">
        <is>
          <t>Item 3</t>
        </is>
      </c>
      <c r="K1" s="12" t="inlineStr">
        <is>
          <t>Item 4</t>
        </is>
      </c>
      <c r="L1" s="12" t="inlineStr">
        <is>
          <t>Item 5</t>
        </is>
      </c>
      <c r="M1" s="12" t="inlineStr">
        <is>
          <t>Item 6</t>
        </is>
      </c>
      <c r="N1" s="12" t="inlineStr">
        <is>
          <t>Item 7</t>
        </is>
      </c>
      <c r="O1" s="12" t="inlineStr">
        <is>
          <t>Item 8</t>
        </is>
      </c>
      <c r="P1" s="12" t="inlineStr">
        <is>
          <t>Item 9</t>
        </is>
      </c>
      <c r="Q1" s="12" t="inlineStr">
        <is>
          <t>Item 10</t>
        </is>
      </c>
      <c r="R1" s="12" t="inlineStr">
        <is>
          <t>Fala original</t>
        </is>
      </c>
      <c r="S1" s="12" t="inlineStr">
        <is>
          <t>Explosivo</t>
        </is>
      </c>
      <c r="T1" s="12" t="inlineStr">
        <is>
          <t>Calmo opaco</t>
        </is>
      </c>
      <c r="U1" s="12" t="inlineStr">
        <is>
          <t>Ingênuo</t>
        </is>
      </c>
      <c r="V1" s="12" t="inlineStr">
        <is>
          <t>Leal cego</t>
        </is>
      </c>
      <c r="W1" s="12" t="inlineStr">
        <is>
          <t>Evasivo</t>
        </is>
      </c>
      <c r="X1" s="12" t="inlineStr">
        <is>
          <t>Burocrata</t>
        </is>
      </c>
      <c r="Y1" s="12" t="inlineStr">
        <is>
          <t>Faltam</t>
        </is>
      </c>
      <c r="Z1" s="12" t="inlineStr">
        <is>
          <t>Nota</t>
        </is>
      </c>
    </row>
    <row r="2" ht="57.45" customHeight="1" s="8">
      <c r="A2" s="10" t="inlineStr">
        <is>
          <t>c1-p1-01</t>
        </is>
      </c>
      <c r="B2" s="10" t="n">
        <v>1</v>
      </c>
      <c r="C2" s="10" t="inlineStr">
        <is>
          <t>quem deixa escapar que voltou à casa</t>
        </is>
      </c>
      <c r="D2" s="10" t="inlineStr">
        <is>
          <t>roteiro</t>
        </is>
      </c>
      <c r="E2" s="10" t="inlineStr">
        <is>
          <t>herdeira</t>
        </is>
      </c>
      <c r="F2" s="10" t="inlineStr">
        <is>
          <t>sala do relógio</t>
        </is>
      </c>
      <c r="G2" s="10" t="n"/>
      <c r="H2" s="10" t="inlineStr">
        <is>
          <t>piano</t>
        </is>
      </c>
      <c r="I2" s="10" t="inlineStr">
        <is>
          <t>mudou de lugar</t>
        </is>
      </c>
      <c r="J2" s="10" t="inlineStr">
        <is>
          <t>desde as fotos</t>
        </is>
      </c>
      <c r="K2" s="10" t="n"/>
      <c r="L2" s="10" t="n"/>
      <c r="M2" s="10" t="n"/>
      <c r="N2" s="10" t="n"/>
      <c r="O2" s="10" t="n"/>
      <c r="P2" s="10" t="n"/>
      <c r="Q2" s="10" t="n"/>
      <c r="R2" s="10" t="inlineStr">
        <is>
          <t>O piano mudou de lugar desde as fotos.</t>
        </is>
      </c>
      <c r="S2" s="13" t="inlineStr">
        <is>
          <t>O piano mudou de lugar desde as fotos! Francamente.</t>
        </is>
      </c>
      <c r="T2" s="13" t="inlineStr">
        <is>
          <t>O piano… mudou de lugar. Desde as fotos.</t>
        </is>
      </c>
      <c r="U2" s="13" t="inlineStr">
        <is>
          <t>O piano mudou de lugar desde as fotos… alguém mais reparou?</t>
        </is>
      </c>
      <c r="V2" s="13" t="inlineStr">
        <is>
          <t>O piano mudou de lugar desde as fotos. Mudou.</t>
        </is>
      </c>
      <c r="W2" s="13" t="inlineStr">
        <is>
          <t>A estrada inteira esburacada… O piano mudou de lugar desde as fotos.</t>
        </is>
      </c>
      <c r="X2" s="13" t="inlineStr">
        <is>
          <t>Consta divergência: o piano mudou de lugar desde as fotos.</t>
        </is>
      </c>
      <c r="Y2" s="10">
        <f>SUMPRODUCT(($H2:$Q2&lt;&gt;"")*ISERROR(SEARCH($H2:$Q2,S2)))+SUMPRODUCT(($H2:$Q2&lt;&gt;"")*ISERROR(SEARCH($H2:$Q2,T2)))+SUMPRODUCT(($H2:$Q2&lt;&gt;"")*ISERROR(SEARCH($H2:$Q2,U2)))+SUMPRODUCT(($H2:$Q2&lt;&gt;"")*ISERROR(SEARCH($H2:$Q2,V2)))+SUMPRODUCT(($H2:$Q2&lt;&gt;"")*ISERROR(SEARCH($H2:$Q2,W2)))+SUMPRODUCT(($H2:$Q2&lt;&gt;"")*ISERROR(SEARCH($H2:$Q2,X2)))</f>
        <v/>
      </c>
      <c r="Z2" s="10" t="inlineStr">
        <is>
          <t>Enquadre: Na(X)+' olhou em volta e deixou escapar: &lt;i&gt;"…"&lt;/i&gt; Ninguém comentou. Ainda.' É a pista de quem voltou à casa depois da morte, antes de ontem.</t>
        </is>
      </c>
    </row>
    <row r="3" ht="102.2" customHeight="1" s="8">
      <c r="A3" s="10" t="inlineStr">
        <is>
          <t>c1-p2-01</t>
        </is>
      </c>
      <c r="B3" s="10" t="n">
        <v>2</v>
      </c>
      <c r="C3" s="10" t="inlineStr">
        <is>
          <t>quem deixa escapar que voltou à casa</t>
        </is>
      </c>
      <c r="D3" s="10" t="inlineStr">
        <is>
          <t>roteiro</t>
        </is>
      </c>
      <c r="E3" s="10" t="inlineStr">
        <is>
          <t>governanta</t>
        </is>
      </c>
      <c r="F3" s="10" t="inlineStr">
        <is>
          <t>sala do relógio</t>
        </is>
      </c>
      <c r="G3" s="10" t="n"/>
      <c r="H3" s="10" t="inlineStr">
        <is>
          <t>janela da copa</t>
        </is>
      </c>
      <c r="I3" s="10" t="inlineStr">
        <is>
          <t>emperrou de novo</t>
        </is>
      </c>
      <c r="J3" s="10" t="inlineStr">
        <is>
          <t>terça passada</t>
        </is>
      </c>
      <c r="K3" s="10" t="inlineStr">
        <is>
          <t>brigado</t>
        </is>
      </c>
      <c r="L3" s="10" t="n"/>
      <c r="M3" s="10" t="n"/>
      <c r="N3" s="10" t="n"/>
      <c r="O3" s="10" t="n"/>
      <c r="P3" s="10" t="n"/>
      <c r="Q3" s="10" t="n"/>
      <c r="R3" s="10" t="inlineStr">
        <is>
          <t>Essa janela da copa emperrou de novo. Na terça passada eu já tinha brigado com ela.</t>
        </is>
      </c>
      <c r="S3" s="13" t="inlineStr">
        <is>
          <t>Essa janela da copa emperrou de novo! Na terça passada eu já tinha brigado com ela.</t>
        </is>
      </c>
      <c r="T3" s="13" t="inlineStr">
        <is>
          <t>A janela da copa… emperrou de novo. Na terça passada… eu já tinha brigado com ela.</t>
        </is>
      </c>
      <c r="U3" s="13" t="inlineStr">
        <is>
          <t>A janela da copa emperrou de novo? Na terça passada eu já tinha brigado com ela…</t>
        </is>
      </c>
      <c r="V3" s="13" t="inlineStr">
        <is>
          <t>Essa janela da copa emperrou de novo. E na terça passada eu já tinha brigado com ela.</t>
        </is>
      </c>
      <c r="W3" s="13" t="inlineStr">
        <is>
          <t>Estou moída da estrada… Essa janela da copa emperrou de novo. Na terça passada eu já tinha brigado com ela.</t>
        </is>
      </c>
      <c r="X3" s="13" t="inlineStr">
        <is>
          <t>Janela da copa, emperrou de novo. Na terça passada eu já tinha brigado com ela.</t>
        </is>
      </c>
      <c r="Y3" s="10">
        <f>SUMPRODUCT(($H3:$Q3&lt;&gt;"")*ISERROR(SEARCH($H3:$Q3,S3)))+SUMPRODUCT(($H3:$Q3&lt;&gt;"")*ISERROR(SEARCH($H3:$Q3,T3)))+SUMPRODUCT(($H3:$Q3&lt;&gt;"")*ISERROR(SEARCH($H3:$Q3,U3)))+SUMPRODUCT(($H3:$Q3&lt;&gt;"")*ISERROR(SEARCH($H3:$Q3,V3)))+SUMPRODUCT(($H3:$Q3&lt;&gt;"")*ISERROR(SEARCH($H3:$Q3,W3)))+SUMPRODUCT(($H3:$Q3&lt;&gt;"")*ISERROR(SEARCH($H3:$Q3,X3)))</f>
        <v/>
      </c>
      <c r="Z3" s="10" t="inlineStr">
        <is>
          <t>Enquadre: Na(X)+' olhou em volta e deixou escapar: &lt;i&gt;"…"&lt;/i&gt; Ninguém comentou. Ainda.' É a pista de quem voltou à casa depois da morte, antes de ontem. Original trocada em 02/10: o tempo verbal escorrega para depois da morte; "terça" liga ao segredo da Governanta (vinha às terças arejar a casa vazia).</t>
        </is>
      </c>
    </row>
    <row r="4" ht="57.45" customHeight="1" s="8">
      <c r="A4" s="10" t="inlineStr">
        <is>
          <t>c1-p4-01</t>
        </is>
      </c>
      <c r="B4" s="10" t="n">
        <v>4</v>
      </c>
      <c r="C4" s="10" t="inlineStr">
        <is>
          <t>quem deixa escapar que voltou à casa</t>
        </is>
      </c>
      <c r="D4" s="10" t="inlineStr">
        <is>
          <t>roteiro</t>
        </is>
      </c>
      <c r="E4" s="10" t="inlineStr">
        <is>
          <t>jardineiro</t>
        </is>
      </c>
      <c r="F4" s="10" t="inlineStr">
        <is>
          <t>sala do relógio</t>
        </is>
      </c>
      <c r="G4" s="10" t="n"/>
      <c r="H4" s="10" t="inlineStr">
        <is>
          <t>gato</t>
        </is>
      </c>
      <c r="I4" s="10" t="inlineStr">
        <is>
          <t>engordou</t>
        </is>
      </c>
      <c r="J4" s="10" t="inlineStr">
        <is>
          <t>lacraram a casa</t>
        </is>
      </c>
      <c r="K4" s="10" t="n"/>
      <c r="L4" s="10" t="n"/>
      <c r="M4" s="10" t="n"/>
      <c r="N4" s="10" t="n"/>
      <c r="O4" s="10" t="n"/>
      <c r="P4" s="10" t="n"/>
      <c r="Q4" s="10" t="n"/>
      <c r="R4" s="10" t="inlineStr">
        <is>
          <t>O gato engordou desde que lacraram a casa.</t>
        </is>
      </c>
      <c r="S4" s="13" t="inlineStr">
        <is>
          <t>O gato engordou desde que lacraram a casa! Que coisa.</t>
        </is>
      </c>
      <c r="T4" s="13" t="inlineStr">
        <is>
          <t>O gato… engordou. Desde que lacraram a casa.</t>
        </is>
      </c>
      <c r="U4" s="13" t="inlineStr">
        <is>
          <t>O gato engordou desde que lacraram a casa, não engordou? Ou é impressão minha…</t>
        </is>
      </c>
      <c r="V4" s="13" t="inlineStr">
        <is>
          <t>O gato engordou desde que lacraram a casa. Isso eu garanto.</t>
        </is>
      </c>
      <c r="W4" s="13" t="inlineStr">
        <is>
          <t>A chuva não deu trégua o caminho todo… O gato engordou desde que lacraram a casa.</t>
        </is>
      </c>
      <c r="X4" s="13" t="inlineStr">
        <is>
          <t>Observação: o gato engordou desde que lacraram a casa.</t>
        </is>
      </c>
      <c r="Y4" s="10">
        <f>SUMPRODUCT(($H4:$Q4&lt;&gt;"")*ISERROR(SEARCH($H4:$Q4,S4)))+SUMPRODUCT(($H4:$Q4&lt;&gt;"")*ISERROR(SEARCH($H4:$Q4,T4)))+SUMPRODUCT(($H4:$Q4&lt;&gt;"")*ISERROR(SEARCH($H4:$Q4,U4)))+SUMPRODUCT(($H4:$Q4&lt;&gt;"")*ISERROR(SEARCH($H4:$Q4,V4)))+SUMPRODUCT(($H4:$Q4&lt;&gt;"")*ISERROR(SEARCH($H4:$Q4,W4)))+SUMPRODUCT(($H4:$Q4&lt;&gt;"")*ISERROR(SEARCH($H4:$Q4,X4)))</f>
        <v/>
      </c>
      <c r="Z4" s="10" t="inlineStr">
        <is>
          <t>Enquadre: Na(X)+' olhou em volta e deixou escapar: &lt;i&gt;"…"&lt;/i&gt; Ninguém comentou. Ainda.' É a pista de quem voltou à casa depois da morte, antes de ontem.</t>
        </is>
      </c>
    </row>
    <row r="5" ht="57.45" customHeight="1" s="8">
      <c r="A5" s="10" t="inlineStr">
        <is>
          <t>c1-p5-01</t>
        </is>
      </c>
      <c r="B5" s="10" t="inlineStr">
        <is>
          <t>5, 13</t>
        </is>
      </c>
      <c r="C5" s="10" t="inlineStr">
        <is>
          <t>quem deixa escapar que voltou à casa</t>
        </is>
      </c>
      <c r="D5" s="10" t="inlineStr">
        <is>
          <t>roteiro</t>
        </is>
      </c>
      <c r="E5" s="10" t="inlineStr">
        <is>
          <t>jornalista</t>
        </is>
      </c>
      <c r="F5" s="10" t="inlineStr">
        <is>
          <t>sala do relógio</t>
        </is>
      </c>
      <c r="G5" s="10" t="n"/>
      <c r="H5" s="10" t="inlineStr">
        <is>
          <t>da última vez</t>
        </is>
      </c>
      <c r="I5" s="10" t="inlineStr">
        <is>
          <t>portão</t>
        </is>
      </c>
      <c r="J5" s="10" t="inlineStr">
        <is>
          <t>corrente</t>
        </is>
      </c>
      <c r="K5" s="10" t="n"/>
      <c r="L5" s="10" t="n"/>
      <c r="M5" s="10" t="n"/>
      <c r="N5" s="10" t="n"/>
      <c r="O5" s="10" t="n"/>
      <c r="P5" s="10" t="n"/>
      <c r="Q5" s="10" t="n"/>
      <c r="R5" s="10" t="inlineStr">
        <is>
          <t>Da última vez, o portão tinha corrente.</t>
        </is>
      </c>
      <c r="S5" s="13" t="inlineStr">
        <is>
          <t>Da última vez, o portão tinha corrente! Tinha, sim.</t>
        </is>
      </c>
      <c r="T5" s="13" t="inlineStr">
        <is>
          <t>Da última vez… o portão. Tinha corrente.</t>
        </is>
      </c>
      <c r="U5" s="13" t="inlineStr">
        <is>
          <t>Da última vez, o portão tinha corrente, não tinha?</t>
        </is>
      </c>
      <c r="V5" s="13" t="inlineStr">
        <is>
          <t>Da última vez, o portão tinha corrente. Disso eu tenho certeza.</t>
        </is>
      </c>
      <c r="W5" s="13" t="inlineStr">
        <is>
          <t>Aquela estrada de terra, um lamaçal… Da última vez, o portão tinha corrente.</t>
        </is>
      </c>
      <c r="X5" s="13" t="inlineStr">
        <is>
          <t>Anoto: da última vez, o portão tinha corrente.</t>
        </is>
      </c>
      <c r="Y5" s="10">
        <f>SUMPRODUCT(($H5:$Q5&lt;&gt;"")*ISERROR(SEARCH($H5:$Q5,S5)))+SUMPRODUCT(($H5:$Q5&lt;&gt;"")*ISERROR(SEARCH($H5:$Q5,T5)))+SUMPRODUCT(($H5:$Q5&lt;&gt;"")*ISERROR(SEARCH($H5:$Q5,U5)))+SUMPRODUCT(($H5:$Q5&lt;&gt;"")*ISERROR(SEARCH($H5:$Q5,V5)))+SUMPRODUCT(($H5:$Q5&lt;&gt;"")*ISERROR(SEARCH($H5:$Q5,W5)))+SUMPRODUCT(($H5:$Q5&lt;&gt;"")*ISERROR(SEARCH($H5:$Q5,X5)))</f>
        <v/>
      </c>
      <c r="Z5" s="10" t="inlineStr">
        <is>
          <t>Enquadre: Na(X)+' olhou em volta e deixou escapar: &lt;i&gt;"…"&lt;/i&gt; Ninguém comentou. Ainda.' É a pista de quem voltou à casa depois da morte, antes de ontem.</t>
        </is>
      </c>
    </row>
    <row r="6" ht="57.45" customHeight="1" s="8">
      <c r="A6" s="10" t="inlineStr">
        <is>
          <t>c1-p6-01</t>
        </is>
      </c>
      <c r="B6" s="10" t="n">
        <v>6</v>
      </c>
      <c r="C6" s="10" t="inlineStr">
        <is>
          <t>quem deixa escapar que voltou à casa</t>
        </is>
      </c>
      <c r="D6" s="10" t="inlineStr">
        <is>
          <t>roteiro</t>
        </is>
      </c>
      <c r="E6" s="10" t="inlineStr">
        <is>
          <t>observadora</t>
        </is>
      </c>
      <c r="F6" s="10" t="inlineStr">
        <is>
          <t>sala do relógio</t>
        </is>
      </c>
      <c r="G6" s="10" t="n"/>
      <c r="H6" s="10" t="inlineStr">
        <is>
          <t>cortina da biblioteca</t>
        </is>
      </c>
      <c r="I6" s="10" t="inlineStr">
        <is>
          <t>lavada</t>
        </is>
      </c>
      <c r="J6" s="10" t="n"/>
      <c r="K6" s="10" t="n"/>
      <c r="L6" s="10" t="n"/>
      <c r="M6" s="10" t="n"/>
      <c r="N6" s="10" t="n"/>
      <c r="O6" s="10" t="n"/>
      <c r="P6" s="10" t="n"/>
      <c r="Q6" s="10" t="n"/>
      <c r="R6" s="10" t="inlineStr">
        <is>
          <t>A cortina da biblioteca foi lavada.</t>
        </is>
      </c>
      <c r="S6" s="13" t="inlineStr">
        <is>
          <t>A cortina da biblioteca foi lavada! Ninguém percebe?</t>
        </is>
      </c>
      <c r="T6" s="13" t="inlineStr">
        <is>
          <t>A cortina da biblioteca… lavada.</t>
        </is>
      </c>
      <c r="U6" s="13" t="inlineStr">
        <is>
          <t>A cortina da biblioteca foi lavada, não foi?</t>
        </is>
      </c>
      <c r="V6" s="13" t="inlineStr">
        <is>
          <t>A cortina da biblioteca foi lavada. Disso não tenho dúvida.</t>
        </is>
      </c>
      <c r="W6" s="13" t="inlineStr">
        <is>
          <t>Ainda sinto a umidade nos ossos… A cortina da biblioteca foi lavada.</t>
        </is>
      </c>
      <c r="X6" s="13" t="inlineStr">
        <is>
          <t>Cortina da biblioteca: lavada.</t>
        </is>
      </c>
      <c r="Y6" s="10">
        <f>SUMPRODUCT(($H6:$Q6&lt;&gt;"")*ISERROR(SEARCH($H6:$Q6,S6)))+SUMPRODUCT(($H6:$Q6&lt;&gt;"")*ISERROR(SEARCH($H6:$Q6,T6)))+SUMPRODUCT(($H6:$Q6&lt;&gt;"")*ISERROR(SEARCH($H6:$Q6,U6)))+SUMPRODUCT(($H6:$Q6&lt;&gt;"")*ISERROR(SEARCH($H6:$Q6,V6)))+SUMPRODUCT(($H6:$Q6&lt;&gt;"")*ISERROR(SEARCH($H6:$Q6,W6)))+SUMPRODUCT(($H6:$Q6&lt;&gt;"")*ISERROR(SEARCH($H6:$Q6,X6)))</f>
        <v/>
      </c>
      <c r="Z6" s="10" t="inlineStr">
        <is>
          <t>Enquadre: Na(X)+' olhou em volta e deixou escapar: &lt;i&gt;"…"&lt;/i&gt; Ninguém comentou. Ainda.' É a pista de quem voltou à casa depois da morte, antes de ontem.</t>
        </is>
      </c>
    </row>
    <row r="7" ht="57.45" customHeight="1" s="8">
      <c r="A7" s="10" t="inlineStr">
        <is>
          <t>c1-p7-01</t>
        </is>
      </c>
      <c r="B7" s="10" t="n">
        <v>7</v>
      </c>
      <c r="C7" s="10" t="inlineStr">
        <is>
          <t>quem deixa escapar que voltou à casa</t>
        </is>
      </c>
      <c r="D7" s="10" t="inlineStr">
        <is>
          <t>roteiro</t>
        </is>
      </c>
      <c r="E7" s="10" t="inlineStr">
        <is>
          <t>policial</t>
        </is>
      </c>
      <c r="F7" s="10" t="inlineStr">
        <is>
          <t>sala do relógio</t>
        </is>
      </c>
      <c r="G7" s="10" t="n"/>
      <c r="H7" s="10" t="inlineStr">
        <is>
          <t>fechadura do vestíbulo</t>
        </is>
      </c>
      <c r="I7" s="10" t="inlineStr">
        <is>
          <t>eu mesmo troquei</t>
        </is>
      </c>
      <c r="J7" s="10" t="n"/>
      <c r="K7" s="10" t="n"/>
      <c r="L7" s="10" t="n"/>
      <c r="M7" s="10" t="n"/>
      <c r="N7" s="10" t="n"/>
      <c r="O7" s="10" t="n"/>
      <c r="P7" s="10" t="n"/>
      <c r="Q7" s="10" t="n"/>
      <c r="R7" s="10" t="inlineStr">
        <is>
          <t>A fechadura do vestíbulo eu mesmo troquei.</t>
        </is>
      </c>
      <c r="S7" s="13" t="inlineStr">
        <is>
          <t>A fechadura do vestíbulo? Eu mesmo troquei!</t>
        </is>
      </c>
      <c r="T7" s="13" t="inlineStr">
        <is>
          <t>A fechadura do vestíbulo… eu mesmo troquei.</t>
        </is>
      </c>
      <c r="U7" s="13" t="inlineStr">
        <is>
          <t>A fechadura do vestíbulo eu mesmo troquei, olha só.</t>
        </is>
      </c>
      <c r="V7" s="13" t="inlineStr">
        <is>
          <t>A fechadura do vestíbulo eu mesmo troquei.</t>
        </is>
      </c>
      <c r="W7" s="13" t="inlineStr">
        <is>
          <t>Ainda estou com a estrada no corpo… A fechadura do vestíbulo eu mesmo troquei.</t>
        </is>
      </c>
      <c r="X7" s="13" t="inlineStr">
        <is>
          <t>Para registro: a fechadura do vestíbulo eu mesmo troquei.</t>
        </is>
      </c>
      <c r="Y7" s="10">
        <f>SUMPRODUCT(($H7:$Q7&lt;&gt;"")*ISERROR(SEARCH($H7:$Q7,S7)))+SUMPRODUCT(($H7:$Q7&lt;&gt;"")*ISERROR(SEARCH($H7:$Q7,T7)))+SUMPRODUCT(($H7:$Q7&lt;&gt;"")*ISERROR(SEARCH($H7:$Q7,U7)))+SUMPRODUCT(($H7:$Q7&lt;&gt;"")*ISERROR(SEARCH($H7:$Q7,V7)))+SUMPRODUCT(($H7:$Q7&lt;&gt;"")*ISERROR(SEARCH($H7:$Q7,W7)))+SUMPRODUCT(($H7:$Q7&lt;&gt;"")*ISERROR(SEARCH($H7:$Q7,X7)))</f>
        <v/>
      </c>
      <c r="Z7" s="10" t="inlineStr">
        <is>
          <t>Enquadre: Na(X)+' olhou em volta e deixou escapar: &lt;i&gt;"…"&lt;/i&gt; Ninguém comentou. Ainda.' É a pista de quem voltou à casa depois da morte, antes de ontem.</t>
        </is>
      </c>
    </row>
    <row r="8" ht="57.45" customHeight="1" s="8">
      <c r="A8" s="10" t="inlineStr">
        <is>
          <t>c1-p9-01</t>
        </is>
      </c>
      <c r="B8" s="10" t="n">
        <v>9</v>
      </c>
      <c r="C8" s="10" t="inlineStr">
        <is>
          <t>quem deixa escapar que voltou à casa</t>
        </is>
      </c>
      <c r="D8" s="10" t="inlineStr">
        <is>
          <t>roteiro</t>
        </is>
      </c>
      <c r="E8" s="10" t="inlineStr">
        <is>
          <t>investigador</t>
        </is>
      </c>
      <c r="F8" s="10" t="inlineStr">
        <is>
          <t>sala do relógio</t>
        </is>
      </c>
      <c r="G8" s="10" t="n"/>
      <c r="H8" s="10" t="inlineStr">
        <is>
          <t>sensor da janela</t>
        </is>
      </c>
      <c r="I8" s="10" t="inlineStr">
        <is>
          <t>ainda está aqui</t>
        </is>
      </c>
      <c r="J8" s="10" t="n"/>
      <c r="K8" s="10" t="n"/>
      <c r="L8" s="10" t="n"/>
      <c r="M8" s="10" t="n"/>
      <c r="N8" s="10" t="n"/>
      <c r="O8" s="10" t="n"/>
      <c r="P8" s="10" t="n"/>
      <c r="Q8" s="10" t="n"/>
      <c r="R8" s="10" t="inlineStr">
        <is>
          <t>O sensor da janela ainda está aqui.</t>
        </is>
      </c>
      <c r="S8" s="13" t="inlineStr">
        <is>
          <t>O sensor da janela ainda está aqui! Ninguém tirou.</t>
        </is>
      </c>
      <c r="T8" s="13" t="inlineStr">
        <is>
          <t>O sensor da janela… ainda está aqui.</t>
        </is>
      </c>
      <c r="U8" s="13" t="inlineStr">
        <is>
          <t>Olha, o sensor da janela ainda está aqui… alguém mais tinha visto?</t>
        </is>
      </c>
      <c r="V8" s="13" t="inlineStr">
        <is>
          <t>O sensor da janela ainda está aqui.</t>
        </is>
      </c>
      <c r="W8" s="13" t="inlineStr">
        <is>
          <t>Essa demora toda pra chegar… O sensor da janela ainda está aqui.</t>
        </is>
      </c>
      <c r="X8" s="13" t="inlineStr">
        <is>
          <t>Verificado: o sensor da janela ainda está aqui.</t>
        </is>
      </c>
      <c r="Y8" s="10">
        <f>SUMPRODUCT(($H8:$Q8&lt;&gt;"")*ISERROR(SEARCH($H8:$Q8,S8)))+SUMPRODUCT(($H8:$Q8&lt;&gt;"")*ISERROR(SEARCH($H8:$Q8,T8)))+SUMPRODUCT(($H8:$Q8&lt;&gt;"")*ISERROR(SEARCH($H8:$Q8,U8)))+SUMPRODUCT(($H8:$Q8&lt;&gt;"")*ISERROR(SEARCH($H8:$Q8,V8)))+SUMPRODUCT(($H8:$Q8&lt;&gt;"")*ISERROR(SEARCH($H8:$Q8,W8)))+SUMPRODUCT(($H8:$Q8&lt;&gt;"")*ISERROR(SEARCH($H8:$Q8,X8)))</f>
        <v/>
      </c>
      <c r="Z8" s="10" t="inlineStr">
        <is>
          <t>Enquadre: Na(X)+' olhou em volta e deixou escapar: &lt;i&gt;"…"&lt;/i&gt; Ninguém comentou. Ainda.' É a pista de quem voltou à casa depois da morte, antes de ontem.</t>
        </is>
      </c>
    </row>
    <row r="9" ht="102.2" customHeight="1" s="8">
      <c r="A9" s="10" t="inlineStr">
        <is>
          <t>c1-p10-01</t>
        </is>
      </c>
      <c r="B9" s="10" t="n">
        <v>10</v>
      </c>
      <c r="C9" s="10" t="inlineStr">
        <is>
          <t>quem deixa escapar que voltou à casa</t>
        </is>
      </c>
      <c r="D9" s="10" t="inlineStr">
        <is>
          <t>roteiro</t>
        </is>
      </c>
      <c r="E9" s="10" t="inlineStr">
        <is>
          <t>governanta</t>
        </is>
      </c>
      <c r="F9" s="10" t="inlineStr">
        <is>
          <t>sala do relógio</t>
        </is>
      </c>
      <c r="G9" s="10" t="n"/>
      <c r="H9" s="10" t="inlineStr">
        <is>
          <t>terça passada</t>
        </is>
      </c>
      <c r="I9" s="10" t="inlineStr">
        <is>
          <t>deixei</t>
        </is>
      </c>
      <c r="J9" s="10" t="inlineStr">
        <is>
          <t>janelas fechadas</t>
        </is>
      </c>
      <c r="K9" s="10" t="n"/>
      <c r="L9" s="10" t="n"/>
      <c r="M9" s="10" t="n"/>
      <c r="N9" s="10" t="n"/>
      <c r="O9" s="10" t="n"/>
      <c r="P9" s="10" t="n"/>
      <c r="Q9" s="10" t="n"/>
      <c r="R9" s="10" t="inlineStr">
        <is>
          <t>Na terça passada eu deixei estas janelas fechadas…</t>
        </is>
      </c>
      <c r="S9" s="13" t="inlineStr">
        <is>
          <t>Na terça passada eu deixei estas janelas fechadas, poxa!</t>
        </is>
      </c>
      <c r="T9" s="13" t="inlineStr">
        <is>
          <t>Na terça passada… deixei estas janelas fechadas…</t>
        </is>
      </c>
      <c r="U9" s="13" t="inlineStr">
        <is>
          <t>Na terça passada eu deixei estas janelas fechadas… não deixei?</t>
        </is>
      </c>
      <c r="V9" s="13" t="inlineStr">
        <is>
          <t>Na terça passada eu deixei estas janelas fechadas.</t>
        </is>
      </c>
      <c r="W9" s="13" t="inlineStr">
        <is>
          <t>Essa estrada até aqui não acaba nunca… Na terça passada eu deixei estas janelas fechadas…</t>
        </is>
      </c>
      <c r="X9" s="13" t="inlineStr">
        <is>
          <t>Terça passada: deixei estas janelas fechadas.</t>
        </is>
      </c>
      <c r="Y9" s="10">
        <f>SUMPRODUCT(($H9:$Q9&lt;&gt;"")*ISERROR(SEARCH($H9:$Q9,S9)))+SUMPRODUCT(($H9:$Q9&lt;&gt;"")*ISERROR(SEARCH($H9:$Q9,T9)))+SUMPRODUCT(($H9:$Q9&lt;&gt;"")*ISERROR(SEARCH($H9:$Q9,U9)))+SUMPRODUCT(($H9:$Q9&lt;&gt;"")*ISERROR(SEARCH($H9:$Q9,V9)))+SUMPRODUCT(($H9:$Q9&lt;&gt;"")*ISERROR(SEARCH($H9:$Q9,W9)))+SUMPRODUCT(($H9:$Q9&lt;&gt;"")*ISERROR(SEARCH($H9:$Q9,X9)))</f>
        <v/>
      </c>
      <c r="Z9" s="10" t="inlineStr">
        <is>
          <t>Enquadre: Na(X)+' olhou em volta e deixou escapar: &lt;i&gt;"…"&lt;/i&gt; Ninguém comentou. Ainda.' É a pista de quem voltou à casa depois da morte, antes de ontem. Original trocada em 02/10: o tempo verbal escorrega para depois da morte; "terça" liga ao segredo da Governanta (vinha às terças arejar a casa vazia).</t>
        </is>
      </c>
    </row>
    <row r="10" ht="57.45" customHeight="1" s="8">
      <c r="A10" s="10" t="inlineStr">
        <is>
          <t>c1-p14-01</t>
        </is>
      </c>
      <c r="B10" s="10" t="n">
        <v>14</v>
      </c>
      <c r="C10" s="10" t="inlineStr">
        <is>
          <t>quem deixa escapar que voltou à casa</t>
        </is>
      </c>
      <c r="D10" s="10" t="inlineStr">
        <is>
          <t>roteiro</t>
        </is>
      </c>
      <c r="E10" s="10" t="inlineStr">
        <is>
          <t>advogado</t>
        </is>
      </c>
      <c r="F10" s="10" t="inlineStr">
        <is>
          <t>sala do relógio</t>
        </is>
      </c>
      <c r="G10" s="10" t="n"/>
      <c r="H10" s="10" t="inlineStr">
        <is>
          <t>gaveta da escrivaninha</t>
        </is>
      </c>
      <c r="I10" s="10" t="inlineStr">
        <is>
          <t>agora fecha</t>
        </is>
      </c>
      <c r="J10" s="10" t="n"/>
      <c r="K10" s="10" t="n"/>
      <c r="L10" s="10" t="n"/>
      <c r="M10" s="10" t="n"/>
      <c r="N10" s="10" t="n"/>
      <c r="O10" s="10" t="n"/>
      <c r="P10" s="10" t="n"/>
      <c r="Q10" s="10" t="n"/>
      <c r="R10" s="10" t="inlineStr">
        <is>
          <t>A gaveta da escrivaninha agora fecha.</t>
        </is>
      </c>
      <c r="S10" s="13" t="inlineStr">
        <is>
          <t>A gaveta da escrivaninha agora fecha! Quem diria.</t>
        </is>
      </c>
      <c r="T10" s="13" t="inlineStr">
        <is>
          <t>A gaveta da escrivaninha… agora fecha.</t>
        </is>
      </c>
      <c r="U10" s="13" t="inlineStr">
        <is>
          <t>A gaveta da escrivaninha agora fecha! Que bom.</t>
        </is>
      </c>
      <c r="V10" s="13" t="inlineStr">
        <is>
          <t>A gaveta da escrivaninha agora fecha.</t>
        </is>
      </c>
      <c r="W10" s="13" t="inlineStr">
        <is>
          <t>Que cansaço, essa viagem… A gaveta da escrivaninha agora fecha.</t>
        </is>
      </c>
      <c r="X10" s="13" t="inlineStr">
        <is>
          <t>Gaveta da escrivaninha: agora fecha.</t>
        </is>
      </c>
      <c r="Y10" s="10">
        <f>SUMPRODUCT(($H10:$Q10&lt;&gt;"")*ISERROR(SEARCH($H10:$Q10,S10)))+SUMPRODUCT(($H10:$Q10&lt;&gt;"")*ISERROR(SEARCH($H10:$Q10,T10)))+SUMPRODUCT(($H10:$Q10&lt;&gt;"")*ISERROR(SEARCH($H10:$Q10,U10)))+SUMPRODUCT(($H10:$Q10&lt;&gt;"")*ISERROR(SEARCH($H10:$Q10,V10)))+SUMPRODUCT(($H10:$Q10&lt;&gt;"")*ISERROR(SEARCH($H10:$Q10,W10)))+SUMPRODUCT(($H10:$Q10&lt;&gt;"")*ISERROR(SEARCH($H10:$Q10,X10)))</f>
        <v/>
      </c>
      <c r="Z10" s="10" t="inlineStr">
        <is>
          <t>Enquadre: Na(X)+' olhou em volta e deixou escapar: &lt;i&gt;"…"&lt;/i&gt; Ninguém comentou. Ainda.' É a pista de quem voltou à casa depois da morte, antes de ontem.</t>
        </is>
      </c>
    </row>
    <row r="11" ht="57.45" customHeight="1" s="8">
      <c r="A11" s="10" t="inlineStr">
        <is>
          <t>c1-p15-01</t>
        </is>
      </c>
      <c r="B11" s="10" t="n">
        <v>15</v>
      </c>
      <c r="C11" s="10" t="inlineStr">
        <is>
          <t>quem deixa escapar que voltou à casa</t>
        </is>
      </c>
      <c r="D11" s="10" t="inlineStr">
        <is>
          <t>roteiro</t>
        </is>
      </c>
      <c r="E11" s="10" t="inlineStr">
        <is>
          <t>eletricista</t>
        </is>
      </c>
      <c r="F11" s="10" t="inlineStr">
        <is>
          <t>sala do relógio</t>
        </is>
      </c>
      <c r="G11" s="10" t="n"/>
      <c r="H11" s="10" t="inlineStr">
        <is>
          <t>mês passado</t>
        </is>
      </c>
      <c r="I11" s="10" t="inlineStr">
        <is>
          <t>medidor</t>
        </is>
      </c>
      <c r="J11" s="10" t="inlineStr">
        <is>
          <t>girava</t>
        </is>
      </c>
      <c r="K11" s="10" t="inlineStr">
        <is>
          <t>casa lacrada</t>
        </is>
      </c>
      <c r="L11" s="10" t="n"/>
      <c r="M11" s="10" t="n"/>
      <c r="N11" s="10" t="n"/>
      <c r="O11" s="10" t="n"/>
      <c r="P11" s="10" t="n"/>
      <c r="Q11" s="10" t="n"/>
      <c r="R11" s="10" t="inlineStr">
        <is>
          <t>Mês passado o medidor ainda girava, com a casa lacrada.</t>
        </is>
      </c>
      <c r="S11" s="13" t="inlineStr">
        <is>
          <t>Mês passado o medidor ainda girava, com a casa lacrada! Girava.</t>
        </is>
      </c>
      <c r="T11" s="13" t="inlineStr">
        <is>
          <t>Mês passado… o medidor ainda girava. Com a casa lacrada.</t>
        </is>
      </c>
      <c r="U11" s="13" t="inlineStr">
        <is>
          <t>Mês passado o medidor ainda girava, com a casa lacrada… isso pode?</t>
        </is>
      </c>
      <c r="V11" s="13" t="inlineStr">
        <is>
          <t>Mês passado o medidor ainda girava, com a casa lacrada.</t>
        </is>
      </c>
      <c r="W11" s="13" t="inlineStr">
        <is>
          <t>Essa chuva fina que não para… Mês passado o medidor ainda girava, com a casa lacrada.</t>
        </is>
      </c>
      <c r="X11" s="13" t="inlineStr">
        <is>
          <t>Leitura: mês passado o medidor ainda girava, com a casa lacrada.</t>
        </is>
      </c>
      <c r="Y11" s="10">
        <f>SUMPRODUCT(($H11:$Q11&lt;&gt;"")*ISERROR(SEARCH($H11:$Q11,S11)))+SUMPRODUCT(($H11:$Q11&lt;&gt;"")*ISERROR(SEARCH($H11:$Q11,T11)))+SUMPRODUCT(($H11:$Q11&lt;&gt;"")*ISERROR(SEARCH($H11:$Q11,U11)))+SUMPRODUCT(($H11:$Q11&lt;&gt;"")*ISERROR(SEARCH($H11:$Q11,V11)))+SUMPRODUCT(($H11:$Q11&lt;&gt;"")*ISERROR(SEARCH($H11:$Q11,W11)))+SUMPRODUCT(($H11:$Q11&lt;&gt;"")*ISERROR(SEARCH($H11:$Q11,X11)))</f>
        <v/>
      </c>
      <c r="Z11" s="10" t="inlineStr">
        <is>
          <t>Enquadre: Na(X)+' olhou em volta e deixou escapar: &lt;i&gt;"…"&lt;/i&gt; Ninguém comentou. Ainda.' É a pista de quem voltou à casa depois da morte, antes de ontem.</t>
        </is>
      </c>
    </row>
    <row r="12" ht="46.25" customHeight="1" s="8">
      <c r="A12" s="10" t="inlineStr">
        <is>
          <t>c1-p6-02</t>
        </is>
      </c>
      <c r="B12" s="10" t="n">
        <v>6</v>
      </c>
      <c r="C12" s="10" t="inlineStr">
        <is>
          <t>a xícara no aparador</t>
        </is>
      </c>
      <c r="D12" s="10" t="inlineStr">
        <is>
          <t>roteiro</t>
        </is>
      </c>
      <c r="E12" s="10" t="inlineStr">
        <is>
          <t>herdeira</t>
        </is>
      </c>
      <c r="F12" s="10" t="inlineStr">
        <is>
          <t>sala do relógio</t>
        </is>
      </c>
      <c r="G12" s="10" t="n"/>
      <c r="H12" s="10" t="inlineStr">
        <is>
          <t>jogo</t>
        </is>
      </c>
      <c r="I12" s="10" t="inlineStr">
        <is>
          <t>minha avó</t>
        </is>
      </c>
      <c r="J12" s="10" t="inlineStr">
        <is>
          <t>desta sala</t>
        </is>
      </c>
      <c r="K12" s="10" t="n"/>
      <c r="L12" s="10" t="n"/>
      <c r="M12" s="10" t="n"/>
      <c r="N12" s="10" t="n"/>
      <c r="O12" s="10" t="n"/>
      <c r="P12" s="10" t="n"/>
      <c r="Q12" s="10" t="n"/>
      <c r="R12" s="10" t="inlineStr">
        <is>
          <t>É o jogo da minha avó. Não é desta sala.</t>
        </is>
      </c>
      <c r="S12" s="13" t="inlineStr">
        <is>
          <t>É o jogo da minha avó. Não é desta sala. Não é.</t>
        </is>
      </c>
      <c r="T12" s="13" t="inlineStr">
        <is>
          <t>É o jogo… da minha avó. Não é desta sala.</t>
        </is>
      </c>
      <c r="U12" s="13" t="inlineStr">
        <is>
          <t>É o jogo da minha avó. Não é desta sala… vocês sabiam?</t>
        </is>
      </c>
      <c r="V12" s="13" t="inlineStr">
        <is>
          <t>É o jogo da minha avó. Não é desta sala.</t>
        </is>
      </c>
      <c r="W12" s="13" t="inlineStr">
        <is>
          <t>Que frio aqui dentro… É o jogo da minha avó. Não é desta sala.</t>
        </is>
      </c>
      <c r="X12" s="13" t="inlineStr">
        <is>
          <t>Identifico: é o jogo da minha avó. Não é desta sala.</t>
        </is>
      </c>
      <c r="Y12" s="10">
        <f>SUMPRODUCT(($H12:$Q12&lt;&gt;"")*ISERROR(SEARCH($H12:$Q12,S12)))+SUMPRODUCT(($H12:$Q12&lt;&gt;"")*ISERROR(SEARCH($H12:$Q12,T12)))+SUMPRODUCT(($H12:$Q12&lt;&gt;"")*ISERROR(SEARCH($H12:$Q12,U12)))+SUMPRODUCT(($H12:$Q12&lt;&gt;"")*ISERROR(SEARCH($H12:$Q12,V12)))+SUMPRODUCT(($H12:$Q12&lt;&gt;"")*ISERROR(SEARCH($H12:$Q12,W12)))+SUMPRODUCT(($H12:$Q12&lt;&gt;"")*ISERROR(SEARCH($H12:$Q12,X12)))</f>
        <v/>
      </c>
      <c r="Z12" s="10" t="inlineStr">
        <is>
          <t>Enquadre: depois de &lt;i&gt;"Essa não é da louça da sala. É de outro jogo, de borda verde."&lt;/i&gt; (tronco), vem ' E depois, mais baixo: &lt;i&gt;"…"&lt;/i&gt;'.</t>
        </is>
      </c>
    </row>
    <row r="13" ht="57.45" customHeight="1" s="8">
      <c r="A13" s="10" t="inlineStr">
        <is>
          <t>c1-p7-02</t>
        </is>
      </c>
      <c r="B13" s="10" t="n">
        <v>7</v>
      </c>
      <c r="C13" s="10" t="inlineStr">
        <is>
          <t>a xícara no aparador</t>
        </is>
      </c>
      <c r="D13" s="10" t="inlineStr">
        <is>
          <t>roteiro</t>
        </is>
      </c>
      <c r="E13" s="10" t="inlineStr">
        <is>
          <t>governanta</t>
        </is>
      </c>
      <c r="F13" s="10" t="inlineStr">
        <is>
          <t>sala do relógio</t>
        </is>
      </c>
      <c r="G13" s="10" t="n"/>
      <c r="H13" s="10" t="inlineStr">
        <is>
          <t>eu servi</t>
        </is>
      </c>
      <c r="I13" s="10" t="inlineStr">
        <is>
          <t>último café</t>
        </is>
      </c>
      <c r="J13" s="10" t="inlineStr">
        <is>
          <t>xícara</t>
        </is>
      </c>
      <c r="K13" s="10" t="inlineStr">
        <is>
          <t>última noite</t>
        </is>
      </c>
      <c r="L13" s="10" t="n"/>
      <c r="M13" s="10" t="n"/>
      <c r="N13" s="10" t="n"/>
      <c r="O13" s="10" t="n"/>
      <c r="P13" s="10" t="n"/>
      <c r="Q13" s="10" t="n"/>
      <c r="R13" s="10" t="inlineStr">
        <is>
          <t>Eu servi o último café dele nessa xícara. Na última noite.</t>
        </is>
      </c>
      <c r="S13" s="13" t="inlineStr">
        <is>
          <t>Eu servi o último café dele nessa xícara. Na última noite, ouviu?</t>
        </is>
      </c>
      <c r="T13" s="13" t="inlineStr">
        <is>
          <t>Eu servi… o último café dele. Nessa xícara. Na última noite.</t>
        </is>
      </c>
      <c r="U13" s="13" t="inlineStr">
        <is>
          <t>Eu servi o último café dele nessa xícara… na última noite. Lembram?</t>
        </is>
      </c>
      <c r="V13" s="13" t="inlineStr">
        <is>
          <t>Eu servi o último café dele nessa xícara. Na última noite.</t>
        </is>
      </c>
      <c r="W13" s="13" t="inlineStr">
        <is>
          <t>Tanto cansaço acumulado… Eu servi o último café dele nessa xícara. Na última noite.</t>
        </is>
      </c>
      <c r="X13" s="13" t="inlineStr">
        <is>
          <t>Na última noite: eu servi o último café dele nessa xícara.</t>
        </is>
      </c>
      <c r="Y13" s="10">
        <f>SUMPRODUCT(($H13:$Q13&lt;&gt;"")*ISERROR(SEARCH($H13:$Q13,S13)))+SUMPRODUCT(($H13:$Q13&lt;&gt;"")*ISERROR(SEARCH($H13:$Q13,T13)))+SUMPRODUCT(($H13:$Q13&lt;&gt;"")*ISERROR(SEARCH($H13:$Q13,U13)))+SUMPRODUCT(($H13:$Q13&lt;&gt;"")*ISERROR(SEARCH($H13:$Q13,V13)))+SUMPRODUCT(($H13:$Q13&lt;&gt;"")*ISERROR(SEARCH($H13:$Q13,W13)))+SUMPRODUCT(($H13:$Q13&lt;&gt;"")*ISERROR(SEARCH($H13:$Q13,X13)))</f>
        <v/>
      </c>
      <c r="Z13" s="10" t="inlineStr">
        <is>
          <t>Enquadre: ' E depois, mais baixo: &lt;i&gt;"…"&lt;/i&gt;'. É a mentira-pista da P7: o caderno diz 'Não toma café desde abril'. Nenhuma versão pode suavizar 'último café' nem 'última noite'.</t>
        </is>
      </c>
    </row>
    <row r="14" ht="57.45" customHeight="1" s="8">
      <c r="A14" s="10" t="inlineStr">
        <is>
          <t>c2-p1-01</t>
        </is>
      </c>
      <c r="B14" s="10" t="n">
        <v>1</v>
      </c>
      <c r="C14" s="10" t="inlineStr">
        <is>
          <t>a frase dita baixinho perto do corredor de serviço</t>
        </is>
      </c>
      <c r="D14" s="10" t="inlineStr">
        <is>
          <t>roteiro</t>
        </is>
      </c>
      <c r="E14" s="10" t="inlineStr">
        <is>
          <t>herdeira</t>
        </is>
      </c>
      <c r="F14" s="10" t="inlineStr">
        <is>
          <t>quase para a parede (a sala ouve)</t>
        </is>
      </c>
      <c r="G14" s="10" t="n"/>
      <c r="H14" s="10" t="inlineStr">
        <is>
          <t>nunca me disse</t>
        </is>
      </c>
      <c r="I14" s="10" t="inlineStr">
        <is>
          <t>tão mal</t>
        </is>
      </c>
      <c r="J14" s="10" t="n"/>
      <c r="K14" s="10" t="n"/>
      <c r="L14" s="10" t="n"/>
      <c r="M14" s="10" t="n"/>
      <c r="N14" s="10" t="n"/>
      <c r="O14" s="10" t="n"/>
      <c r="P14" s="10" t="n"/>
      <c r="Q14" s="10" t="n"/>
      <c r="R14" s="10" t="inlineStr">
        <is>
          <t>Ele nunca me disse que estava tão mal.</t>
        </is>
      </c>
      <c r="S14" s="13" t="inlineStr">
        <is>
          <t>Ele nunca me disse que estava tão mal. Nunca.</t>
        </is>
      </c>
      <c r="T14" s="13" t="inlineStr">
        <is>
          <t>Ele nunca me disse… que estava tão mal.</t>
        </is>
      </c>
      <c r="U14" s="13" t="inlineStr">
        <is>
          <t>Ele nunca me disse que estava tão mal… será que eu devia saber?</t>
        </is>
      </c>
      <c r="V14" s="13" t="inlineStr">
        <is>
          <t>Era o jeito dele: nunca me disse que estava tão mal.</t>
        </is>
      </c>
      <c r="W14" s="13" t="inlineStr">
        <is>
          <t>A estrada inteira sem acostamento… Ele nunca me disse que estava tão mal.</t>
        </is>
      </c>
      <c r="X14" s="13" t="inlineStr">
        <is>
          <t>Anoto: ele nunca me disse que estava tão mal.</t>
        </is>
      </c>
      <c r="Y14" s="10">
        <f>SUMPRODUCT(($H14:$Q14&lt;&gt;"")*ISERROR(SEARCH($H14:$Q14,S14)))+SUMPRODUCT(($H14:$Q14&lt;&gt;"")*ISERROR(SEARCH($H14:$Q14,T14)))+SUMPRODUCT(($H14:$Q14&lt;&gt;"")*ISERROR(SEARCH($H14:$Q14,U14)))+SUMPRODUCT(($H14:$Q14&lt;&gt;"")*ISERROR(SEARCH($H14:$Q14,V14)))+SUMPRODUCT(($H14:$Q14&lt;&gt;"")*ISERROR(SEARCH($H14:$Q14,W14)))+SUMPRODUCT(($H14:$Q14&lt;&gt;"")*ISERROR(SEARCH($H14:$Q14,X14)))</f>
        <v/>
      </c>
      <c r="Z14" s="10" t="inlineStr">
        <is>
          <t>Enquadre: Na(X)+' tinha se afastado para perto do corredor de serviço e falou baixo, quase para a parede: &lt;i&gt;"…"&lt;/i&gt;'. A voz responde logo depois; manter a palavra que a resposta retoma.</t>
        </is>
      </c>
    </row>
    <row r="15" ht="57.45" customHeight="1" s="8">
      <c r="A15" s="10" t="inlineStr">
        <is>
          <t>c2-p2-01</t>
        </is>
      </c>
      <c r="B15" s="10" t="n">
        <v>2</v>
      </c>
      <c r="C15" s="10" t="inlineStr">
        <is>
          <t>a frase dita baixinho perto do corredor de serviço</t>
        </is>
      </c>
      <c r="D15" s="10" t="inlineStr">
        <is>
          <t>roteiro</t>
        </is>
      </c>
      <c r="E15" s="10" t="inlineStr">
        <is>
          <t>policial</t>
        </is>
      </c>
      <c r="F15" s="10" t="inlineStr">
        <is>
          <t>quase para a parede (a sala ouve)</t>
        </is>
      </c>
      <c r="G15" s="10" t="n"/>
      <c r="H15" s="10" t="inlineStr">
        <is>
          <t>ninguém sai desta casa</t>
        </is>
      </c>
      <c r="I15" s="10" t="inlineStr">
        <is>
          <t>até eu dizer</t>
        </is>
      </c>
      <c r="J15" s="10" t="n"/>
      <c r="K15" s="10" t="n"/>
      <c r="L15" s="10" t="n"/>
      <c r="M15" s="10" t="n"/>
      <c r="N15" s="10" t="n"/>
      <c r="O15" s="10" t="n"/>
      <c r="P15" s="10" t="n"/>
      <c r="Q15" s="10" t="n"/>
      <c r="R15" s="10" t="inlineStr">
        <is>
          <t>Ninguém sai desta casa até eu dizer.</t>
        </is>
      </c>
      <c r="S15" s="13" t="inlineStr">
        <is>
          <t>Ninguém sai desta casa até eu dizer. Ouviram?</t>
        </is>
      </c>
      <c r="T15" s="13" t="inlineStr">
        <is>
          <t>Ninguém sai desta casa… até eu dizer.</t>
        </is>
      </c>
      <c r="U15" s="13" t="inlineStr">
        <is>
          <t>Ninguém sai desta casa até eu dizer… pode ser assim?</t>
        </is>
      </c>
      <c r="V15" s="13" t="inlineStr">
        <is>
          <t>Ninguém sai desta casa até eu dizer. Ninguém.</t>
        </is>
      </c>
      <c r="W15" s="13" t="inlineStr">
        <is>
          <t>Essa chuva não para… Ninguém sai desta casa até eu dizer.</t>
        </is>
      </c>
      <c r="X15" s="13" t="inlineStr">
        <is>
          <t>Determino: ninguém sai desta casa até eu dizer.</t>
        </is>
      </c>
      <c r="Y15" s="10">
        <f>SUMPRODUCT(($H15:$Q15&lt;&gt;"")*ISERROR(SEARCH($H15:$Q15,S15)))+SUMPRODUCT(($H15:$Q15&lt;&gt;"")*ISERROR(SEARCH($H15:$Q15,T15)))+SUMPRODUCT(($H15:$Q15&lt;&gt;"")*ISERROR(SEARCH($H15:$Q15,U15)))+SUMPRODUCT(($H15:$Q15&lt;&gt;"")*ISERROR(SEARCH($H15:$Q15,V15)))+SUMPRODUCT(($H15:$Q15&lt;&gt;"")*ISERROR(SEARCH($H15:$Q15,W15)))+SUMPRODUCT(($H15:$Q15&lt;&gt;"")*ISERROR(SEARCH($H15:$Q15,X15)))</f>
        <v/>
      </c>
      <c r="Z15" s="10" t="inlineStr">
        <is>
          <t>Enquadre: Na(X)+' tinha se afastado para perto do corredor de serviço e falou baixo, quase para a parede: &lt;i&gt;"…"&lt;/i&gt;'. A voz responde logo depois; manter a palavra que a resposta retoma.</t>
        </is>
      </c>
    </row>
    <row r="16" ht="57.45" customHeight="1" s="8">
      <c r="A16" s="10" t="inlineStr">
        <is>
          <t>c2-p4-01</t>
        </is>
      </c>
      <c r="B16" s="10" t="n">
        <v>4</v>
      </c>
      <c r="C16" s="10" t="inlineStr">
        <is>
          <t>a frase dita baixinho perto do corredor de serviço</t>
        </is>
      </c>
      <c r="D16" s="10" t="inlineStr">
        <is>
          <t>roteiro</t>
        </is>
      </c>
      <c r="E16" s="10" t="inlineStr">
        <is>
          <t>advogado</t>
        </is>
      </c>
      <c r="F16" s="10" t="inlineStr">
        <is>
          <t>quase para a parede (a sala ouve)</t>
        </is>
      </c>
      <c r="G16" s="10" t="n"/>
      <c r="H16" s="10" t="inlineStr">
        <is>
          <t>adendo manuscrito</t>
        </is>
      </c>
      <c r="I16" s="10" t="inlineStr">
        <is>
          <t>vale</t>
        </is>
      </c>
      <c r="J16" s="10" t="inlineStr">
        <is>
          <t>for dele</t>
        </is>
      </c>
      <c r="K16" s="10" t="n"/>
      <c r="L16" s="10" t="n"/>
      <c r="M16" s="10" t="n"/>
      <c r="N16" s="10" t="n"/>
      <c r="O16" s="10" t="n"/>
      <c r="P16" s="10" t="n"/>
      <c r="Q16" s="10" t="n"/>
      <c r="R16" s="10" t="inlineStr">
        <is>
          <t>Adendo manuscrito vale se for dele.</t>
        </is>
      </c>
      <c r="S16" s="13" t="inlineStr">
        <is>
          <t>Adendo manuscrito vale se for dele. Simples assim.</t>
        </is>
      </c>
      <c r="T16" s="13" t="inlineStr">
        <is>
          <t>Adendo manuscrito… vale. Se for dele.</t>
        </is>
      </c>
      <c r="U16" s="13" t="inlineStr">
        <is>
          <t>Adendo manuscrito vale se for dele. É assim que funciona, não é?</t>
        </is>
      </c>
      <c r="V16" s="13" t="inlineStr">
        <is>
          <t>A vontade dele manda: adendo manuscrito vale se for dele.</t>
        </is>
      </c>
      <c r="W16" s="13" t="inlineStr">
        <is>
          <t>Uma demora, essa noite… Adendo manuscrito vale se for dele.</t>
        </is>
      </c>
      <c r="X16" s="13" t="inlineStr">
        <is>
          <t>Nos termos: adendo manuscrito vale se for dele.</t>
        </is>
      </c>
      <c r="Y16" s="10">
        <f>SUMPRODUCT(($H16:$Q16&lt;&gt;"")*ISERROR(SEARCH($H16:$Q16,S16)))+SUMPRODUCT(($H16:$Q16&lt;&gt;"")*ISERROR(SEARCH($H16:$Q16,T16)))+SUMPRODUCT(($H16:$Q16&lt;&gt;"")*ISERROR(SEARCH($H16:$Q16,U16)))+SUMPRODUCT(($H16:$Q16&lt;&gt;"")*ISERROR(SEARCH($H16:$Q16,V16)))+SUMPRODUCT(($H16:$Q16&lt;&gt;"")*ISERROR(SEARCH($H16:$Q16,W16)))+SUMPRODUCT(($H16:$Q16&lt;&gt;"")*ISERROR(SEARCH($H16:$Q16,X16)))</f>
        <v/>
      </c>
      <c r="Z16" s="10" t="inlineStr">
        <is>
          <t>Enquadre: Na(X)+' tinha se afastado para perto do corredor de serviço e falou baixo, quase para a parede: &lt;i&gt;"…"&lt;/i&gt;'. A voz responde logo depois; manter a palavra que a resposta retoma.</t>
        </is>
      </c>
    </row>
    <row r="17" ht="57.45" customHeight="1" s="8">
      <c r="A17" s="10" t="inlineStr">
        <is>
          <t>c2-p5-01</t>
        </is>
      </c>
      <c r="B17" s="10" t="n">
        <v>5</v>
      </c>
      <c r="C17" s="10" t="inlineStr">
        <is>
          <t>a frase dita baixinho perto do corredor de serviço</t>
        </is>
      </c>
      <c r="D17" s="10" t="inlineStr">
        <is>
          <t>roteiro</t>
        </is>
      </c>
      <c r="E17" s="10" t="inlineStr">
        <is>
          <t>governanta</t>
        </is>
      </c>
      <c r="F17" s="10" t="inlineStr">
        <is>
          <t>quase para a parede (a sala ouve)</t>
        </is>
      </c>
      <c r="G17" s="10" t="n"/>
      <c r="H17" s="10" t="inlineStr">
        <is>
          <t>alguém tem comido aqui</t>
        </is>
      </c>
      <c r="I17" s="10" t="n"/>
      <c r="J17" s="10" t="n"/>
      <c r="K17" s="10" t="n"/>
      <c r="L17" s="10" t="n"/>
      <c r="M17" s="10" t="n"/>
      <c r="N17" s="10" t="n"/>
      <c r="O17" s="10" t="n"/>
      <c r="P17" s="10" t="n"/>
      <c r="Q17" s="10" t="n"/>
      <c r="R17" s="10" t="inlineStr">
        <is>
          <t>Alguém tem comido aqui.</t>
        </is>
      </c>
      <c r="S17" s="13" t="inlineStr">
        <is>
          <t>Alguém tem comido aqui. Bonito, hein.</t>
        </is>
      </c>
      <c r="T17" s="13" t="inlineStr">
        <is>
          <t>Alguém tem comido aqui… Alguém.</t>
        </is>
      </c>
      <c r="U17" s="13" t="inlineStr">
        <is>
          <t>Alguém tem comido aqui… quem será?</t>
        </is>
      </c>
      <c r="V17" s="13" t="inlineStr">
        <is>
          <t>Alguém tem comido aqui.</t>
        </is>
      </c>
      <c r="W17" s="13" t="inlineStr">
        <is>
          <t>Que umidade… Alguém tem comido aqui.</t>
        </is>
      </c>
      <c r="X17" s="13" t="inlineStr">
        <is>
          <t>Constato: alguém tem comido aqui.</t>
        </is>
      </c>
      <c r="Y17" s="10">
        <f>SUMPRODUCT(($H17:$Q17&lt;&gt;"")*ISERROR(SEARCH($H17:$Q17,S17)))+SUMPRODUCT(($H17:$Q17&lt;&gt;"")*ISERROR(SEARCH($H17:$Q17,T17)))+SUMPRODUCT(($H17:$Q17&lt;&gt;"")*ISERROR(SEARCH($H17:$Q17,U17)))+SUMPRODUCT(($H17:$Q17&lt;&gt;"")*ISERROR(SEARCH($H17:$Q17,V17)))+SUMPRODUCT(($H17:$Q17&lt;&gt;"")*ISERROR(SEARCH($H17:$Q17,W17)))+SUMPRODUCT(($H17:$Q17&lt;&gt;"")*ISERROR(SEARCH($H17:$Q17,X17)))</f>
        <v/>
      </c>
      <c r="Z17" s="10" t="inlineStr">
        <is>
          <t>Enquadre: Na(X)+' tinha se afastado para perto do corredor de serviço e falou baixo, quase para a parede: &lt;i&gt;"…"&lt;/i&gt;'. A voz responde logo depois; manter a palavra que a resposta retoma.</t>
        </is>
      </c>
    </row>
    <row r="18" ht="57.45" customHeight="1" s="8">
      <c r="A18" s="10" t="inlineStr">
        <is>
          <t>c2-p6-01</t>
        </is>
      </c>
      <c r="B18" s="10" t="n">
        <v>6</v>
      </c>
      <c r="C18" s="10" t="inlineStr">
        <is>
          <t>a frase dita baixinho perto do corredor de serviço</t>
        </is>
      </c>
      <c r="D18" s="10" t="inlineStr">
        <is>
          <t>roteiro</t>
        </is>
      </c>
      <c r="E18" s="10" t="inlineStr">
        <is>
          <t>jornalista</t>
        </is>
      </c>
      <c r="F18" s="10" t="inlineStr">
        <is>
          <t>quase para a parede (a sala ouve)</t>
        </is>
      </c>
      <c r="G18" s="10" t="n"/>
      <c r="H18" s="10" t="inlineStr">
        <is>
          <t>alguém aqui</t>
        </is>
      </c>
      <c r="I18" s="10" t="inlineStr">
        <is>
          <t>gravando</t>
        </is>
      </c>
      <c r="J18" s="10" t="n"/>
      <c r="K18" s="10" t="n"/>
      <c r="L18" s="10" t="n"/>
      <c r="M18" s="10" t="n"/>
      <c r="N18" s="10" t="n"/>
      <c r="O18" s="10" t="n"/>
      <c r="P18" s="10" t="n"/>
      <c r="Q18" s="10" t="n"/>
      <c r="R18" s="10" t="inlineStr">
        <is>
          <t>Alguém aqui está gravando isso?</t>
        </is>
      </c>
      <c r="S18" s="13" t="inlineStr">
        <is>
          <t>Alguém aqui está gravando isso? Fala logo.</t>
        </is>
      </c>
      <c r="T18" s="13" t="inlineStr">
        <is>
          <t>Alguém aqui… está gravando isso?</t>
        </is>
      </c>
      <c r="U18" s="13" t="inlineStr">
        <is>
          <t>Alguém aqui está gravando isso? Só pergunto, desculpa…</t>
        </is>
      </c>
      <c r="V18" s="13" t="inlineStr">
        <is>
          <t>Alguém aqui está gravando isso?</t>
        </is>
      </c>
      <c r="W18" s="13" t="inlineStr">
        <is>
          <t>Com essa chuva lá fora… alguém aqui está gravando isso?</t>
        </is>
      </c>
      <c r="X18" s="13" t="inlineStr">
        <is>
          <t>Pergunta para o registro: alguém aqui está gravando isso?</t>
        </is>
      </c>
      <c r="Y18" s="10">
        <f>SUMPRODUCT(($H18:$Q18&lt;&gt;"")*ISERROR(SEARCH($H18:$Q18,S18)))+SUMPRODUCT(($H18:$Q18&lt;&gt;"")*ISERROR(SEARCH($H18:$Q18,T18)))+SUMPRODUCT(($H18:$Q18&lt;&gt;"")*ISERROR(SEARCH($H18:$Q18,U18)))+SUMPRODUCT(($H18:$Q18&lt;&gt;"")*ISERROR(SEARCH($H18:$Q18,V18)))+SUMPRODUCT(($H18:$Q18&lt;&gt;"")*ISERROR(SEARCH($H18:$Q18,W18)))+SUMPRODUCT(($H18:$Q18&lt;&gt;"")*ISERROR(SEARCH($H18:$Q18,X18)))</f>
        <v/>
      </c>
      <c r="Z18" s="10" t="inlineStr">
        <is>
          <t>Enquadre: Na(X)+' tinha se afastado para perto do corredor de serviço e falou baixo, quase para a parede: &lt;i&gt;"…"&lt;/i&gt;'. A voz responde logo depois; manter a palavra que a resposta retoma.</t>
        </is>
      </c>
    </row>
    <row r="19" ht="57.45" customHeight="1" s="8">
      <c r="A19" s="10" t="inlineStr">
        <is>
          <t>c2-p7-01</t>
        </is>
      </c>
      <c r="B19" s="10" t="n">
        <v>7</v>
      </c>
      <c r="C19" s="10" t="inlineStr">
        <is>
          <t>a frase dita baixinho perto do corredor de serviço</t>
        </is>
      </c>
      <c r="D19" s="10" t="inlineStr">
        <is>
          <t>roteiro</t>
        </is>
      </c>
      <c r="E19" s="10" t="inlineStr">
        <is>
          <t>tabeliao</t>
        </is>
      </c>
      <c r="F19" s="10" t="inlineStr">
        <is>
          <t>quase para a parede (a sala ouve)</t>
        </is>
      </c>
      <c r="G19" s="10" t="n"/>
      <c r="H19" s="10" t="inlineStr">
        <is>
          <t>consta</t>
        </is>
      </c>
      <c r="I19" s="10" t="inlineStr">
        <is>
          <t>ninguém morava aqui</t>
        </is>
      </c>
      <c r="J19" s="10" t="n"/>
      <c r="K19" s="10" t="n"/>
      <c r="L19" s="10" t="n"/>
      <c r="M19" s="10" t="n"/>
      <c r="N19" s="10" t="n"/>
      <c r="O19" s="10" t="n"/>
      <c r="P19" s="10" t="n"/>
      <c r="Q19" s="10" t="n"/>
      <c r="R19" s="10" t="inlineStr">
        <is>
          <t>Pelo que consta, ninguém morava aqui.</t>
        </is>
      </c>
      <c r="S19" s="13" t="inlineStr">
        <is>
          <t>Pelo que consta, ninguém morava aqui. Está escrito.</t>
        </is>
      </c>
      <c r="T19" s="13" t="inlineStr">
        <is>
          <t>Pelo que consta… ninguém morava aqui.</t>
        </is>
      </c>
      <c r="U19" s="13" t="inlineStr">
        <is>
          <t>Pelo que consta, ninguém morava aqui… alguém sabe de outra coisa?</t>
        </is>
      </c>
      <c r="V19" s="13" t="inlineStr">
        <is>
          <t>Pelo que consta, ninguém morava aqui.</t>
        </is>
      </c>
      <c r="W19" s="13" t="inlineStr">
        <is>
          <t>Ainda pingando da chuva… Pelo que consta, ninguém morava aqui.</t>
        </is>
      </c>
      <c r="X19" s="13" t="inlineStr">
        <is>
          <t>Pelo que consta, ninguém morava aqui. Registre-se.</t>
        </is>
      </c>
      <c r="Y19" s="10">
        <f>SUMPRODUCT(($H19:$Q19&lt;&gt;"")*ISERROR(SEARCH($H19:$Q19,S19)))+SUMPRODUCT(($H19:$Q19&lt;&gt;"")*ISERROR(SEARCH($H19:$Q19,T19)))+SUMPRODUCT(($H19:$Q19&lt;&gt;"")*ISERROR(SEARCH($H19:$Q19,U19)))+SUMPRODUCT(($H19:$Q19&lt;&gt;"")*ISERROR(SEARCH($H19:$Q19,V19)))+SUMPRODUCT(($H19:$Q19&lt;&gt;"")*ISERROR(SEARCH($H19:$Q19,W19)))+SUMPRODUCT(($H19:$Q19&lt;&gt;"")*ISERROR(SEARCH($H19:$Q19,X19)))</f>
        <v/>
      </c>
      <c r="Z19" s="10" t="inlineStr">
        <is>
          <t>Enquadre: Na(X)+' tinha se afastado para perto do corredor de serviço e falou baixo, quase para a parede: &lt;i&gt;"…"&lt;/i&gt;'. A voz responde logo depois; manter a palavra que a resposta retoma.</t>
        </is>
      </c>
    </row>
    <row r="20" ht="57.45" customHeight="1" s="8">
      <c r="A20" s="10" t="inlineStr">
        <is>
          <t>c2-p8-01</t>
        </is>
      </c>
      <c r="B20" s="10" t="n">
        <v>8</v>
      </c>
      <c r="C20" s="10" t="inlineStr">
        <is>
          <t>a frase dita baixinho perto do corredor de serviço</t>
        </is>
      </c>
      <c r="D20" s="10" t="inlineStr">
        <is>
          <t>roteiro</t>
        </is>
      </c>
      <c r="E20" s="10" t="inlineStr">
        <is>
          <t>herdeira</t>
        </is>
      </c>
      <c r="F20" s="10" t="inlineStr">
        <is>
          <t>quase para a parede (a sala ouve)</t>
        </is>
      </c>
      <c r="G20" s="10" t="n"/>
      <c r="H20" s="10" t="inlineStr">
        <is>
          <t>mora aqui</t>
        </is>
      </c>
      <c r="I20" s="10" t="inlineStr">
        <is>
          <t>invadindo</t>
        </is>
      </c>
      <c r="J20" s="10" t="inlineStr">
        <is>
          <t>o que é meu</t>
        </is>
      </c>
      <c r="K20" s="10" t="n"/>
      <c r="L20" s="10" t="n"/>
      <c r="M20" s="10" t="n"/>
      <c r="N20" s="10" t="n"/>
      <c r="O20" s="10" t="n"/>
      <c r="P20" s="10" t="n"/>
      <c r="Q20" s="10" t="n"/>
      <c r="R20" s="10" t="inlineStr">
        <is>
          <t>Se alguém mora aqui, está invadindo o que é meu.</t>
        </is>
      </c>
      <c r="S20" s="13" t="inlineStr">
        <is>
          <t>Se alguém mora aqui, está invadindo o que é meu. Ouviu bem?</t>
        </is>
      </c>
      <c r="T20" s="13" t="inlineStr">
        <is>
          <t>Se alguém mora aqui… está invadindo. O que é meu.</t>
        </is>
      </c>
      <c r="U20" s="13" t="inlineStr">
        <is>
          <t>Se alguém mora aqui, está invadindo o que é meu… certo?</t>
        </is>
      </c>
      <c r="V20" s="13" t="inlineStr">
        <is>
          <t>Se alguém mora aqui, está invadindo o que é meu.</t>
        </is>
      </c>
      <c r="W20" s="13" t="inlineStr">
        <is>
          <t>Essa estrada até aqui, que demora… Se alguém mora aqui, está invadindo o que é meu.</t>
        </is>
      </c>
      <c r="X20" s="13" t="inlineStr">
        <is>
          <t>Conste: se alguém mora aqui, está invadindo o que é meu.</t>
        </is>
      </c>
      <c r="Y20" s="10">
        <f>SUMPRODUCT(($H20:$Q20&lt;&gt;"")*ISERROR(SEARCH($H20:$Q20,S20)))+SUMPRODUCT(($H20:$Q20&lt;&gt;"")*ISERROR(SEARCH($H20:$Q20,T20)))+SUMPRODUCT(($H20:$Q20&lt;&gt;"")*ISERROR(SEARCH($H20:$Q20,U20)))+SUMPRODUCT(($H20:$Q20&lt;&gt;"")*ISERROR(SEARCH($H20:$Q20,V20)))+SUMPRODUCT(($H20:$Q20&lt;&gt;"")*ISERROR(SEARCH($H20:$Q20,W20)))+SUMPRODUCT(($H20:$Q20&lt;&gt;"")*ISERROR(SEARCH($H20:$Q20,X20)))</f>
        <v/>
      </c>
      <c r="Z20" s="10" t="inlineStr">
        <is>
          <t>Enquadre: Na(X)+' tinha se afastado para perto do corredor de serviço e falou baixo, quase para a parede: &lt;i&gt;"…"&lt;/i&gt;'. A voz responde logo depois; manter a palavra que a resposta retoma.</t>
        </is>
      </c>
    </row>
    <row r="21" ht="57.45" customHeight="1" s="8">
      <c r="A21" s="10" t="inlineStr">
        <is>
          <t>c2-p9-01</t>
        </is>
      </c>
      <c r="B21" s="10" t="n">
        <v>9</v>
      </c>
      <c r="C21" s="10" t="inlineStr">
        <is>
          <t>a frase dita baixinho perto do corredor de serviço</t>
        </is>
      </c>
      <c r="D21" s="10" t="inlineStr">
        <is>
          <t>roteiro</t>
        </is>
      </c>
      <c r="E21" s="10" t="inlineStr">
        <is>
          <t>residente</t>
        </is>
      </c>
      <c r="F21" s="10" t="inlineStr">
        <is>
          <t>quase para a parede (a sala ouve)</t>
        </is>
      </c>
      <c r="G21" s="10" t="n"/>
      <c r="H21" s="10" t="inlineStr">
        <is>
          <t>obra</t>
        </is>
      </c>
      <c r="I21" s="10" t="inlineStr">
        <is>
          <t>ficou pela metade</t>
        </is>
      </c>
      <c r="J21" s="10" t="n"/>
      <c r="K21" s="10" t="n"/>
      <c r="L21" s="10" t="n"/>
      <c r="M21" s="10" t="n"/>
      <c r="N21" s="10" t="n"/>
      <c r="O21" s="10" t="n"/>
      <c r="P21" s="10" t="n"/>
      <c r="Q21" s="10" t="n"/>
      <c r="R21" s="10" t="inlineStr">
        <is>
          <t>Essa obra ficou pela metade.</t>
        </is>
      </c>
      <c r="S21" s="13" t="inlineStr">
        <is>
          <t>Essa obra ficou pela metade. Pela metade.</t>
        </is>
      </c>
      <c r="T21" s="13" t="inlineStr">
        <is>
          <t>Essa obra… ficou pela metade.</t>
        </is>
      </c>
      <c r="U21" s="13" t="inlineStr">
        <is>
          <t>Essa obra ficou pela metade… ninguém terminou?</t>
        </is>
      </c>
      <c r="V21" s="13" t="inlineStr">
        <is>
          <t>Essa obra ficou pela metade.</t>
        </is>
      </c>
      <c r="W21" s="13" t="inlineStr">
        <is>
          <t>Molhado até os ossos… Essa obra ficou pela metade.</t>
        </is>
      </c>
      <c r="X21" s="13" t="inlineStr">
        <is>
          <t>Obra: ficou pela metade.</t>
        </is>
      </c>
      <c r="Y21" s="10">
        <f>SUMPRODUCT(($H21:$Q21&lt;&gt;"")*ISERROR(SEARCH($H21:$Q21,S21)))+SUMPRODUCT(($H21:$Q21&lt;&gt;"")*ISERROR(SEARCH($H21:$Q21,T21)))+SUMPRODUCT(($H21:$Q21&lt;&gt;"")*ISERROR(SEARCH($H21:$Q21,U21)))+SUMPRODUCT(($H21:$Q21&lt;&gt;"")*ISERROR(SEARCH($H21:$Q21,V21)))+SUMPRODUCT(($H21:$Q21&lt;&gt;"")*ISERROR(SEARCH($H21:$Q21,W21)))+SUMPRODUCT(($H21:$Q21&lt;&gt;"")*ISERROR(SEARCH($H21:$Q21,X21)))</f>
        <v/>
      </c>
      <c r="Z21" s="10" t="inlineStr">
        <is>
          <t>Enquadre: Na(X)+' tinha se afastado para perto do corredor de serviço e falou baixo, quase para a parede: &lt;i&gt;"…"&lt;/i&gt;'. A voz responde logo depois; manter a palavra que a resposta retoma.</t>
        </is>
      </c>
    </row>
    <row r="22" ht="57.45" customHeight="1" s="8">
      <c r="A22" s="10" t="inlineStr">
        <is>
          <t>c2-p10-01</t>
        </is>
      </c>
      <c r="B22" s="10" t="n">
        <v>10</v>
      </c>
      <c r="C22" s="10" t="inlineStr">
        <is>
          <t>a frase dita baixinho perto do corredor de serviço</t>
        </is>
      </c>
      <c r="D22" s="10" t="inlineStr">
        <is>
          <t>roteiro</t>
        </is>
      </c>
      <c r="E22" s="10" t="inlineStr">
        <is>
          <t>observadora</t>
        </is>
      </c>
      <c r="F22" s="10" t="inlineStr">
        <is>
          <t>quase para a parede (a sala ouve)</t>
        </is>
      </c>
      <c r="G22" s="10" t="n"/>
      <c r="H22" s="10" t="inlineStr">
        <is>
          <t>jasmim</t>
        </is>
      </c>
      <c r="I22" s="10" t="inlineStr">
        <is>
          <t>idade</t>
        </is>
      </c>
      <c r="J22" s="10" t="inlineStr">
        <is>
          <t>visto muita coisa</t>
        </is>
      </c>
      <c r="K22" s="10" t="n"/>
      <c r="L22" s="10" t="n"/>
      <c r="M22" s="10" t="n"/>
      <c r="N22" s="10" t="n"/>
      <c r="O22" s="10" t="n"/>
      <c r="P22" s="10" t="n"/>
      <c r="Q22" s="10" t="n"/>
      <c r="R22" s="10" t="inlineStr">
        <is>
          <t>Esse jasmim tem idade para ter visto muita coisa.</t>
        </is>
      </c>
      <c r="S22" s="13" t="inlineStr">
        <is>
          <t>Esse jasmim tem idade para ter visto muita coisa. Muita.</t>
        </is>
      </c>
      <c r="T22" s="13" t="inlineStr">
        <is>
          <t>Esse jasmim… tem idade. Para ter visto muita coisa.</t>
        </is>
      </c>
      <c r="U22" s="13" t="inlineStr">
        <is>
          <t>Esse jasmim tem idade para ter visto muita coisa… imagina só?</t>
        </is>
      </c>
      <c r="V22" s="13" t="inlineStr">
        <is>
          <t>Esse jasmim tem idade para ter visto muita coisa.</t>
        </is>
      </c>
      <c r="W22" s="13" t="inlineStr">
        <is>
          <t>Esse frio úmido… Esse jasmim tem idade para ter visto muita coisa.</t>
        </is>
      </c>
      <c r="X22" s="13" t="inlineStr">
        <is>
          <t>Observação: esse jasmim tem idade para ter visto muita coisa.</t>
        </is>
      </c>
      <c r="Y22" s="10">
        <f>SUMPRODUCT(($H22:$Q22&lt;&gt;"")*ISERROR(SEARCH($H22:$Q22,S22)))+SUMPRODUCT(($H22:$Q22&lt;&gt;"")*ISERROR(SEARCH($H22:$Q22,T22)))+SUMPRODUCT(($H22:$Q22&lt;&gt;"")*ISERROR(SEARCH($H22:$Q22,U22)))+SUMPRODUCT(($H22:$Q22&lt;&gt;"")*ISERROR(SEARCH($H22:$Q22,V22)))+SUMPRODUCT(($H22:$Q22&lt;&gt;"")*ISERROR(SEARCH($H22:$Q22,W22)))+SUMPRODUCT(($H22:$Q22&lt;&gt;"")*ISERROR(SEARCH($H22:$Q22,X22)))</f>
        <v/>
      </c>
      <c r="Z22" s="10" t="inlineStr">
        <is>
          <t>Enquadre: Na(X)+' tinha se afastado para perto do corredor de serviço e falou baixo, quase para a parede: &lt;i&gt;"…"&lt;/i&gt;'. A voz responde logo depois; manter a palavra que a resposta retoma.</t>
        </is>
      </c>
    </row>
    <row r="23" ht="57.45" customHeight="1" s="8">
      <c r="A23" s="10" t="inlineStr">
        <is>
          <t>c2-p12-01</t>
        </is>
      </c>
      <c r="B23" s="10" t="n">
        <v>12</v>
      </c>
      <c r="C23" s="10" t="inlineStr">
        <is>
          <t>a frase dita baixinho perto do corredor de serviço</t>
        </is>
      </c>
      <c r="D23" s="10" t="inlineStr">
        <is>
          <t>roteiro</t>
        </is>
      </c>
      <c r="E23" s="10" t="inlineStr">
        <is>
          <t>herdeira</t>
        </is>
      </c>
      <c r="F23" s="10" t="inlineStr">
        <is>
          <t>quase para a parede (a sala ouve)</t>
        </is>
      </c>
      <c r="G23" s="10" t="n"/>
      <c r="H23" s="10" t="inlineStr">
        <is>
          <t>nunca me chamou</t>
        </is>
      </c>
      <c r="I23" s="10" t="inlineStr">
        <is>
          <t>nem no fim</t>
        </is>
      </c>
      <c r="J23" s="10" t="n"/>
      <c r="K23" s="10" t="n"/>
      <c r="L23" s="10" t="n"/>
      <c r="M23" s="10" t="n"/>
      <c r="N23" s="10" t="n"/>
      <c r="O23" s="10" t="n"/>
      <c r="P23" s="10" t="n"/>
      <c r="Q23" s="10" t="n"/>
      <c r="R23" s="10" t="inlineStr">
        <is>
          <t>Ele nunca me chamou. Nem no fim.</t>
        </is>
      </c>
      <c r="S23" s="13" t="inlineStr">
        <is>
          <t>Ele nunca me chamou. Nem no fim. Nem uma vez.</t>
        </is>
      </c>
      <c r="T23" s="13" t="inlineStr">
        <is>
          <t>Ele nunca me chamou… Nem no fim.</t>
        </is>
      </c>
      <c r="U23" s="13" t="inlineStr">
        <is>
          <t>Ele nunca me chamou… nem no fim. Será que eu entendi errado?</t>
        </is>
      </c>
      <c r="V23" s="13" t="inlineStr">
        <is>
          <t>Respeitei o jeito dele, mas ele nunca me chamou. Nem no fim.</t>
        </is>
      </c>
      <c r="W23" s="13" t="inlineStr">
        <is>
          <t>A estrada, a chuva, horas… Ele nunca me chamou. Nem no fim.</t>
        </is>
      </c>
      <c r="X23" s="13" t="inlineStr">
        <is>
          <t>Para a ata: ele nunca me chamou. Nem no fim.</t>
        </is>
      </c>
      <c r="Y23" s="10">
        <f>SUMPRODUCT(($H23:$Q23&lt;&gt;"")*ISERROR(SEARCH($H23:$Q23,S23)))+SUMPRODUCT(($H23:$Q23&lt;&gt;"")*ISERROR(SEARCH($H23:$Q23,T23)))+SUMPRODUCT(($H23:$Q23&lt;&gt;"")*ISERROR(SEARCH($H23:$Q23,U23)))+SUMPRODUCT(($H23:$Q23&lt;&gt;"")*ISERROR(SEARCH($H23:$Q23,V23)))+SUMPRODUCT(($H23:$Q23&lt;&gt;"")*ISERROR(SEARCH($H23:$Q23,W23)))+SUMPRODUCT(($H23:$Q23&lt;&gt;"")*ISERROR(SEARCH($H23:$Q23,X23)))</f>
        <v/>
      </c>
      <c r="Z23" s="10" t="inlineStr">
        <is>
          <t>Enquadre: Na(X)+' tinha se afastado para perto do corredor de serviço e falou baixo, quase para a parede: &lt;i&gt;"…"&lt;/i&gt;'. A voz responde logo depois; manter a palavra que a resposta retoma.</t>
        </is>
      </c>
    </row>
    <row r="24" ht="57.45" customHeight="1" s="8">
      <c r="A24" s="10" t="inlineStr">
        <is>
          <t>c2-p13-01</t>
        </is>
      </c>
      <c r="B24" s="10" t="n">
        <v>13</v>
      </c>
      <c r="C24" s="10" t="inlineStr">
        <is>
          <t>a frase dita baixinho perto do corredor de serviço</t>
        </is>
      </c>
      <c r="D24" s="10" t="inlineStr">
        <is>
          <t>roteiro</t>
        </is>
      </c>
      <c r="E24" s="10" t="inlineStr">
        <is>
          <t>residente</t>
        </is>
      </c>
      <c r="F24" s="10" t="inlineStr">
        <is>
          <t>quase para a parede (a sala ouve)</t>
        </is>
      </c>
      <c r="G24" s="10" t="n"/>
      <c r="H24" s="10" t="inlineStr">
        <is>
          <t>alguém anda</t>
        </is>
      </c>
      <c r="I24" s="10" t="inlineStr">
        <is>
          <t>ala de serviço</t>
        </is>
      </c>
      <c r="J24" s="10" t="n"/>
      <c r="K24" s="10" t="n"/>
      <c r="L24" s="10" t="n"/>
      <c r="M24" s="10" t="n"/>
      <c r="N24" s="10" t="n"/>
      <c r="O24" s="10" t="n"/>
      <c r="P24" s="10" t="n"/>
      <c r="Q24" s="10" t="n"/>
      <c r="R24" s="10" t="inlineStr">
        <is>
          <t>Alguém anda pela ala de serviço.</t>
        </is>
      </c>
      <c r="S24" s="13" t="inlineStr">
        <is>
          <t>Alguém anda pela ala de serviço. Duvidam?</t>
        </is>
      </c>
      <c r="T24" s="13" t="inlineStr">
        <is>
          <t>Alguém anda… pela ala de serviço.</t>
        </is>
      </c>
      <c r="U24" s="13" t="inlineStr">
        <is>
          <t>Alguém anda pela ala de serviço… alguém mais percebeu?</t>
        </is>
      </c>
      <c r="V24" s="13" t="inlineStr">
        <is>
          <t>Alguém anda pela ala de serviço.</t>
        </is>
      </c>
      <c r="W24" s="13" t="inlineStr">
        <is>
          <t>A demora dessa noite… Alguém anda pela ala de serviço.</t>
        </is>
      </c>
      <c r="X24" s="13" t="inlineStr">
        <is>
          <t>Registro: alguém anda pela ala de serviço.</t>
        </is>
      </c>
      <c r="Y24" s="10">
        <f>SUMPRODUCT(($H24:$Q24&lt;&gt;"")*ISERROR(SEARCH($H24:$Q24,S24)))+SUMPRODUCT(($H24:$Q24&lt;&gt;"")*ISERROR(SEARCH($H24:$Q24,T24)))+SUMPRODUCT(($H24:$Q24&lt;&gt;"")*ISERROR(SEARCH($H24:$Q24,U24)))+SUMPRODUCT(($H24:$Q24&lt;&gt;"")*ISERROR(SEARCH($H24:$Q24,V24)))+SUMPRODUCT(($H24:$Q24&lt;&gt;"")*ISERROR(SEARCH($H24:$Q24,W24)))+SUMPRODUCT(($H24:$Q24&lt;&gt;"")*ISERROR(SEARCH($H24:$Q24,X24)))</f>
        <v/>
      </c>
      <c r="Z24" s="10" t="inlineStr">
        <is>
          <t>Enquadre: Na(X)+' tinha se afastado para perto do corredor de serviço e falou baixo, quase para a parede: &lt;i&gt;"…"&lt;/i&gt;'. A voz responde logo depois; manter a palavra que a resposta retoma.</t>
        </is>
      </c>
    </row>
    <row r="25" ht="57.45" customHeight="1" s="8">
      <c r="A25" s="10" t="inlineStr">
        <is>
          <t>c2-p14-01</t>
        </is>
      </c>
      <c r="B25" s="10" t="n">
        <v>14</v>
      </c>
      <c r="C25" s="10" t="inlineStr">
        <is>
          <t>a frase dita baixinho perto do corredor de serviço</t>
        </is>
      </c>
      <c r="D25" s="10" t="inlineStr">
        <is>
          <t>roteiro</t>
        </is>
      </c>
      <c r="E25" s="10" t="inlineStr">
        <is>
          <t>tabeliao</t>
        </is>
      </c>
      <c r="F25" s="10" t="inlineStr">
        <is>
          <t>quase para a parede (a sala ouve)</t>
        </is>
      </c>
      <c r="G25" s="10" t="n"/>
      <c r="H25" s="10" t="inlineStr">
        <is>
          <t>ninguém entra</t>
        </is>
      </c>
      <c r="I25" s="10" t="inlineStr">
        <is>
          <t>sala do relógio</t>
        </is>
      </c>
      <c r="J25" s="10" t="inlineStr">
        <is>
          <t>registre</t>
        </is>
      </c>
      <c r="K25" s="10" t="n"/>
      <c r="L25" s="10" t="n"/>
      <c r="M25" s="10" t="n"/>
      <c r="N25" s="10" t="n"/>
      <c r="O25" s="10" t="n"/>
      <c r="P25" s="10" t="n"/>
      <c r="Q25" s="10" t="n"/>
      <c r="R25" s="10" t="inlineStr">
        <is>
          <t>Ninguém entra na sala do relógio sem que eu registre.</t>
        </is>
      </c>
      <c r="S25" s="13" t="inlineStr">
        <is>
          <t>Ninguém entra na sala do relógio sem que eu registre. Ninguém.</t>
        </is>
      </c>
      <c r="T25" s="13" t="inlineStr">
        <is>
          <t>Ninguém entra na sala do relógio… sem que eu registre.</t>
        </is>
      </c>
      <c r="U25" s="13" t="inlineStr">
        <is>
          <t>Ninguém entra na sala do relógio sem que eu registre, tá? Se puder ser assim…</t>
        </is>
      </c>
      <c r="V25" s="13" t="inlineStr">
        <is>
          <t>Ninguém entra na sala do relógio sem que eu registre.</t>
        </is>
      </c>
      <c r="W25" s="13" t="inlineStr">
        <is>
          <t>Cansaço de viagem… Ninguém entra na sala do relógio sem que eu registre.</t>
        </is>
      </c>
      <c r="X25" s="13" t="inlineStr">
        <is>
          <t>Norma: ninguém entra na sala do relógio sem que eu registre.</t>
        </is>
      </c>
      <c r="Y25" s="10">
        <f>SUMPRODUCT(($H25:$Q25&lt;&gt;"")*ISERROR(SEARCH($H25:$Q25,S25)))+SUMPRODUCT(($H25:$Q25&lt;&gt;"")*ISERROR(SEARCH($H25:$Q25,T25)))+SUMPRODUCT(($H25:$Q25&lt;&gt;"")*ISERROR(SEARCH($H25:$Q25,U25)))+SUMPRODUCT(($H25:$Q25&lt;&gt;"")*ISERROR(SEARCH($H25:$Q25,V25)))+SUMPRODUCT(($H25:$Q25&lt;&gt;"")*ISERROR(SEARCH($H25:$Q25,W25)))+SUMPRODUCT(($H25:$Q25&lt;&gt;"")*ISERROR(SEARCH($H25:$Q25,X25)))</f>
        <v/>
      </c>
      <c r="Z25" s="10" t="inlineStr">
        <is>
          <t>Enquadre: Na(X)+' tinha se afastado para perto do corredor de serviço e falou baixo, quase para a parede: &lt;i&gt;"…"&lt;/i&gt;'. A voz responde logo depois; manter a palavra que a resposta retoma.</t>
        </is>
      </c>
    </row>
    <row r="26" ht="57.45" customHeight="1" s="8">
      <c r="A26" s="10" t="inlineStr">
        <is>
          <t>c2-p15-01</t>
        </is>
      </c>
      <c r="B26" s="10" t="n">
        <v>15</v>
      </c>
      <c r="C26" s="10" t="inlineStr">
        <is>
          <t>a frase dita baixinho perto do corredor de serviço</t>
        </is>
      </c>
      <c r="D26" s="10" t="inlineStr">
        <is>
          <t>roteiro</t>
        </is>
      </c>
      <c r="E26" s="10" t="inlineStr">
        <is>
          <t>jardineiro</t>
        </is>
      </c>
      <c r="F26" s="10" t="inlineStr">
        <is>
          <t>quase para a parede (a sala ouve)</t>
        </is>
      </c>
      <c r="G26" s="10" t="n"/>
      <c r="H26" s="10" t="inlineStr">
        <is>
          <t>gato</t>
        </is>
      </c>
      <c r="I26" s="10" t="inlineStr">
        <is>
          <t>de rua</t>
        </is>
      </c>
      <c r="J26" s="10" t="n"/>
      <c r="K26" s="10" t="n"/>
      <c r="L26" s="10" t="n"/>
      <c r="M26" s="10" t="n"/>
      <c r="N26" s="10" t="n"/>
      <c r="O26" s="10" t="n"/>
      <c r="P26" s="10" t="n"/>
      <c r="Q26" s="10" t="n"/>
      <c r="R26" s="10" t="inlineStr">
        <is>
          <t>O gato não é de rua.</t>
        </is>
      </c>
      <c r="S26" s="13" t="inlineStr">
        <is>
          <t>O gato não é de rua!</t>
        </is>
      </c>
      <c r="T26" s="13" t="inlineStr">
        <is>
          <t>O… gato não é de rua.</t>
        </is>
      </c>
      <c r="U26" s="13" t="inlineStr">
        <is>
          <t>O gato não é de rua…</t>
        </is>
      </c>
      <c r="V26" s="13" t="inlineStr">
        <is>
          <t>O gato não é de rua.</t>
        </is>
      </c>
      <c r="W26" s="13" t="inlineStr">
        <is>
          <t>Hum… o gato não é de rua.</t>
        </is>
      </c>
      <c r="X26" s="13" t="inlineStr">
        <is>
          <t>O gato não é de rua.</t>
        </is>
      </c>
      <c r="Y26" s="10">
        <f>SUMPRODUCT(($H26:$Q26&lt;&gt;"")*ISERROR(SEARCH($H26:$Q26,S26)))+SUMPRODUCT(($H26:$Q26&lt;&gt;"")*ISERROR(SEARCH($H26:$Q26,T26)))+SUMPRODUCT(($H26:$Q26&lt;&gt;"")*ISERROR(SEARCH($H26:$Q26,U26)))+SUMPRODUCT(($H26:$Q26&lt;&gt;"")*ISERROR(SEARCH($H26:$Q26,V26)))+SUMPRODUCT(($H26:$Q26&lt;&gt;"")*ISERROR(SEARCH($H26:$Q26,W26)))+SUMPRODUCT(($H26:$Q26&lt;&gt;"")*ISERROR(SEARCH($H26:$Q26,X26)))</f>
        <v/>
      </c>
      <c r="Z26" s="10" t="inlineStr">
        <is>
          <t>Enquadre: Na(X)+' tinha se afastado para perto do corredor de serviço e falou baixo, quase para a parede: &lt;i&gt;"…"&lt;/i&gt;'. A voz responde logo depois; manter a palavra que a resposta retoma.</t>
        </is>
      </c>
    </row>
    <row r="27" ht="57.45" customHeight="1" s="8">
      <c r="A27" s="10" t="inlineStr">
        <is>
          <t>c2-p1-02</t>
        </is>
      </c>
      <c r="B27" s="10" t="n">
        <v>1</v>
      </c>
      <c r="C27" s="10" t="inlineStr">
        <is>
          <t>a voz responde à frase dita baixinho</t>
        </is>
      </c>
      <c r="D27" s="10" t="inlineStr">
        <is>
          <t>voz</t>
        </is>
      </c>
      <c r="E27" s="10" t="inlineStr">
        <is>
          <t>acompanhante</t>
        </is>
      </c>
      <c r="F27" s="10" t="inlineStr">
        <is>
          <t>grupo</t>
        </is>
      </c>
      <c r="G27" s="10" t="n"/>
      <c r="H27" s="10" t="inlineStr">
        <is>
          <t>ele disse</t>
        </is>
      </c>
      <c r="I27" s="10" t="inlineStr">
        <is>
          <t>quem estava aqui</t>
        </is>
      </c>
      <c r="J27" s="10" t="n"/>
      <c r="K27" s="10" t="n"/>
      <c r="L27" s="10" t="n"/>
      <c r="M27" s="10" t="n"/>
      <c r="N27" s="10" t="n"/>
      <c r="O27" s="10" t="n"/>
      <c r="P27" s="10" t="n"/>
      <c r="Q27" s="10" t="n"/>
      <c r="R27" s="10" t="inlineStr">
        <is>
          <t>Ele disse a quem estava aqui.</t>
        </is>
      </c>
      <c r="S27" s="13" t="inlineStr">
        <is>
          <t>Ele disse, sim! A quem estava aqui.</t>
        </is>
      </c>
      <c r="T27" s="13" t="inlineStr">
        <is>
          <t>Ele disse… a quem estava aqui.</t>
        </is>
      </c>
      <c r="U27" s="13" t="inlineStr">
        <is>
          <t>Ele disse a quem estava aqui… não foi?</t>
        </is>
      </c>
      <c r="V27" s="13" t="inlineStr">
        <is>
          <t>Ele disse a quem estava aqui.</t>
        </is>
      </c>
      <c r="W27" s="13" t="inlineStr">
        <is>
          <t>Tanta estrada até aqui… e ele disse a quem estava aqui.</t>
        </is>
      </c>
      <c r="X27" s="13" t="inlineStr">
        <is>
          <t>Consta: ele disse a quem estava aqui.</t>
        </is>
      </c>
      <c r="Y27" s="10">
        <f>SUMPRODUCT(($H27:$Q27&lt;&gt;"")*ISERROR(SEARCH($H27:$Q27,S27)))+SUMPRODUCT(($H27:$Q27&lt;&gt;"")*ISERROR(SEARCH($H27:$Q27,T27)))+SUMPRODUCT(($H27:$Q27&lt;&gt;"")*ISERROR(SEARCH($H27:$Q27,U27)))+SUMPRODUCT(($H27:$Q27&lt;&gt;"")*ISERROR(SEARCH($H27:$Q27,V27)))+SUMPRODUCT(($H27:$Q27&lt;&gt;"")*ISERROR(SEARCH($H27:$Q27,W27)))+SUMPRODUCT(($H27:$Q27&lt;&gt;"")*ISERROR(SEARCH($H27:$Q27,X27)))</f>
        <v/>
      </c>
      <c r="Z27" s="10" t="inlineStr">
        <is>
          <t>Função: responde que ele contou da doença a quem estava na casa (aponta alguém que cuidava dele). VOZ_R2[1]=guardia → coluna leal_cego mantém o texto atual exato.</t>
        </is>
      </c>
    </row>
    <row r="28" ht="46.25" customHeight="1" s="8">
      <c r="A28" s="10" t="inlineStr">
        <is>
          <t>c2-p2-02</t>
        </is>
      </c>
      <c r="B28" s="10" t="n">
        <v>2</v>
      </c>
      <c r="C28" s="10" t="inlineStr">
        <is>
          <t>a voz responde à frase dita baixinho</t>
        </is>
      </c>
      <c r="D28" s="10" t="inlineStr">
        <is>
          <t>voz</t>
        </is>
      </c>
      <c r="E28" s="10" t="inlineStr">
        <is>
          <t>acompanhante</t>
        </is>
      </c>
      <c r="F28" s="10" t="inlineStr">
        <is>
          <t>grupo</t>
        </is>
      </c>
      <c r="G28" s="10" t="n"/>
      <c r="H28" s="10" t="inlineStr">
        <is>
          <t>nem quem</t>
        </is>
      </c>
      <c r="I28" s="10" t="inlineStr">
        <is>
          <t>do lado de dentro</t>
        </is>
      </c>
      <c r="J28" s="10" t="n"/>
      <c r="K28" s="10" t="n"/>
      <c r="L28" s="10" t="n"/>
      <c r="M28" s="10" t="n"/>
      <c r="N28" s="10" t="n"/>
      <c r="O28" s="10" t="n"/>
      <c r="P28" s="10" t="n"/>
      <c r="Q28" s="10" t="n"/>
      <c r="R28" s="10" t="inlineStr">
        <is>
          <t>Nem quem já está do lado de dentro?</t>
        </is>
      </c>
      <c r="S28" s="13" t="inlineStr">
        <is>
          <t>Nem quem já está do lado de dentro? Responde!</t>
        </is>
      </c>
      <c r="T28" s="13" t="inlineStr">
        <is>
          <t>Nem quem… já está do lado de dentro?</t>
        </is>
      </c>
      <c r="U28" s="13" t="inlineStr">
        <is>
          <t>Nem quem já está do lado de dentro? Desculpa perguntar…</t>
        </is>
      </c>
      <c r="V28" s="13" t="inlineStr">
        <is>
          <t>Nem quem já está do lado de dentro?</t>
        </is>
      </c>
      <c r="W28" s="13" t="inlineStr">
        <is>
          <t>Nem quem já está do lado de dentro?</t>
        </is>
      </c>
      <c r="X28" s="13" t="inlineStr">
        <is>
          <t>Pergunta: nem quem já está do lado de dentro?</t>
        </is>
      </c>
      <c r="Y28" s="10">
        <f>SUMPRODUCT(($H28:$Q28&lt;&gt;"")*ISERROR(SEARCH($H28:$Q28,S28)))+SUMPRODUCT(($H28:$Q28&lt;&gt;"")*ISERROR(SEARCH($H28:$Q28,T28)))+SUMPRODUCT(($H28:$Q28&lt;&gt;"")*ISERROR(SEARCH($H28:$Q28,U28)))+SUMPRODUCT(($H28:$Q28&lt;&gt;"")*ISERROR(SEARCH($H28:$Q28,V28)))+SUMPRODUCT(($H28:$Q28&lt;&gt;"")*ISERROR(SEARCH($H28:$Q28,W28)))+SUMPRODUCT(($H28:$Q28&lt;&gt;"")*ISERROR(SEARCH($H28:$Q28,X28)))</f>
        <v/>
      </c>
      <c r="Z28" s="10" t="inlineStr">
        <is>
          <t>Função: devolve a ordem com a insinuação de que alguém já está dentro da casa. VOZ_R2[2]=ardilosa → coluna evasivo mantém o texto atual exato.</t>
        </is>
      </c>
    </row>
    <row r="29" ht="46.25" customHeight="1" s="8">
      <c r="A29" s="10" t="inlineStr">
        <is>
          <t>c2-p4-02</t>
        </is>
      </c>
      <c r="B29" s="10" t="n">
        <v>4</v>
      </c>
      <c r="C29" s="10" t="inlineStr">
        <is>
          <t>a voz responde à frase dita baixinho</t>
        </is>
      </c>
      <c r="D29" s="10" t="inlineStr">
        <is>
          <t>voz</t>
        </is>
      </c>
      <c r="E29" s="10" t="inlineStr">
        <is>
          <t>acompanhante</t>
        </is>
      </c>
      <c r="F29" s="10" t="inlineStr">
        <is>
          <t>grupo</t>
        </is>
      </c>
      <c r="G29" s="10" t="n"/>
      <c r="H29" s="10" t="inlineStr">
        <is>
          <t>vale</t>
        </is>
      </c>
      <c r="I29" s="10" t="n"/>
      <c r="J29" s="10" t="n"/>
      <c r="K29" s="10" t="n"/>
      <c r="L29" s="10" t="n"/>
      <c r="M29" s="10" t="n"/>
      <c r="N29" s="10" t="n"/>
      <c r="O29" s="10" t="n"/>
      <c r="P29" s="10" t="n"/>
      <c r="Q29" s="10" t="n"/>
      <c r="R29" s="10" t="inlineStr">
        <is>
          <t>Vale.</t>
        </is>
      </c>
      <c r="S29" s="13" t="inlineStr">
        <is>
          <t>Vale!</t>
        </is>
      </c>
      <c r="T29" s="13" t="inlineStr">
        <is>
          <t>Vale.</t>
        </is>
      </c>
      <c r="U29" s="13" t="inlineStr">
        <is>
          <t>Vale…</t>
        </is>
      </c>
      <c r="V29" s="13" t="inlineStr">
        <is>
          <t>Vale.</t>
        </is>
      </c>
      <c r="W29" s="13" t="inlineStr">
        <is>
          <t>Bem… vale.</t>
        </is>
      </c>
      <c r="X29" s="13" t="inlineStr">
        <is>
          <t>Vale.</t>
        </is>
      </c>
      <c r="Y29" s="10">
        <f>SUMPRODUCT(($H29:$Q29&lt;&gt;"")*ISERROR(SEARCH($H29:$Q29,S29)))+SUMPRODUCT(($H29:$Q29&lt;&gt;"")*ISERROR(SEARCH($H29:$Q29,T29)))+SUMPRODUCT(($H29:$Q29&lt;&gt;"")*ISERROR(SEARCH($H29:$Q29,U29)))+SUMPRODUCT(($H29:$Q29&lt;&gt;"")*ISERROR(SEARCH($H29:$Q29,V29)))+SUMPRODUCT(($H29:$Q29&lt;&gt;"")*ISERROR(SEARCH($H29:$Q29,W29)))+SUMPRODUCT(($H29:$Q29&lt;&gt;"")*ISERROR(SEARCH($H29:$Q29,X29)))</f>
        <v/>
      </c>
      <c r="Z29" s="10" t="inlineStr">
        <is>
          <t>Função: confirma que o adendo manuscrito vale. VOZ_R2[4]=quieta → coluna calmo_opaco mantém o texto atual exato.</t>
        </is>
      </c>
    </row>
    <row r="30" ht="46.25" customHeight="1" s="8">
      <c r="A30" s="10" t="inlineStr">
        <is>
          <t>c2-p5-02</t>
        </is>
      </c>
      <c r="B30" s="10" t="n">
        <v>5</v>
      </c>
      <c r="C30" s="10" t="inlineStr">
        <is>
          <t>a voz responde à frase dita baixinho</t>
        </is>
      </c>
      <c r="D30" s="10" t="inlineStr">
        <is>
          <t>voz</t>
        </is>
      </c>
      <c r="E30" s="10" t="inlineStr">
        <is>
          <t>acompanhante</t>
        </is>
      </c>
      <c r="F30" s="10" t="inlineStr">
        <is>
          <t>grupo</t>
        </is>
      </c>
      <c r="G30" s="10" t="n"/>
      <c r="H30" s="10" t="inlineStr">
        <is>
          <t>ninguém passou fome</t>
        </is>
      </c>
      <c r="I30" s="10" t="inlineStr">
        <is>
          <t>nesta casa</t>
        </is>
      </c>
      <c r="J30" s="10" t="n"/>
      <c r="K30" s="10" t="n"/>
      <c r="L30" s="10" t="n"/>
      <c r="M30" s="10" t="n"/>
      <c r="N30" s="10" t="n"/>
      <c r="O30" s="10" t="n"/>
      <c r="P30" s="10" t="n"/>
      <c r="Q30" s="10" t="n"/>
      <c r="R30" s="10" t="inlineStr">
        <is>
          <t>Ninguém passou fome nesta casa.</t>
        </is>
      </c>
      <c r="S30" s="13" t="inlineStr">
        <is>
          <t>Ninguém passou fome nesta casa! Satisfeita?</t>
        </is>
      </c>
      <c r="T30" s="13" t="inlineStr">
        <is>
          <t>Ninguém passou fome… nesta casa.</t>
        </is>
      </c>
      <c r="U30" s="13" t="inlineStr">
        <is>
          <t>Ninguém passou fome nesta casa. Ainda bem, não?</t>
        </is>
      </c>
      <c r="V30" s="13" t="inlineStr">
        <is>
          <t>Ninguém passou fome nesta casa.</t>
        </is>
      </c>
      <c r="W30" s="13" t="inlineStr">
        <is>
          <t>A noite está longa… Ninguém passou fome nesta casa.</t>
        </is>
      </c>
      <c r="X30" s="13" t="inlineStr">
        <is>
          <t>Consta: ninguém passou fome nesta casa.</t>
        </is>
      </c>
      <c r="Y30" s="10">
        <f>SUMPRODUCT(($H30:$Q30&lt;&gt;"")*ISERROR(SEARCH($H30:$Q30,S30)))+SUMPRODUCT(($H30:$Q30&lt;&gt;"")*ISERROR(SEARCH($H30:$Q30,T30)))+SUMPRODUCT(($H30:$Q30&lt;&gt;"")*ISERROR(SEARCH($H30:$Q30,U30)))+SUMPRODUCT(($H30:$Q30&lt;&gt;"")*ISERROR(SEARCH($H30:$Q30,V30)))+SUMPRODUCT(($H30:$Q30&lt;&gt;"")*ISERROR(SEARCH($H30:$Q30,W30)))+SUMPRODUCT(($H30:$Q30&lt;&gt;"")*ISERROR(SEARCH($H30:$Q30,X30)))</f>
        <v/>
      </c>
      <c r="Z30" s="10" t="inlineStr">
        <is>
          <t>Função: defende que alguém se alimentou na casa sem admitir quem. VOZ_R2[5]=guardia → coluna leal_cego mantém o texto atual exato.</t>
        </is>
      </c>
    </row>
    <row r="31" ht="46.25" customHeight="1" s="8">
      <c r="A31" s="10" t="inlineStr">
        <is>
          <t>c2-p6-02</t>
        </is>
      </c>
      <c r="B31" s="10" t="n">
        <v>6</v>
      </c>
      <c r="C31" s="10" t="inlineStr">
        <is>
          <t>a voz responde à frase dita baixinho</t>
        </is>
      </c>
      <c r="D31" s="10" t="inlineStr">
        <is>
          <t>voz</t>
        </is>
      </c>
      <c r="E31" s="10" t="inlineStr">
        <is>
          <t>acompanhante</t>
        </is>
      </c>
      <c r="F31" s="10" t="inlineStr">
        <is>
          <t>grupo</t>
        </is>
      </c>
      <c r="G31" s="10" t="n"/>
      <c r="H31" s="10" t="inlineStr">
        <is>
          <t>por que perguntar</t>
        </is>
      </c>
      <c r="I31" s="10" t="inlineStr">
        <is>
          <t>sabe a resposta</t>
        </is>
      </c>
      <c r="J31" s="10" t="n"/>
      <c r="K31" s="10" t="n"/>
      <c r="L31" s="10" t="n"/>
      <c r="M31" s="10" t="n"/>
      <c r="N31" s="10" t="n"/>
      <c r="O31" s="10" t="n"/>
      <c r="P31" s="10" t="n"/>
      <c r="Q31" s="10" t="n"/>
      <c r="R31" s="10" t="inlineStr">
        <is>
          <t>Por que perguntar, se você sabe a resposta?</t>
        </is>
      </c>
      <c r="S31" s="13" t="inlineStr">
        <is>
          <t>Por que perguntar, se você sabe a resposta? Francamente!</t>
        </is>
      </c>
      <c r="T31" s="13" t="inlineStr">
        <is>
          <t>Por que perguntar… se você sabe a resposta?</t>
        </is>
      </c>
      <c r="U31" s="13" t="inlineStr">
        <is>
          <t>Por que perguntar, se você sabe a resposta? Você sabe, não sabe?</t>
        </is>
      </c>
      <c r="V31" s="13" t="inlineStr">
        <is>
          <t>Você sabe a resposta. Por que perguntar?</t>
        </is>
      </c>
      <c r="W31" s="13" t="inlineStr">
        <is>
          <t>Por que perguntar, se você sabe a resposta?</t>
        </is>
      </c>
      <c r="X31" s="13" t="inlineStr">
        <is>
          <t>Questão: por que perguntar, se você sabe a resposta?</t>
        </is>
      </c>
      <c r="Y31" s="10">
        <f>SUMPRODUCT(($H31:$Q31&lt;&gt;"")*ISERROR(SEARCH($H31:$Q31,S31)))+SUMPRODUCT(($H31:$Q31&lt;&gt;"")*ISERROR(SEARCH($H31:$Q31,T31)))+SUMPRODUCT(($H31:$Q31&lt;&gt;"")*ISERROR(SEARCH($H31:$Q31,U31)))+SUMPRODUCT(($H31:$Q31&lt;&gt;"")*ISERROR(SEARCH($H31:$Q31,V31)))+SUMPRODUCT(($H31:$Q31&lt;&gt;"")*ISERROR(SEARCH($H31:$Q31,W31)))+SUMPRODUCT(($H31:$Q31&lt;&gt;"")*ISERROR(SEARCH($H31:$Q31,X31)))</f>
        <v/>
      </c>
      <c r="Z31" s="10" t="inlineStr">
        <is>
          <t>Função: acusa quem perguntou de já saber a resposta. VOZ_R2[6]=ardilosa → coluna evasivo mantém o texto atual exato.</t>
        </is>
      </c>
    </row>
    <row r="32" ht="46.25" customHeight="1" s="8">
      <c r="A32" s="10" t="inlineStr">
        <is>
          <t>c2-p7-02</t>
        </is>
      </c>
      <c r="B32" s="10" t="n">
        <v>7</v>
      </c>
      <c r="C32" s="10" t="inlineStr">
        <is>
          <t>a voz responde à frase dita baixinho</t>
        </is>
      </c>
      <c r="D32" s="10" t="inlineStr">
        <is>
          <t>voz</t>
        </is>
      </c>
      <c r="E32" s="10" t="inlineStr">
        <is>
          <t>acompanhante</t>
        </is>
      </c>
      <c r="F32" s="10" t="inlineStr">
        <is>
          <t>grupo</t>
        </is>
      </c>
      <c r="G32" s="10" t="n"/>
      <c r="H32" s="10" t="inlineStr">
        <is>
          <t>consta errado</t>
        </is>
      </c>
      <c r="I32" s="10" t="inlineStr">
        <is>
          <t>escreveram sobre ele</t>
        </is>
      </c>
      <c r="J32" s="10" t="n"/>
      <c r="K32" s="10" t="n"/>
      <c r="L32" s="10" t="n"/>
      <c r="M32" s="10" t="n"/>
      <c r="N32" s="10" t="n"/>
      <c r="O32" s="10" t="n"/>
      <c r="P32" s="10" t="n"/>
      <c r="Q32" s="10" t="n"/>
      <c r="R32" s="10" t="inlineStr">
        <is>
          <t>Consta errado. Como tudo o que vocês escreveram sobre ele.</t>
        </is>
      </c>
      <c r="S32" s="13" t="inlineStr">
        <is>
          <t>Consta errado. Como tudo o que vocês escreveram sobre ele.</t>
        </is>
      </c>
      <c r="T32" s="13" t="inlineStr">
        <is>
          <t>Consta errado… Como tudo… o que vocês escreveram sobre ele.</t>
        </is>
      </c>
      <c r="U32" s="13" t="inlineStr">
        <is>
          <t>Consta errado… como tudo o que vocês escreveram sobre ele, não foi?</t>
        </is>
      </c>
      <c r="V32" s="13" t="inlineStr">
        <is>
          <t>Em defesa dele: consta errado. Como tudo o que vocês escreveram sobre ele.</t>
        </is>
      </c>
      <c r="W32" s="13" t="inlineStr">
        <is>
          <t>Essa umidade… Consta errado. Como tudo o que vocês escreveram sobre ele.</t>
        </is>
      </c>
      <c r="X32" s="13" t="inlineStr">
        <is>
          <t>Retificação: consta errado. Como tudo o que vocês escreveram sobre ele.</t>
        </is>
      </c>
      <c r="Y32" s="10">
        <f>SUMPRODUCT(($H32:$Q32&lt;&gt;"")*ISERROR(SEARCH($H32:$Q32,S32)))+SUMPRODUCT(($H32:$Q32&lt;&gt;"")*ISERROR(SEARCH($H32:$Q32,T32)))+SUMPRODUCT(($H32:$Q32&lt;&gt;"")*ISERROR(SEARCH($H32:$Q32,U32)))+SUMPRODUCT(($H32:$Q32&lt;&gt;"")*ISERROR(SEARCH($H32:$Q32,V32)))+SUMPRODUCT(($H32:$Q32&lt;&gt;"")*ISERROR(SEARCH($H32:$Q32,W32)))+SUMPRODUCT(($H32:$Q32&lt;&gt;"")*ISERROR(SEARCH($H32:$Q32,X32)))</f>
        <v/>
      </c>
      <c r="Z32" s="10" t="inlineStr">
        <is>
          <t>Função: desmente o registro e ataca o que foi escrito sobre ele. VOZ_R2[7]=explosiva → coluna explosivo mantém o texto atual exato.</t>
        </is>
      </c>
    </row>
    <row r="33" ht="35.05" customHeight="1" s="8">
      <c r="A33" s="10" t="inlineStr">
        <is>
          <t>c2-p8-02</t>
        </is>
      </c>
      <c r="B33" s="10" t="n">
        <v>8</v>
      </c>
      <c r="C33" s="10" t="inlineStr">
        <is>
          <t>a voz responde à frase dita baixinho</t>
        </is>
      </c>
      <c r="D33" s="10" t="inlineStr">
        <is>
          <t>voz</t>
        </is>
      </c>
      <c r="E33" s="10" t="inlineStr">
        <is>
          <t>acompanhante</t>
        </is>
      </c>
      <c r="F33" s="10" t="inlineStr">
        <is>
          <t>grupo</t>
        </is>
      </c>
      <c r="G33" s="10" t="n"/>
      <c r="H33" s="10" t="inlineStr">
        <is>
          <t>ninguém invadiu</t>
        </is>
      </c>
      <c r="I33" s="10" t="inlineStr">
        <is>
          <t>cuidaram</t>
        </is>
      </c>
      <c r="J33" s="10" t="n"/>
      <c r="K33" s="10" t="n"/>
      <c r="L33" s="10" t="n"/>
      <c r="M33" s="10" t="n"/>
      <c r="N33" s="10" t="n"/>
      <c r="O33" s="10" t="n"/>
      <c r="P33" s="10" t="n"/>
      <c r="Q33" s="10" t="n"/>
      <c r="R33" s="10" t="inlineStr">
        <is>
          <t>Ninguém invadiu. Cuidaram.</t>
        </is>
      </c>
      <c r="S33" s="13" t="inlineStr">
        <is>
          <t>Ninguém invadiu! Cuidaram, ouviu?</t>
        </is>
      </c>
      <c r="T33" s="13" t="inlineStr">
        <is>
          <t>Ninguém invadiu… Cuidaram.</t>
        </is>
      </c>
      <c r="U33" s="13" t="inlineStr">
        <is>
          <t>Ninguém invadiu… cuidaram, sabe?</t>
        </is>
      </c>
      <c r="V33" s="13" t="inlineStr">
        <is>
          <t>Ninguém invadiu. Cuidaram.</t>
        </is>
      </c>
      <c r="W33" s="13" t="inlineStr">
        <is>
          <t>Uma noite comprida… Ninguém invadiu. Cuidaram.</t>
        </is>
      </c>
      <c r="X33" s="13" t="inlineStr">
        <is>
          <t>Correção: ninguém invadiu. Cuidaram.</t>
        </is>
      </c>
      <c r="Y33" s="10">
        <f>SUMPRODUCT(($H33:$Q33&lt;&gt;"")*ISERROR(SEARCH($H33:$Q33,S33)))+SUMPRODUCT(($H33:$Q33&lt;&gt;"")*ISERROR(SEARCH($H33:$Q33,T33)))+SUMPRODUCT(($H33:$Q33&lt;&gt;"")*ISERROR(SEARCH($H33:$Q33,U33)))+SUMPRODUCT(($H33:$Q33&lt;&gt;"")*ISERROR(SEARCH($H33:$Q33,V33)))+SUMPRODUCT(($H33:$Q33&lt;&gt;"")*ISERROR(SEARCH($H33:$Q33,W33)))+SUMPRODUCT(($H33:$Q33&lt;&gt;"")*ISERROR(SEARCH($H33:$Q33,X33)))</f>
        <v/>
      </c>
      <c r="Z33" s="10" t="inlineStr">
        <is>
          <t>Função: nega a invasão e diz que houve cuidado. VOZ_R2[8]=guardia → coluna leal_cego mantém o texto atual exato.</t>
        </is>
      </c>
    </row>
    <row r="34" ht="46.25" customHeight="1" s="8">
      <c r="A34" s="10" t="inlineStr">
        <is>
          <t>c2-p9-02</t>
        </is>
      </c>
      <c r="B34" s="10" t="n">
        <v>9</v>
      </c>
      <c r="C34" s="10" t="inlineStr">
        <is>
          <t>a voz responde à frase dita baixinho</t>
        </is>
      </c>
      <c r="D34" s="10" t="inlineStr">
        <is>
          <t>voz</t>
        </is>
      </c>
      <c r="E34" s="10" t="inlineStr">
        <is>
          <t>acompanhante</t>
        </is>
      </c>
      <c r="F34" s="10" t="inlineStr">
        <is>
          <t>grupo</t>
        </is>
      </c>
      <c r="G34" s="10" t="n"/>
      <c r="H34" s="10" t="inlineStr">
        <is>
          <t>ficou</t>
        </is>
      </c>
      <c r="I34" s="10" t="n"/>
      <c r="J34" s="10" t="n"/>
      <c r="K34" s="10" t="n"/>
      <c r="L34" s="10" t="n"/>
      <c r="M34" s="10" t="n"/>
      <c r="N34" s="10" t="n"/>
      <c r="O34" s="10" t="n"/>
      <c r="P34" s="10" t="n"/>
      <c r="Q34" s="10" t="n"/>
      <c r="R34" s="10" t="inlineStr">
        <is>
          <t>Ficou.</t>
        </is>
      </c>
      <c r="S34" s="13" t="inlineStr">
        <is>
          <t>Ficou!</t>
        </is>
      </c>
      <c r="T34" s="13" t="inlineStr">
        <is>
          <t>Ficou.</t>
        </is>
      </c>
      <c r="U34" s="13" t="inlineStr">
        <is>
          <t>Ficou…</t>
        </is>
      </c>
      <c r="V34" s="13" t="inlineStr">
        <is>
          <t>Ficou.</t>
        </is>
      </c>
      <c r="W34" s="13" t="inlineStr">
        <is>
          <t>Ah… ficou.</t>
        </is>
      </c>
      <c r="X34" s="13" t="inlineStr">
        <is>
          <t>Ficou.</t>
        </is>
      </c>
      <c r="Y34" s="10">
        <f>SUMPRODUCT(($H34:$Q34&lt;&gt;"")*ISERROR(SEARCH($H34:$Q34,S34)))+SUMPRODUCT(($H34:$Q34&lt;&gt;"")*ISERROR(SEARCH($H34:$Q34,T34)))+SUMPRODUCT(($H34:$Q34&lt;&gt;"")*ISERROR(SEARCH($H34:$Q34,U34)))+SUMPRODUCT(($H34:$Q34&lt;&gt;"")*ISERROR(SEARCH($H34:$Q34,V34)))+SUMPRODUCT(($H34:$Q34&lt;&gt;"")*ISERROR(SEARCH($H34:$Q34,W34)))+SUMPRODUCT(($H34:$Q34&lt;&gt;"")*ISERROR(SEARCH($H34:$Q34,X34)))</f>
        <v/>
      </c>
      <c r="Z34" s="10" t="inlineStr">
        <is>
          <t>Função: confirma que a obra ficou pela metade. VOZ_R2[9]=quieta → coluna calmo_opaco mantém o texto atual exato.</t>
        </is>
      </c>
    </row>
    <row r="35" ht="46.25" customHeight="1" s="8">
      <c r="A35" s="10" t="inlineStr">
        <is>
          <t>c2-p10-02</t>
        </is>
      </c>
      <c r="B35" s="10" t="n">
        <v>10</v>
      </c>
      <c r="C35" s="10" t="inlineStr">
        <is>
          <t>a voz responde à frase dita baixinho</t>
        </is>
      </c>
      <c r="D35" s="10" t="inlineStr">
        <is>
          <t>voz</t>
        </is>
      </c>
      <c r="E35" s="10" t="inlineStr">
        <is>
          <t>acompanhante</t>
        </is>
      </c>
      <c r="F35" s="10" t="inlineStr">
        <is>
          <t>grupo</t>
        </is>
      </c>
      <c r="G35" s="10" t="n"/>
      <c r="H35" s="10" t="inlineStr">
        <is>
          <t>viu junto com ele</t>
        </is>
      </c>
      <c r="I35" s="10" t="n"/>
      <c r="J35" s="10" t="n"/>
      <c r="K35" s="10" t="n"/>
      <c r="L35" s="10" t="n"/>
      <c r="M35" s="10" t="n"/>
      <c r="N35" s="10" t="n"/>
      <c r="O35" s="10" t="n"/>
      <c r="P35" s="10" t="n"/>
      <c r="Q35" s="10" t="n"/>
      <c r="R35" s="10" t="inlineStr">
        <is>
          <t>E você viu junto com ele, não viu?</t>
        </is>
      </c>
      <c r="S35" s="13" t="inlineStr">
        <is>
          <t>E você viu junto com ele! Não viu?</t>
        </is>
      </c>
      <c r="T35" s="13" t="inlineStr">
        <is>
          <t>E você… viu junto com ele. Não viu?</t>
        </is>
      </c>
      <c r="U35" s="13" t="inlineStr">
        <is>
          <t>E você viu junto com ele, não viu? Eu imaginei…</t>
        </is>
      </c>
      <c r="V35" s="13" t="inlineStr">
        <is>
          <t>Você viu junto com ele. Não viu?</t>
        </is>
      </c>
      <c r="W35" s="13" t="inlineStr">
        <is>
          <t>E você viu junto com ele, não viu?</t>
        </is>
      </c>
      <c r="X35" s="13" t="inlineStr">
        <is>
          <t>Pergunta: e você viu junto com ele, não viu?</t>
        </is>
      </c>
      <c r="Y35" s="10">
        <f>SUMPRODUCT(($H35:$Q35&lt;&gt;"")*ISERROR(SEARCH($H35:$Q35,S35)))+SUMPRODUCT(($H35:$Q35&lt;&gt;"")*ISERROR(SEARCH($H35:$Q35,T35)))+SUMPRODUCT(($H35:$Q35&lt;&gt;"")*ISERROR(SEARCH($H35:$Q35,U35)))+SUMPRODUCT(($H35:$Q35&lt;&gt;"")*ISERROR(SEARCH($H35:$Q35,V35)))+SUMPRODUCT(($H35:$Q35&lt;&gt;"")*ISERROR(SEARCH($H35:$Q35,W35)))+SUMPRODUCT(($H35:$Q35&lt;&gt;"")*ISERROR(SEARCH($H35:$Q35,X35)))</f>
        <v/>
      </c>
      <c r="Z35" s="10" t="inlineStr">
        <is>
          <t>Função: insinua que quem falou viu junto com o jasmim. VOZ_R2[10]=ardilosa → coluna evasivo mantém o texto atual exato.</t>
        </is>
      </c>
    </row>
    <row r="36" ht="46.25" customHeight="1" s="8">
      <c r="A36" s="10" t="inlineStr">
        <is>
          <t>c2-p12-02</t>
        </is>
      </c>
      <c r="B36" s="10" t="n">
        <v>12</v>
      </c>
      <c r="C36" s="10" t="inlineStr">
        <is>
          <t>a voz responde à frase dita baixinho</t>
        </is>
      </c>
      <c r="D36" s="10" t="inlineStr">
        <is>
          <t>voz</t>
        </is>
      </c>
      <c r="E36" s="10" t="inlineStr">
        <is>
          <t>acompanhante</t>
        </is>
      </c>
      <c r="F36" s="10" t="inlineStr">
        <is>
          <t>grupo</t>
        </is>
      </c>
      <c r="G36" s="10" t="n"/>
      <c r="H36" s="10" t="inlineStr">
        <is>
          <t>chamou</t>
        </is>
      </c>
      <c r="I36" s="10" t="inlineStr">
        <is>
          <t>três vezes</t>
        </is>
      </c>
      <c r="J36" s="10" t="inlineStr">
        <is>
          <t>não veio</t>
        </is>
      </c>
      <c r="K36" s="10" t="n"/>
      <c r="L36" s="10" t="n"/>
      <c r="M36" s="10" t="n"/>
      <c r="N36" s="10" t="n"/>
      <c r="O36" s="10" t="n"/>
      <c r="P36" s="10" t="n"/>
      <c r="Q36" s="10" t="n"/>
      <c r="R36" s="10" t="inlineStr">
        <is>
          <t>Chamou. Três vezes. Você não veio.</t>
        </is>
      </c>
      <c r="S36" s="13" t="inlineStr">
        <is>
          <t>Chamou. Três vezes. Você não veio.</t>
        </is>
      </c>
      <c r="T36" s="13" t="inlineStr">
        <is>
          <t>Chamou… Três vezes. Você não veio.</t>
        </is>
      </c>
      <c r="U36" s="13" t="inlineStr">
        <is>
          <t>Chamou, sabe? Três vezes. E você não veio…</t>
        </is>
      </c>
      <c r="V36" s="13" t="inlineStr">
        <is>
          <t>Chamou. Três vezes. E você não veio.</t>
        </is>
      </c>
      <c r="W36" s="13" t="inlineStr">
        <is>
          <t>A estrada é longa, eu sei… Chamou. Três vezes. Você não veio.</t>
        </is>
      </c>
      <c r="X36" s="13" t="inlineStr">
        <is>
          <t>Consta: chamou. Três vezes. Você não veio.</t>
        </is>
      </c>
      <c r="Y36" s="10">
        <f>SUMPRODUCT(($H36:$Q36&lt;&gt;"")*ISERROR(SEARCH($H36:$Q36,S36)))+SUMPRODUCT(($H36:$Q36&lt;&gt;"")*ISERROR(SEARCH($H36:$Q36,T36)))+SUMPRODUCT(($H36:$Q36&lt;&gt;"")*ISERROR(SEARCH($H36:$Q36,U36)))+SUMPRODUCT(($H36:$Q36&lt;&gt;"")*ISERROR(SEARCH($H36:$Q36,V36)))+SUMPRODUCT(($H36:$Q36&lt;&gt;"")*ISERROR(SEARCH($H36:$Q36,W36)))+SUMPRODUCT(($H36:$Q36&lt;&gt;"")*ISERROR(SEARCH($H36:$Q36,X36)))</f>
        <v/>
      </c>
      <c r="Z36" s="10" t="inlineStr">
        <is>
          <t>Função: desmente: ele chamou três vezes e ela não veio. VOZ_R2[12]=explosiva → coluna explosivo mantém o texto atual exato.</t>
        </is>
      </c>
    </row>
    <row r="37" ht="46.25" customHeight="1" s="8">
      <c r="A37" s="10" t="inlineStr">
        <is>
          <t>c2-p13-02</t>
        </is>
      </c>
      <c r="B37" s="10" t="n">
        <v>13</v>
      </c>
      <c r="C37" s="10" t="inlineStr">
        <is>
          <t>a voz responde à frase dita baixinho</t>
        </is>
      </c>
      <c r="D37" s="10" t="inlineStr">
        <is>
          <t>voz</t>
        </is>
      </c>
      <c r="E37" s="10" t="inlineStr">
        <is>
          <t>acompanhante</t>
        </is>
      </c>
      <c r="F37" s="10" t="inlineStr">
        <is>
          <t>grupo</t>
        </is>
      </c>
      <c r="G37" s="10" t="n"/>
      <c r="H37" s="10" t="inlineStr">
        <is>
          <t>não anda</t>
        </is>
      </c>
      <c r="I37" s="10" t="inlineStr">
        <is>
          <t>mora</t>
        </is>
      </c>
      <c r="J37" s="10" t="inlineStr">
        <is>
          <t>deixem</t>
        </is>
      </c>
      <c r="K37" s="10" t="n"/>
      <c r="L37" s="10" t="n"/>
      <c r="M37" s="10" t="n"/>
      <c r="N37" s="10" t="n"/>
      <c r="O37" s="10" t="n"/>
      <c r="P37" s="10" t="n"/>
      <c r="Q37" s="10" t="n"/>
      <c r="R37" s="10" t="inlineStr">
        <is>
          <t>Não anda: mora. Deixem.</t>
        </is>
      </c>
      <c r="S37" s="13" t="inlineStr">
        <is>
          <t>Não anda: mora! Deixem.</t>
        </is>
      </c>
      <c r="T37" s="13" t="inlineStr">
        <is>
          <t>Não anda… mora. Deixem.</t>
        </is>
      </c>
      <c r="U37" s="13" t="inlineStr">
        <is>
          <t>Não anda: mora, sabe? Deixem, por favor…</t>
        </is>
      </c>
      <c r="V37" s="13" t="inlineStr">
        <is>
          <t>Não anda: mora. Deixem.</t>
        </is>
      </c>
      <c r="W37" s="13" t="inlineStr">
        <is>
          <t>Faz frio lá fora… Não anda: mora. Deixem.</t>
        </is>
      </c>
      <c r="X37" s="13" t="inlineStr">
        <is>
          <t>Correção: não anda, mora. Deixem.</t>
        </is>
      </c>
      <c r="Y37" s="10">
        <f>SUMPRODUCT(($H37:$Q37&lt;&gt;"")*ISERROR(SEARCH($H37:$Q37,S37)))+SUMPRODUCT(($H37:$Q37&lt;&gt;"")*ISERROR(SEARCH($H37:$Q37,T37)))+SUMPRODUCT(($H37:$Q37&lt;&gt;"")*ISERROR(SEARCH($H37:$Q37,U37)))+SUMPRODUCT(($H37:$Q37&lt;&gt;"")*ISERROR(SEARCH($H37:$Q37,V37)))+SUMPRODUCT(($H37:$Q37&lt;&gt;"")*ISERROR(SEARCH($H37:$Q37,W37)))+SUMPRODUCT(($H37:$Q37&lt;&gt;"")*ISERROR(SEARCH($H37:$Q37,X37)))</f>
        <v/>
      </c>
      <c r="Z37" s="10" t="inlineStr">
        <is>
          <t>Função: corrige: alguém mora na ala de serviço, e pede que deixem. VOZ_R2[13]=guardia → coluna leal_cego mantém o texto atual exato.</t>
        </is>
      </c>
    </row>
    <row r="38" ht="46.25" customHeight="1" s="8">
      <c r="A38" s="10" t="inlineStr">
        <is>
          <t>c2-p14-02</t>
        </is>
      </c>
      <c r="B38" s="10" t="n">
        <v>14</v>
      </c>
      <c r="C38" s="10" t="inlineStr">
        <is>
          <t>a voz responde à frase dita baixinho</t>
        </is>
      </c>
      <c r="D38" s="10" t="inlineStr">
        <is>
          <t>voz</t>
        </is>
      </c>
      <c r="E38" s="10" t="inlineStr">
        <is>
          <t>acompanhante</t>
        </is>
      </c>
      <c r="F38" s="10" t="inlineStr">
        <is>
          <t>grupo</t>
        </is>
      </c>
      <c r="G38" s="10" t="n"/>
      <c r="H38" s="10" t="inlineStr">
        <is>
          <t>registre</t>
        </is>
      </c>
      <c r="I38" s="10" t="n"/>
      <c r="J38" s="10" t="n"/>
      <c r="K38" s="10" t="n"/>
      <c r="L38" s="10" t="n"/>
      <c r="M38" s="10" t="n"/>
      <c r="N38" s="10" t="n"/>
      <c r="O38" s="10" t="n"/>
      <c r="P38" s="10" t="n"/>
      <c r="Q38" s="10" t="n"/>
      <c r="R38" s="10" t="inlineStr">
        <is>
          <t>Registre.</t>
        </is>
      </c>
      <c r="S38" s="13" t="inlineStr">
        <is>
          <t>Registre!</t>
        </is>
      </c>
      <c r="T38" s="13" t="inlineStr">
        <is>
          <t>Registre.</t>
        </is>
      </c>
      <c r="U38" s="13" t="inlineStr">
        <is>
          <t>Registre…</t>
        </is>
      </c>
      <c r="V38" s="13" t="inlineStr">
        <is>
          <t>Registre.</t>
        </is>
      </c>
      <c r="W38" s="13" t="inlineStr">
        <is>
          <t>Registre.</t>
        </is>
      </c>
      <c r="X38" s="13" t="inlineStr">
        <is>
          <t>Registre.</t>
        </is>
      </c>
      <c r="Y38" s="10">
        <f>SUMPRODUCT(($H38:$Q38&lt;&gt;"")*ISERROR(SEARCH($H38:$Q38,S38)))+SUMPRODUCT(($H38:$Q38&lt;&gt;"")*ISERROR(SEARCH($H38:$Q38,T38)))+SUMPRODUCT(($H38:$Q38&lt;&gt;"")*ISERROR(SEARCH($H38:$Q38,U38)))+SUMPRODUCT(($H38:$Q38&lt;&gt;"")*ISERROR(SEARCH($H38:$Q38,V38)))+SUMPRODUCT(($H38:$Q38&lt;&gt;"")*ISERROR(SEARCH($H38:$Q38,W38)))+SUMPRODUCT(($H38:$Q38&lt;&gt;"")*ISERROR(SEARCH($H38:$Q38,X38)))</f>
        <v/>
      </c>
      <c r="Z38" s="10" t="inlineStr">
        <is>
          <t>Função: devolve a ordem: registre. VOZ_R2[14]=quieta → coluna calmo_opaco mantém o texto atual exato.</t>
        </is>
      </c>
    </row>
    <row r="39" ht="46.25" customHeight="1" s="8">
      <c r="A39" s="10" t="inlineStr">
        <is>
          <t>c2-p15-02</t>
        </is>
      </c>
      <c r="B39" s="10" t="n">
        <v>15</v>
      </c>
      <c r="C39" s="10" t="inlineStr">
        <is>
          <t>a voz responde à frase dita baixinho</t>
        </is>
      </c>
      <c r="D39" s="10" t="inlineStr">
        <is>
          <t>voz</t>
        </is>
      </c>
      <c r="E39" s="10" t="inlineStr">
        <is>
          <t>acompanhante</t>
        </is>
      </c>
      <c r="F39" s="10" t="inlineStr">
        <is>
          <t>grupo</t>
        </is>
      </c>
      <c r="G39" s="10" t="n"/>
      <c r="H39" s="10" t="inlineStr">
        <is>
          <t>de quem</t>
        </is>
      </c>
      <c r="I39" s="10" t="inlineStr">
        <is>
          <t>acha que é</t>
        </is>
      </c>
      <c r="J39" s="10" t="n"/>
      <c r="K39" s="10" t="n"/>
      <c r="L39" s="10" t="n"/>
      <c r="M39" s="10" t="n"/>
      <c r="N39" s="10" t="n"/>
      <c r="O39" s="10" t="n"/>
      <c r="P39" s="10" t="n"/>
      <c r="Q39" s="10" t="n"/>
      <c r="R39" s="10" t="inlineStr">
        <is>
          <t>E de quem você acha que é?</t>
        </is>
      </c>
      <c r="S39" s="13" t="inlineStr">
        <is>
          <t>E de quem você acha que é? Fala!</t>
        </is>
      </c>
      <c r="T39" s="13" t="inlineStr">
        <is>
          <t>E de quem… você acha que é?</t>
        </is>
      </c>
      <c r="U39" s="13" t="inlineStr">
        <is>
          <t>E de quem você acha que é? Pergunto de verdade…</t>
        </is>
      </c>
      <c r="V39" s="13" t="inlineStr">
        <is>
          <t>E de quem você acha que é?</t>
        </is>
      </c>
      <c r="W39" s="13" t="inlineStr">
        <is>
          <t>E de quem você acha que é?</t>
        </is>
      </c>
      <c r="X39" s="13" t="inlineStr">
        <is>
          <t>Pergunta: e de quem você acha que é?</t>
        </is>
      </c>
      <c r="Y39" s="10">
        <f>SUMPRODUCT(($H39:$Q39&lt;&gt;"")*ISERROR(SEARCH($H39:$Q39,S39)))+SUMPRODUCT(($H39:$Q39&lt;&gt;"")*ISERROR(SEARCH($H39:$Q39,T39)))+SUMPRODUCT(($H39:$Q39&lt;&gt;"")*ISERROR(SEARCH($H39:$Q39,U39)))+SUMPRODUCT(($H39:$Q39&lt;&gt;"")*ISERROR(SEARCH($H39:$Q39,V39)))+SUMPRODUCT(($H39:$Q39&lt;&gt;"")*ISERROR(SEARCH($H39:$Q39,W39)))+SUMPRODUCT(($H39:$Q39&lt;&gt;"")*ISERROR(SEARCH($H39:$Q39,X39)))</f>
        <v/>
      </c>
      <c r="Z39" s="10" t="inlineStr">
        <is>
          <t>Função: devolve a pergunta sobre de quem é o gato. VOZ_R2[15]=ardilosa → coluna evasivo mantém o texto atual exato.</t>
        </is>
      </c>
    </row>
    <row r="40" ht="102.2" customHeight="1" s="8">
      <c r="A40" s="10" t="inlineStr">
        <is>
          <t>c2-p1-03</t>
        </is>
      </c>
      <c r="B40" s="10" t="n">
        <v>1</v>
      </c>
      <c r="C40" s="10" t="inlineStr">
        <is>
          <t>as lembranças sobre ele (mentira do impostor)</t>
        </is>
      </c>
      <c r="D40" s="10" t="inlineStr">
        <is>
          <t>roteiro</t>
        </is>
      </c>
      <c r="E40" s="10" t="inlineStr">
        <is>
          <t>residente</t>
        </is>
      </c>
      <c r="F40" s="10" t="inlineStr">
        <is>
          <t>sala</t>
        </is>
      </c>
      <c r="G40" s="10" t="n"/>
      <c r="H40" s="10" t="inlineStr">
        <is>
          <t>toda semana</t>
        </is>
      </c>
      <c r="I40" s="10" t="inlineStr">
        <is>
          <t>infiltração</t>
        </is>
      </c>
      <c r="J40" s="10" t="inlineStr">
        <is>
          <t>no fim</t>
        </is>
      </c>
      <c r="K40" s="10" t="inlineStr">
        <is>
          <t>nem descia</t>
        </is>
      </c>
      <c r="L40" s="10" t="inlineStr">
        <is>
          <t>lá em cima</t>
        </is>
      </c>
      <c r="M40" s="10" t="n"/>
      <c r="N40" s="10" t="n"/>
      <c r="O40" s="10" t="n"/>
      <c r="P40" s="10" t="n"/>
      <c r="Q40" s="10" t="n"/>
      <c r="R40" s="10" t="inlineStr">
        <is>
          <t>Eu vinha toda semana ver a infiltração. No fim ele nem descia mais, ficava lá em cima, no quarto dele.</t>
        </is>
      </c>
      <c r="S40" s="13" t="inlineStr">
        <is>
          <t>Eu vinha toda semana ver a infiltração! No fim ele nem descia mais, ficava lá em cima, no quarto dele.</t>
        </is>
      </c>
      <c r="T40" s="13" t="inlineStr">
        <is>
          <t>Eu vinha… toda semana. A infiltração. No fim ele nem descia mais… lá em cima, no quarto dele.</t>
        </is>
      </c>
      <c r="U40" s="13" t="inlineStr">
        <is>
          <t>Eu vinha toda semana ver a infiltração. No fim ele nem descia mais… ficava lá em cima, no quarto dele, coitado.</t>
        </is>
      </c>
      <c r="V40" s="13" t="inlineStr">
        <is>
          <t>Eu vinha toda semana ver a infiltração, e vinha mesmo. No fim ele nem descia mais, ficava lá em cima, no quarto dele.</t>
        </is>
      </c>
      <c r="W40" s="13" t="inlineStr">
        <is>
          <t>Com a chuva de hoje lembrei: eu vinha toda semana ver a infiltração. No fim ele nem descia mais, ficava lá em cima, no quarto dele.</t>
        </is>
      </c>
      <c r="X40" s="13" t="inlineStr">
        <is>
          <t>Para a ata: eu vinha toda semana ver a infiltração. No fim ele nem descia mais; ficava lá em cima, no quarto dele.</t>
        </is>
      </c>
      <c r="Y40" s="10">
        <f>SUMPRODUCT(($H40:$Q40&lt;&gt;"")*ISERROR(SEARCH($H40:$Q40,S40)))+SUMPRODUCT(($H40:$Q40&lt;&gt;"")*ISERROR(SEARCH($H40:$Q40,T40)))+SUMPRODUCT(($H40:$Q40&lt;&gt;"")*ISERROR(SEARCH($H40:$Q40,U40)))+SUMPRODUCT(($H40:$Q40&lt;&gt;"")*ISERROR(SEARCH($H40:$Q40,V40)))+SUMPRODUCT(($H40:$Q40&lt;&gt;"")*ISERROR(SEARCH($H40:$Q40,W40)))+SUMPRODUCT(($H40:$Q40&lt;&gt;"")*ISERROR(SEARCH($H40:$Q40,X40)))</f>
        <v/>
      </c>
      <c r="Z40" s="10" t="inlineStr">
        <is>
          <t>Enquadre: sis(t+12+i*12,'&lt;i&gt;"'+texto sem o ponto final+'"&lt;/i&gt;, '+diz(X)+'.') → &lt;i&gt;"…"&lt;/i&gt;, diz X. É mentira-pista: o caderno derruba "lá em cima, no quarto dele" (a cama desceu para o quarto do jasmim em março; não subia escada) e "toda semana" (nenhuma visita dele no caderno); esses detalhes não podem sumir nem ser suavizados.</t>
        </is>
      </c>
    </row>
    <row r="41" ht="91" customHeight="1" s="8">
      <c r="A41" s="10" t="inlineStr">
        <is>
          <t>c2-p4-03</t>
        </is>
      </c>
      <c r="B41" s="10" t="n">
        <v>4</v>
      </c>
      <c r="C41" s="10" t="inlineStr">
        <is>
          <t>as lembranças sobre ele (mentira do impostor)</t>
        </is>
      </c>
      <c r="D41" s="10" t="inlineStr">
        <is>
          <t>roteiro</t>
        </is>
      </c>
      <c r="E41" s="10" t="inlineStr">
        <is>
          <t>chefe_de_cozinha</t>
        </is>
      </c>
      <c r="F41" s="10" t="inlineStr">
        <is>
          <t>sala</t>
        </is>
      </c>
      <c r="G41" s="10" t="n"/>
      <c r="H41" s="10" t="inlineStr">
        <is>
          <t>caldo</t>
        </is>
      </c>
      <c r="I41" s="10" t="inlineStr">
        <is>
          <t>último dia</t>
        </is>
      </c>
      <c r="J41" s="10" t="inlineStr">
        <is>
          <t>peixe</t>
        </is>
      </c>
      <c r="K41" s="10" t="inlineStr">
        <is>
          <t>não abria mão</t>
        </is>
      </c>
      <c r="L41" s="10" t="n"/>
      <c r="M41" s="10" t="n"/>
      <c r="N41" s="10" t="n"/>
      <c r="O41" s="10" t="n"/>
      <c r="P41" s="10" t="n"/>
      <c r="Q41" s="10" t="n"/>
      <c r="R41" s="10" t="inlineStr">
        <is>
          <t>Fiz o caldo dele até o último dia. Com peixe, que ele não abria mão.</t>
        </is>
      </c>
      <c r="S41" s="13" t="inlineStr">
        <is>
          <t>Fiz o caldo dele até o último dia! Com peixe, que ele não abria mão.</t>
        </is>
      </c>
      <c r="T41" s="13" t="inlineStr">
        <is>
          <t>Fiz o caldo dele… até o último dia. Com peixe. Ele não abria mão.</t>
        </is>
      </c>
      <c r="U41" s="13" t="inlineStr">
        <is>
          <t>Fiz o caldo dele até o último dia. Com peixe, que ele não abria mão… vocês lembram?</t>
        </is>
      </c>
      <c r="V41" s="13" t="inlineStr">
        <is>
          <t>Fiz o caldo dele até o último dia, com peixe, que ele não abria mão. Isso ninguém me tira.</t>
        </is>
      </c>
      <c r="W41" s="13" t="inlineStr">
        <is>
          <t>Bate uma fome, depois dessa estrada… Fiz o caldo dele até o último dia. Com peixe, que ele não abria mão.</t>
        </is>
      </c>
      <c r="X41" s="13" t="inlineStr">
        <is>
          <t>Anoto: fiz o caldo dele até o último dia, com peixe; ele não abria mão.</t>
        </is>
      </c>
      <c r="Y41" s="10">
        <f>SUMPRODUCT(($H41:$Q41&lt;&gt;"")*ISERROR(SEARCH($H41:$Q41,S41)))+SUMPRODUCT(($H41:$Q41&lt;&gt;"")*ISERROR(SEARCH($H41:$Q41,T41)))+SUMPRODUCT(($H41:$Q41&lt;&gt;"")*ISERROR(SEARCH($H41:$Q41,U41)))+SUMPRODUCT(($H41:$Q41&lt;&gt;"")*ISERROR(SEARCH($H41:$Q41,V41)))+SUMPRODUCT(($H41:$Q41&lt;&gt;"")*ISERROR(SEARCH($H41:$Q41,W41)))+SUMPRODUCT(($H41:$Q41&lt;&gt;"")*ISERROR(SEARCH($H41:$Q41,X41)))</f>
        <v/>
      </c>
      <c r="Z41" s="10" t="inlineStr">
        <is>
          <t>Enquadre: sis(t+12+i*12,'&lt;i&gt;"'+texto sem o ponto final+'"&lt;/i&gt;, '+diz(X)+'.') → &lt;i&gt;"…"&lt;/i&gt;, diz X. É mentira-pista: o caderno derruba "peixe" (Peixe não, desde abril) e "até o último dia" (o cozinheiro parou de vir em fevereiro); esses detalhes não podem sumir nem ser suavizados.</t>
        </is>
      </c>
    </row>
    <row r="42" ht="91" customHeight="1" s="8">
      <c r="A42" s="10" t="inlineStr">
        <is>
          <t>c2-p8-03</t>
        </is>
      </c>
      <c r="B42" s="10" t="n">
        <v>8</v>
      </c>
      <c r="C42" s="10" t="inlineStr">
        <is>
          <t>as lembranças sobre ele (mentira do impostor)</t>
        </is>
      </c>
      <c r="D42" s="10" t="inlineStr">
        <is>
          <t>roteiro</t>
        </is>
      </c>
      <c r="E42" s="10" t="inlineStr">
        <is>
          <t>eletricista</t>
        </is>
      </c>
      <c r="F42" s="10" t="inlineStr">
        <is>
          <t>sala</t>
        </is>
      </c>
      <c r="G42" s="10" t="n"/>
      <c r="H42" s="10" t="inlineStr">
        <is>
          <t>vim</t>
        </is>
      </c>
      <c r="I42" s="10" t="inlineStr">
        <is>
          <t>última semana</t>
        </is>
      </c>
      <c r="J42" s="10" t="inlineStr">
        <is>
          <t>tomada</t>
        </is>
      </c>
      <c r="K42" s="10" t="inlineStr">
        <is>
          <t>quarto de cima</t>
        </is>
      </c>
      <c r="L42" s="10" t="n"/>
      <c r="M42" s="10" t="n"/>
      <c r="N42" s="10" t="n"/>
      <c r="O42" s="10" t="n"/>
      <c r="P42" s="10" t="n"/>
      <c r="Q42" s="10" t="n"/>
      <c r="R42" s="10" t="inlineStr">
        <is>
          <t>Vim na última semana dele, ligar uma tomada no quarto de cima.</t>
        </is>
      </c>
      <c r="S42" s="13" t="inlineStr">
        <is>
          <t>Vim na última semana dele, ligar uma tomada no quarto de cima! Pronto.</t>
        </is>
      </c>
      <c r="T42" s="13" t="inlineStr">
        <is>
          <t>Vim na última semana dele… ligar uma tomada. No quarto de cima.</t>
        </is>
      </c>
      <c r="U42" s="13" t="inlineStr">
        <is>
          <t>Vim na última semana dele, ligar uma tomada no quarto de cima… era isso que queriam saber?</t>
        </is>
      </c>
      <c r="V42" s="13" t="inlineStr">
        <is>
          <t>Vim na última semana dele, ligar uma tomada no quarto de cima.</t>
        </is>
      </c>
      <c r="W42" s="13" t="inlineStr">
        <is>
          <t>Essa estrada, sempre essa estrada… Vim na última semana dele, ligar uma tomada no quarto de cima.</t>
        </is>
      </c>
      <c r="X42" s="13" t="inlineStr">
        <is>
          <t>Ordem de serviço: vim na última semana dele, ligar uma tomada no quarto de cima.</t>
        </is>
      </c>
      <c r="Y42" s="10">
        <f>SUMPRODUCT(($H42:$Q42&lt;&gt;"")*ISERROR(SEARCH($H42:$Q42,S42)))+SUMPRODUCT(($H42:$Q42&lt;&gt;"")*ISERROR(SEARCH($H42:$Q42,T42)))+SUMPRODUCT(($H42:$Q42&lt;&gt;"")*ISERROR(SEARCH($H42:$Q42,U42)))+SUMPRODUCT(($H42:$Q42&lt;&gt;"")*ISERROR(SEARCH($H42:$Q42,V42)))+SUMPRODUCT(($H42:$Q42&lt;&gt;"")*ISERROR(SEARCH($H42:$Q42,W42)))+SUMPRODUCT(($H42:$Q42&lt;&gt;"")*ISERROR(SEARCH($H42:$Q42,X42)))</f>
        <v/>
      </c>
      <c r="Z42" s="10" t="inlineStr">
        <is>
          <t>Enquadre: sis(t+12+i*12,'&lt;i&gt;"'+texto sem o ponto final+'"&lt;/i&gt;, '+diz(X)+'.') → &lt;i&gt;"…"&lt;/i&gt;, diz X. É mentira-pista: o caderno derruba "última semana" e "quarto de cima" (Março: tomada do quarto dos fundos; a cama desceu em março); esses detalhes não podem sumir nem ser suavizados.</t>
        </is>
      </c>
    </row>
    <row r="43" ht="91" customHeight="1" s="8">
      <c r="A43" s="10" t="inlineStr">
        <is>
          <t>c2-p10-03</t>
        </is>
      </c>
      <c r="B43" s="10" t="n">
        <v>10</v>
      </c>
      <c r="C43" s="10" t="inlineStr">
        <is>
          <t>as lembranças sobre ele (mentira do impostor)</t>
        </is>
      </c>
      <c r="D43" s="10" t="inlineStr">
        <is>
          <t>roteiro</t>
        </is>
      </c>
      <c r="E43" s="10" t="inlineStr">
        <is>
          <t>jardineiro</t>
        </is>
      </c>
      <c r="F43" s="10" t="inlineStr">
        <is>
          <t>sala</t>
        </is>
      </c>
      <c r="G43" s="10" t="n"/>
      <c r="H43" s="10" t="inlineStr">
        <is>
          <t>plantei o jasmim</t>
        </is>
      </c>
      <c r="I43" s="10" t="inlineStr">
        <is>
          <t>no fim</t>
        </is>
      </c>
      <c r="J43" s="10" t="inlineStr">
        <is>
          <t>olhando</t>
        </is>
      </c>
      <c r="K43" s="10" t="inlineStr">
        <is>
          <t>janela de cima</t>
        </is>
      </c>
      <c r="L43" s="10" t="n"/>
      <c r="M43" s="10" t="n"/>
      <c r="N43" s="10" t="n"/>
      <c r="O43" s="10" t="n"/>
      <c r="P43" s="10" t="n"/>
      <c r="Q43" s="10" t="n"/>
      <c r="R43" s="10" t="inlineStr">
        <is>
          <t>Plantei o jasmim pra ele no fim. Ele ficava olhando da janela de cima.</t>
        </is>
      </c>
      <c r="S43" s="13" t="inlineStr">
        <is>
          <t>Plantei o jasmim pra ele no fim! Ele ficava olhando da janela de cima.</t>
        </is>
      </c>
      <c r="T43" s="13" t="inlineStr">
        <is>
          <t>Plantei o jasmim… pra ele. No fim. Ele ficava olhando… da janela de cima.</t>
        </is>
      </c>
      <c r="U43" s="13" t="inlineStr">
        <is>
          <t>Plantei o jasmim pra ele no fim. Ele ficava olhando da janela de cima… bonito, não era?</t>
        </is>
      </c>
      <c r="V43" s="13" t="inlineStr">
        <is>
          <t>Plantei o jasmim pra ele no fim. Ele ficava olhando da janela de cima. Isso eu não esqueço.</t>
        </is>
      </c>
      <c r="W43" s="13" t="inlineStr">
        <is>
          <t>Planta gosta de chuva, né… Plantei o jasmim pra ele no fim. Ele ficava olhando da janela de cima.</t>
        </is>
      </c>
      <c r="X43" s="13" t="inlineStr">
        <is>
          <t>Plantio: plantei o jasmim pra ele no fim. Ele ficava olhando da janela de cima.</t>
        </is>
      </c>
      <c r="Y43" s="10">
        <f>SUMPRODUCT(($H43:$Q43&lt;&gt;"")*ISERROR(SEARCH($H43:$Q43,S43)))+SUMPRODUCT(($H43:$Q43&lt;&gt;"")*ISERROR(SEARCH($H43:$Q43,T43)))+SUMPRODUCT(($H43:$Q43&lt;&gt;"")*ISERROR(SEARCH($H43:$Q43,U43)))+SUMPRODUCT(($H43:$Q43&lt;&gt;"")*ISERROR(SEARCH($H43:$Q43,V43)))+SUMPRODUCT(($H43:$Q43&lt;&gt;"")*ISERROR(SEARCH($H43:$Q43,W43)))+SUMPRODUCT(($H43:$Q43&lt;&gt;"")*ISERROR(SEARCH($H43:$Q43,X43)))</f>
        <v/>
      </c>
      <c r="Z43" s="10" t="inlineStr">
        <is>
          <t>Enquadre: sis(t+12+i*12,'&lt;i&gt;"'+texto sem o ponto final+'"&lt;/i&gt;, '+diz(X)+'.') → &lt;i&gt;"…"&lt;/i&gt;, diz X. É mentira-pista: o caderno derruba "janela de cima" (o quarto do jasmim é térreo) e "plantei… no fim" (o jasmim tem mais idade que ela); esses detalhes não podem sumir nem ser suavizados.</t>
        </is>
      </c>
    </row>
    <row r="44" ht="124.6" customHeight="1" s="8">
      <c r="A44" s="10" t="inlineStr">
        <is>
          <t>c2-p12-03</t>
        </is>
      </c>
      <c r="B44" s="10" t="n">
        <v>12</v>
      </c>
      <c r="C44" s="10" t="inlineStr">
        <is>
          <t>as lembranças sobre ele (mentira do impostor)</t>
        </is>
      </c>
      <c r="D44" s="10" t="inlineStr">
        <is>
          <t>roteiro</t>
        </is>
      </c>
      <c r="E44" s="10" t="inlineStr">
        <is>
          <t>observadora</t>
        </is>
      </c>
      <c r="F44" s="10" t="inlineStr">
        <is>
          <t>sala</t>
        </is>
      </c>
      <c r="G44" s="10" t="n"/>
      <c r="H44" s="10" t="inlineStr">
        <is>
          <t>últimas semanas</t>
        </is>
      </c>
      <c r="I44" s="10" t="inlineStr">
        <is>
          <t>avaliar a coleção</t>
        </is>
      </c>
      <c r="J44" s="10" t="inlineStr">
        <is>
          <t>lia para ele</t>
        </is>
      </c>
      <c r="K44" s="10" t="inlineStr">
        <is>
          <t>biblioteca</t>
        </is>
      </c>
      <c r="L44" s="10" t="inlineStr">
        <is>
          <t>poltrona</t>
        </is>
      </c>
      <c r="M44" s="10" t="n"/>
      <c r="N44" s="10" t="n"/>
      <c r="O44" s="10" t="n"/>
      <c r="P44" s="10" t="n"/>
      <c r="Q44" s="10" t="n"/>
      <c r="R44" s="10" t="inlineStr">
        <is>
          <t>Eu cuidei dele nas últimas semanas. Vinha avaliar a coleção e acabava ficando. Lia para ele à noite, ali na biblioteca, até ele dormir na poltrona.</t>
        </is>
      </c>
      <c r="S44" s="13" t="inlineStr">
        <is>
          <t>Eu cuidei dele nas últimas semanas! Vinha avaliar a coleção e acabava ficando. Lia para ele à noite, ali na biblioteca, até ele dormir na poltrona.</t>
        </is>
      </c>
      <c r="T44" s="13" t="inlineStr">
        <is>
          <t>Eu cuidei dele… nas últimas semanas. Vinha avaliar a coleção… e ficava. Lia para ele à noite. Na biblioteca… até ele dormir na poltrona.</t>
        </is>
      </c>
      <c r="U44" s="13" t="inlineStr">
        <is>
          <t>Eu cuidei dele nas últimas semanas. Vinha avaliar a coleção e acabava ficando… Lia para ele à noite, ali na biblioteca, até ele dormir na poltrona. Era bonito, não era?</t>
        </is>
      </c>
      <c r="V44" s="13" t="inlineStr">
        <is>
          <t>Eu cuidei dele nas últimas semanas, e cuidei direito. Vinha avaliar a coleção e acabava ficando. Lia para ele à noite, na biblioteca, até ele dormir na poltrona.</t>
        </is>
      </c>
      <c r="W44" s="13" t="inlineStr">
        <is>
          <t>Noites frias, aquelas… Eu cuidei dele nas últimas semanas. Vinha avaliar a coleção e acabava ficando. Lia para ele à noite, na biblioteca, até ele dormir na poltrona.</t>
        </is>
      </c>
      <c r="X44" s="13" t="inlineStr">
        <is>
          <t>Consta: cuidei dele nas últimas semanas. Vinha avaliar a coleção e acabava ficando. Lia para ele à noite, na biblioteca, até ele dormir na poltrona.</t>
        </is>
      </c>
      <c r="Y44" s="10">
        <f>SUMPRODUCT(($H44:$Q44&lt;&gt;"")*ISERROR(SEARCH($H44:$Q44,S44)))+SUMPRODUCT(($H44:$Q44&lt;&gt;"")*ISERROR(SEARCH($H44:$Q44,T44)))+SUMPRODUCT(($H44:$Q44&lt;&gt;"")*ISERROR(SEARCH($H44:$Q44,U44)))+SUMPRODUCT(($H44:$Q44&lt;&gt;"")*ISERROR(SEARCH($H44:$Q44,V44)))+SUMPRODUCT(($H44:$Q44&lt;&gt;"")*ISERROR(SEARCH($H44:$Q44,W44)))+SUMPRODUCT(($H44:$Q44&lt;&gt;"")*ISERROR(SEARCH($H44:$Q44,X44)))</f>
        <v/>
      </c>
      <c r="Z44" s="10" t="inlineStr">
        <is>
          <t>Enquadre: sis(t+12+i*12,'&lt;i&gt;"'+texto sem o ponto final+'"&lt;/i&gt;, '+diz(X)+'.') → &lt;i&gt;"…"&lt;/i&gt;, diz X. É mentira-pista: o caderno derruba "lia para ele… na biblioteca" (desde março não saía do quarto do jasmim e não enxergava as letras) e "últimas semanas" (em fevereiro ele não quis recebê-la). "Cuidei dele" e "à noite" também estão em todas; esses detalhes não podem sumir nem ser suavizados.</t>
        </is>
      </c>
    </row>
    <row r="45" ht="91" customHeight="1" s="8">
      <c r="A45" s="10" t="inlineStr">
        <is>
          <t>c2-p15-03</t>
        </is>
      </c>
      <c r="B45" s="10" t="n">
        <v>15</v>
      </c>
      <c r="C45" s="10" t="inlineStr">
        <is>
          <t>as lembranças sobre ele (mentira do impostor)</t>
        </is>
      </c>
      <c r="D45" s="10" t="inlineStr">
        <is>
          <t>roteiro</t>
        </is>
      </c>
      <c r="E45" s="10" t="inlineStr">
        <is>
          <t>policial</t>
        </is>
      </c>
      <c r="F45" s="10" t="inlineStr">
        <is>
          <t>sala</t>
        </is>
      </c>
      <c r="G45" s="10" t="n"/>
      <c r="H45" s="10" t="inlineStr">
        <is>
          <t>última noite</t>
        </is>
      </c>
      <c r="I45" s="10" t="inlineStr">
        <is>
          <t>lia na biblioteca</t>
        </is>
      </c>
      <c r="J45" s="10" t="inlineStr">
        <is>
          <t>óculos</t>
        </is>
      </c>
      <c r="K45" s="10" t="inlineStr">
        <is>
          <t>acenou com o livro</t>
        </is>
      </c>
      <c r="L45" s="10" t="n"/>
      <c r="M45" s="10" t="n"/>
      <c r="N45" s="10" t="n"/>
      <c r="O45" s="10" t="n"/>
      <c r="P45" s="10" t="n"/>
      <c r="Q45" s="10" t="n"/>
      <c r="R45" s="10" t="inlineStr">
        <is>
          <t>Estive com ele na última noite. Ele lia na biblioteca, de óculos, e me acenou com o livro quando saí.</t>
        </is>
      </c>
      <c r="S45" s="13" t="inlineStr">
        <is>
          <t>Estive com ele na última noite! Ele lia na biblioteca, de óculos, e me acenou com o livro quando saí.</t>
        </is>
      </c>
      <c r="T45" s="13" t="inlineStr">
        <is>
          <t>Estive com ele… na última noite. Ele lia na biblioteca. De óculos. Me acenou com o livro… quando saí.</t>
        </is>
      </c>
      <c r="U45" s="13" t="inlineStr">
        <is>
          <t>Estive com ele na última noite. Ele lia na biblioteca, de óculos, e me acenou com o livro quando saí. Lembro bem disso, viu?</t>
        </is>
      </c>
      <c r="V45" s="13" t="inlineStr">
        <is>
          <t>Estive com ele na última noite. Ele lia na biblioteca, de óculos, e me acenou com o livro quando saí. Estive, sim.</t>
        </is>
      </c>
      <c r="W45" s="13" t="inlineStr">
        <is>
          <t>Que cansaço, meu Deus… Estive com ele na última noite. Ele lia na biblioteca, de óculos, e me acenou com o livro quando saí.</t>
        </is>
      </c>
      <c r="X45" s="13" t="inlineStr">
        <is>
          <t>Registro: estive com ele na última noite. Ele lia na biblioteca, de óculos; acenou com o livro quando saí.</t>
        </is>
      </c>
      <c r="Y45" s="10">
        <f>SUMPRODUCT(($H45:$Q45&lt;&gt;"")*ISERROR(SEARCH($H45:$Q45,S45)))+SUMPRODUCT(($H45:$Q45&lt;&gt;"")*ISERROR(SEARCH($H45:$Q45,T45)))+SUMPRODUCT(($H45:$Q45&lt;&gt;"")*ISERROR(SEARCH($H45:$Q45,U45)))+SUMPRODUCT(($H45:$Q45&lt;&gt;"")*ISERROR(SEARCH($H45:$Q45,V45)))+SUMPRODUCT(($H45:$Q45&lt;&gt;"")*ISERROR(SEARCH($H45:$Q45,W45)))+SUMPRODUCT(($H45:$Q45&lt;&gt;"")*ISERROR(SEARCH($H45:$Q45,X45)))</f>
        <v/>
      </c>
      <c r="Z45" s="10" t="inlineStr">
        <is>
          <t>Enquadre: sis(t+12+i*12,'&lt;i&gt;"'+texto sem o ponto final+'"&lt;/i&gt;, '+diz(X)+'.') → &lt;i&gt;"…"&lt;/i&gt;, diz X. É mentira-pista: o caderno derruba "lia na biblioteca, de óculos" (Leio o jornal para ele. Já não enxerga as letras; não subia escada); esses detalhes não podem sumir nem ser suavizados.</t>
        </is>
      </c>
    </row>
    <row r="46" ht="46.25" customHeight="1" s="8">
      <c r="A46" s="10" t="inlineStr">
        <is>
          <t>c2-p13-03</t>
        </is>
      </c>
      <c r="B46" s="10" t="n">
        <v>13</v>
      </c>
      <c r="C46" s="10" t="inlineStr">
        <is>
          <t>as lembranças sobre ele (lembrança extra)</t>
        </is>
      </c>
      <c r="D46" s="10" t="inlineStr">
        <is>
          <t>roteiro</t>
        </is>
      </c>
      <c r="E46" s="10" t="inlineStr">
        <is>
          <t>tabeliao</t>
        </is>
      </c>
      <c r="F46" s="10" t="inlineStr">
        <is>
          <t>sala</t>
        </is>
      </c>
      <c r="G46" s="10" t="inlineStr">
        <is>
          <t>presente(tabeliao)</t>
        </is>
      </c>
      <c r="H46" s="10" t="inlineStr">
        <is>
          <t>telefone</t>
        </is>
      </c>
      <c r="I46" s="10" t="inlineStr">
        <is>
          <t>última semana</t>
        </is>
      </c>
      <c r="J46" s="10" t="inlineStr">
        <is>
          <t>lúcido</t>
        </is>
      </c>
      <c r="K46" s="10" t="n"/>
      <c r="L46" s="10" t="n"/>
      <c r="M46" s="10" t="n"/>
      <c r="N46" s="10" t="n"/>
      <c r="O46" s="10" t="n"/>
      <c r="P46" s="10" t="n"/>
      <c r="Q46" s="10" t="n"/>
      <c r="R46" s="10" t="inlineStr">
        <is>
          <t>Falei com ele por telefone na última semana. Estava lúcido.</t>
        </is>
      </c>
      <c r="S46" s="13" t="inlineStr">
        <is>
          <t>Falei com ele por telefone na última semana! Estava lúcido, sim.</t>
        </is>
      </c>
      <c r="T46" s="13" t="inlineStr">
        <is>
          <t>Falei com ele… por telefone. Na última semana. Estava lúcido.</t>
        </is>
      </c>
      <c r="U46" s="13" t="inlineStr">
        <is>
          <t>Falei com ele por telefone na última semana. Estava lúcido… isso ajuda, não ajuda?</t>
        </is>
      </c>
      <c r="V46" s="13" t="inlineStr">
        <is>
          <t>Falei com ele por telefone na última semana. Estava lúcido. Isso eu sustento.</t>
        </is>
      </c>
      <c r="W46" s="13" t="inlineStr">
        <is>
          <t>Demorou tanto pra chegar até aqui… Falei com ele por telefone na última semana. Estava lúcido.</t>
        </is>
      </c>
      <c r="X46" s="13" t="inlineStr">
        <is>
          <t>Última semana, por telefone: falei com ele. Estava lúcido.</t>
        </is>
      </c>
      <c r="Y46" s="10">
        <f>SUMPRODUCT(($H46:$Q46&lt;&gt;"")*ISERROR(SEARCH($H46:$Q46,S46)))+SUMPRODUCT(($H46:$Q46&lt;&gt;"")*ISERROR(SEARCH($H46:$Q46,T46)))+SUMPRODUCT(($H46:$Q46&lt;&gt;"")*ISERROR(SEARCH($H46:$Q46,U46)))+SUMPRODUCT(($H46:$Q46&lt;&gt;"")*ISERROR(SEARCH($H46:$Q46,V46)))+SUMPRODUCT(($H46:$Q46&lt;&gt;"")*ISERROR(SEARCH($H46:$Q46,W46)))+SUMPRODUCT(($H46:$Q46&lt;&gt;"")*ISERROR(SEARCH($H46:$Q46,X46)))</f>
        <v/>
      </c>
      <c r="Z46" s="10" t="inlineStr">
        <is>
          <t>Enquadre: &lt;i&gt;"…"&lt;/i&gt;, diz o Tabelião. Pista: o caderno da P13 diz 'Não fala desde segunda' e 'O cartório ligou. Atendi e disse que ele dormia.'</t>
        </is>
      </c>
    </row>
    <row r="47" ht="68.65000000000001" customHeight="1" s="8">
      <c r="A47" s="10" t="inlineStr">
        <is>
          <t>c1-p3-01</t>
        </is>
      </c>
      <c r="B47" s="10" t="n">
        <v>3</v>
      </c>
      <c r="C47" s="10" t="inlineStr">
        <is>
          <t>quem deixa escapar que voltou à casa</t>
        </is>
      </c>
      <c r="D47" s="10" t="inlineStr">
        <is>
          <t>roteiro</t>
        </is>
      </c>
      <c r="E47" s="10" t="inlineStr">
        <is>
          <t>herdeira</t>
        </is>
      </c>
      <c r="F47" s="10" t="inlineStr">
        <is>
          <t>grupo</t>
        </is>
      </c>
      <c r="G47" s="10" t="n"/>
      <c r="H47" s="10" t="inlineStr">
        <is>
          <t>chave do vestíbulo</t>
        </is>
      </c>
      <c r="I47" s="10" t="inlineStr">
        <is>
          <t>ainda</t>
        </is>
      </c>
      <c r="J47" s="10" t="inlineStr">
        <is>
          <t>emperra</t>
        </is>
      </c>
      <c r="K47" s="10" t="n"/>
      <c r="L47" s="10" t="n"/>
      <c r="M47" s="10" t="n"/>
      <c r="N47" s="10" t="n"/>
      <c r="O47" s="10" t="n"/>
      <c r="P47" s="10" t="n"/>
      <c r="Q47" s="10" t="n"/>
      <c r="R47" s="10" t="inlineStr">
        <is>
          <t>A chave do vestíbulo ainda emperra.</t>
        </is>
      </c>
      <c r="S47" s="13" t="inlineStr">
        <is>
          <t>A chave do vestíbulo ainda emperra! Inacreditável.</t>
        </is>
      </c>
      <c r="T47" s="13" t="inlineStr">
        <is>
          <t>A chave do vestíbulo… ainda emperra.</t>
        </is>
      </c>
      <c r="U47" s="13" t="inlineStr">
        <is>
          <t>A chave do vestíbulo ainda emperra… é sempre assim?</t>
        </is>
      </c>
      <c r="V47" s="13" t="inlineStr">
        <is>
          <t>A chave do vestíbulo ainda emperra.</t>
        </is>
      </c>
      <c r="W47" s="13" t="inlineStr">
        <is>
          <t>Com essa umidade… a chave do vestíbulo ainda emperra.</t>
        </is>
      </c>
      <c r="X47" s="13" t="inlineStr">
        <is>
          <t>Chave do vestíbulo: ainda emperra.</t>
        </is>
      </c>
      <c r="Y47" s="10">
        <f>SUMPRODUCT(($H47:$Q47&lt;&gt;"")*ISERROR(SEARCH($H47:$Q47,S47)))+SUMPRODUCT(($H47:$Q47&lt;&gt;"")*ISERROR(SEARCH($H47:$Q47,T47)))+SUMPRODUCT(($H47:$Q47&lt;&gt;"")*ISERROR(SEARCH($H47:$Q47,U47)))+SUMPRODUCT(($H47:$Q47&lt;&gt;"")*ISERROR(SEARCH($H47:$Q47,V47)))+SUMPRODUCT(($H47:$Q47&lt;&gt;"")*ISERROR(SEARCH($H47:$Q47,W47)))+SUMPRODUCT(($H47:$Q47&lt;&gt;"")*ISERROR(SEARCH($H47:$Q47,X47)))</f>
        <v/>
      </c>
      <c r="Z47" s="10" t="inlineStr">
        <is>
          <t>Enquadre: Na(X)+' olhou em volta e deixou escapar: &lt;i&gt;"…"&lt;/i&gt; Ninguém comentou. Ainda.' "Ainda" é a pista (já tinha voltado). Nenhuma versão tira o "ainda". P3/P11 como casa de 6 (02/10). Falas do cânone.</t>
        </is>
      </c>
    </row>
    <row r="48" ht="57.45" customHeight="1" s="8">
      <c r="A48" s="10" t="inlineStr">
        <is>
          <t>c1-p11-01</t>
        </is>
      </c>
      <c r="B48" s="10" t="n">
        <v>11</v>
      </c>
      <c r="C48" s="10" t="inlineStr">
        <is>
          <t>quem deixa escapar que voltou à casa</t>
        </is>
      </c>
      <c r="D48" s="10" t="inlineStr">
        <is>
          <t>roteiro</t>
        </is>
      </c>
      <c r="E48" s="10" t="inlineStr">
        <is>
          <t>residente</t>
        </is>
      </c>
      <c r="F48" s="10" t="inlineStr">
        <is>
          <t>grupo</t>
        </is>
      </c>
      <c r="G48" s="10" t="n"/>
      <c r="H48" s="10" t="inlineStr">
        <is>
          <t>calha nova</t>
        </is>
      </c>
      <c r="I48" s="10" t="inlineStr">
        <is>
          <t>já</t>
        </is>
      </c>
      <c r="J48" s="10" t="inlineStr">
        <is>
          <t>entupiu</t>
        </is>
      </c>
      <c r="K48" s="10" t="n"/>
      <c r="L48" s="10" t="n"/>
      <c r="M48" s="10" t="n"/>
      <c r="N48" s="10" t="n"/>
      <c r="O48" s="10" t="n"/>
      <c r="P48" s="10" t="n"/>
      <c r="Q48" s="10" t="n"/>
      <c r="R48" s="10" t="inlineStr">
        <is>
          <t>A calha nova já entupiu.</t>
        </is>
      </c>
      <c r="S48" s="13" t="inlineStr">
        <is>
          <t>A calha nova já entupiu! Que serviço.</t>
        </is>
      </c>
      <c r="T48" s="13" t="inlineStr">
        <is>
          <t>A calha nova… já entupiu.</t>
        </is>
      </c>
      <c r="U48" s="13" t="inlineStr">
        <is>
          <t>A calha nova já entupiu… tão rápido assim?</t>
        </is>
      </c>
      <c r="V48" s="13" t="inlineStr">
        <is>
          <t>A calha nova já entupiu.</t>
        </is>
      </c>
      <c r="W48" s="13" t="inlineStr">
        <is>
          <t>Tanta chuva nesta costa… a calha nova já entupiu.</t>
        </is>
      </c>
      <c r="X48" s="13" t="inlineStr">
        <is>
          <t>Anoto: calha nova, já entupiu.</t>
        </is>
      </c>
      <c r="Y48" s="10">
        <f>SUMPRODUCT(($H48:$Q48&lt;&gt;"")*ISERROR(SEARCH($H48:$Q48,S48)))+SUMPRODUCT(($H48:$Q48&lt;&gt;"")*ISERROR(SEARCH($H48:$Q48,T48)))+SUMPRODUCT(($H48:$Q48&lt;&gt;"")*ISERROR(SEARCH($H48:$Q48,U48)))+SUMPRODUCT(($H48:$Q48&lt;&gt;"")*ISERROR(SEARCH($H48:$Q48,V48)))+SUMPRODUCT(($H48:$Q48&lt;&gt;"")*ISERROR(SEARCH($H48:$Q48,W48)))+SUMPRODUCT(($H48:$Q48&lt;&gt;"")*ISERROR(SEARCH($H48:$Q48,X48)))</f>
        <v/>
      </c>
      <c r="Z48" s="10" t="inlineStr">
        <is>
          <t>Enquadre: Na(X)+' olhou em volta e deixou escapar: &lt;i&gt;"…"&lt;/i&gt; Ninguém comentou. Ainda.' "Nova" e "já" são a pista. P3/P11 como casa de 6 (02/10). Falas do cânone.</t>
        </is>
      </c>
    </row>
    <row r="49" ht="46.25" customHeight="1" s="8">
      <c r="A49" s="10" t="inlineStr">
        <is>
          <t>c1-p3-02</t>
        </is>
      </c>
      <c r="B49" s="10" t="n">
        <v>3</v>
      </c>
      <c r="C49" s="10" t="inlineStr">
        <is>
          <t>a xícara no aparador</t>
        </is>
      </c>
      <c r="D49" s="10" t="inlineStr">
        <is>
          <t>roteiro</t>
        </is>
      </c>
      <c r="E49" s="10" t="inlineStr">
        <is>
          <t>investigador</t>
        </is>
      </c>
      <c r="F49" s="10" t="inlineStr">
        <is>
          <t>grupo</t>
        </is>
      </c>
      <c r="G49" s="10" t="n"/>
      <c r="H49" s="10" t="inlineStr">
        <is>
          <t>lista do inventário</t>
        </is>
      </c>
      <c r="I49" s="10" t="inlineStr">
        <is>
          <t>louça desta sala</t>
        </is>
      </c>
      <c r="J49" s="10" t="inlineStr">
        <is>
          <t>azul</t>
        </is>
      </c>
      <c r="K49" s="10" t="n"/>
      <c r="L49" s="10" t="n"/>
      <c r="M49" s="10" t="n"/>
      <c r="N49" s="10" t="n"/>
      <c r="O49" s="10" t="n"/>
      <c r="P49" s="10" t="n"/>
      <c r="Q49" s="10" t="n"/>
      <c r="R49" s="10" t="inlineStr">
        <is>
          <t>Na lista do inventário, a louça desta sala é azul.</t>
        </is>
      </c>
      <c r="S49" s="13" t="inlineStr">
        <is>
          <t>Na lista do inventário, a louça desta sala é azul! Está escrito.</t>
        </is>
      </c>
      <c r="T49" s="13" t="inlineStr">
        <is>
          <t>Na lista do inventário… a louça desta sala é azul.</t>
        </is>
      </c>
      <c r="U49" s="13" t="inlineStr">
        <is>
          <t>Na lista do inventário, a louça desta sala é azul. Confere com o que vocês lembram?</t>
        </is>
      </c>
      <c r="V49" s="13" t="inlineStr">
        <is>
          <t>Na lista do inventário, a louça desta sala é azul.</t>
        </is>
      </c>
      <c r="W49" s="13" t="inlineStr">
        <is>
          <t>Papelada que não acaba… na lista do inventário, a louça desta sala é azul.</t>
        </is>
      </c>
      <c r="X49" s="13" t="inlineStr">
        <is>
          <t>Lista do inventário, item louça desta sala: azul.</t>
        </is>
      </c>
      <c r="Y49" s="10">
        <f>SUMPRODUCT(($H49:$Q49&lt;&gt;"")*ISERROR(SEARCH($H49:$Q49,S49)))+SUMPRODUCT(($H49:$Q49&lt;&gt;"")*ISERROR(SEARCH($H49:$Q49,T49)))+SUMPRODUCT(($H49:$Q49&lt;&gt;"")*ISERROR(SEARCH($H49:$Q49,U49)))+SUMPRODUCT(($H49:$Q49&lt;&gt;"")*ISERROR(SEARCH($H49:$Q49,V49)))+SUMPRODUCT(($H49:$Q49&lt;&gt;"")*ISERROR(SEARCH($H49:$Q49,W49)))+SUMPRODUCT(($H49:$Q49&lt;&gt;"")*ISERROR(SEARCH($H49:$Q49,X49)))</f>
        <v/>
      </c>
      <c r="Z49" s="10" t="inlineStr">
        <is>
          <t>Enquadre: depois do tronco (borda verde), ' E depois, mais baixo: &lt;i&gt;"…"&lt;/i&gt;'. P3/P11 como casa de 6 (02/10). Falas do cânone.</t>
        </is>
      </c>
    </row>
    <row r="50" ht="57.45" customHeight="1" s="8">
      <c r="A50" s="10" t="inlineStr">
        <is>
          <t>c2-p3-01</t>
        </is>
      </c>
      <c r="B50" s="10" t="n">
        <v>3</v>
      </c>
      <c r="C50" s="10" t="inlineStr">
        <is>
          <t>a frase dita baixinho perto do corredor de serviço</t>
        </is>
      </c>
      <c r="D50" s="10" t="inlineStr">
        <is>
          <t>roteiro</t>
        </is>
      </c>
      <c r="E50" s="10" t="inlineStr">
        <is>
          <t>investigador</t>
        </is>
      </c>
      <c r="F50" s="10" t="inlineStr">
        <is>
          <t>grupo</t>
        </is>
      </c>
      <c r="G50" s="10" t="n"/>
      <c r="H50" s="10" t="inlineStr">
        <is>
          <t>hora indeterminada</t>
        </is>
      </c>
      <c r="I50" s="10" t="inlineStr">
        <is>
          <t>ninguém sabe</t>
        </is>
      </c>
      <c r="J50" s="10" t="inlineStr">
        <is>
          <t>morreu</t>
        </is>
      </c>
      <c r="K50" s="10" t="n"/>
      <c r="L50" s="10" t="n"/>
      <c r="M50" s="10" t="n"/>
      <c r="N50" s="10" t="n"/>
      <c r="O50" s="10" t="n"/>
      <c r="P50" s="10" t="n"/>
      <c r="Q50" s="10" t="n"/>
      <c r="R50" s="10" t="inlineStr">
        <is>
          <t>Hora indeterminada. Ninguém sabe quando ele morreu.</t>
        </is>
      </c>
      <c r="S50" s="13" t="inlineStr">
        <is>
          <t>Hora indeterminada! Ninguém sabe quando ele morreu.</t>
        </is>
      </c>
      <c r="T50" s="13" t="inlineStr">
        <is>
          <t>Hora indeterminada. … Ninguém sabe quando ele morreu.</t>
        </is>
      </c>
      <c r="U50" s="13" t="inlineStr">
        <is>
          <t>Hora indeterminada. Ninguém sabe quando ele morreu, não é?</t>
        </is>
      </c>
      <c r="V50" s="13" t="inlineStr">
        <is>
          <t>Hora indeterminada. Ninguém sabe quando ele morreu.</t>
        </is>
      </c>
      <c r="W50" s="13" t="inlineStr">
        <is>
          <t>Que demora tudo isso… hora indeterminada. Ninguém sabe quando ele morreu.</t>
        </is>
      </c>
      <c r="X50" s="13" t="inlineStr">
        <is>
          <t>Consta hora indeterminada. Ninguém sabe quando ele morreu.</t>
        </is>
      </c>
      <c r="Y50" s="10">
        <f>SUMPRODUCT(($H50:$Q50&lt;&gt;"")*ISERROR(SEARCH($H50:$Q50,S50)))+SUMPRODUCT(($H50:$Q50&lt;&gt;"")*ISERROR(SEARCH($H50:$Q50,T50)))+SUMPRODUCT(($H50:$Q50&lt;&gt;"")*ISERROR(SEARCH($H50:$Q50,U50)))+SUMPRODUCT(($H50:$Q50&lt;&gt;"")*ISERROR(SEARCH($H50:$Q50,V50)))+SUMPRODUCT(($H50:$Q50&lt;&gt;"")*ISERROR(SEARCH($H50:$Q50,W50)))+SUMPRODUCT(($H50:$Q50&lt;&gt;"")*ISERROR(SEARCH($H50:$Q50,X50)))</f>
        <v/>
      </c>
      <c r="Z50" s="10" t="inlineStr">
        <is>
          <t>Enquadre: Na(X)+' tinha se afastado para perto do corredor de serviço e falou baixo, quase para a parede: &lt;i&gt;"…"&lt;/i&gt;'. A voz retoma "a hora". P3/P11 como casa de 6 (02/10). Falas do cânone.</t>
        </is>
      </c>
    </row>
    <row r="51" ht="46.25" customHeight="1" s="8">
      <c r="A51" s="10" t="inlineStr">
        <is>
          <t>c2-p11-01</t>
        </is>
      </c>
      <c r="B51" s="10" t="n">
        <v>11</v>
      </c>
      <c r="C51" s="10" t="inlineStr">
        <is>
          <t>a frase dita baixinho perto do corredor de serviço</t>
        </is>
      </c>
      <c r="D51" s="10" t="inlineStr">
        <is>
          <t>roteiro</t>
        </is>
      </c>
      <c r="E51" s="10" t="inlineStr">
        <is>
          <t>investigador</t>
        </is>
      </c>
      <c r="F51" s="10" t="inlineStr">
        <is>
          <t>grupo</t>
        </is>
      </c>
      <c r="G51" s="10" t="n"/>
      <c r="H51" s="10" t="inlineStr">
        <is>
          <t>quem pagava</t>
        </is>
      </c>
      <c r="I51" s="10" t="inlineStr">
        <is>
          <t>luz desta casa</t>
        </is>
      </c>
      <c r="J51" s="10" t="n"/>
      <c r="K51" s="10" t="n"/>
      <c r="L51" s="10" t="n"/>
      <c r="M51" s="10" t="n"/>
      <c r="N51" s="10" t="n"/>
      <c r="O51" s="10" t="n"/>
      <c r="P51" s="10" t="n"/>
      <c r="Q51" s="10" t="n"/>
      <c r="R51" s="10" t="inlineStr">
        <is>
          <t>Quem pagava a luz desta casa?</t>
        </is>
      </c>
      <c r="S51" s="13" t="inlineStr">
        <is>
          <t>Quem pagava a luz desta casa, afinal?!</t>
        </is>
      </c>
      <c r="T51" s="13" t="inlineStr">
        <is>
          <t>Quem pagava… a luz desta casa?</t>
        </is>
      </c>
      <c r="U51" s="13" t="inlineStr">
        <is>
          <t>Quem pagava a luz desta casa? Alguém sabe?</t>
        </is>
      </c>
      <c r="V51" s="13" t="inlineStr">
        <is>
          <t>Quem pagava a luz desta casa?</t>
        </is>
      </c>
      <c r="W51" s="13" t="inlineStr">
        <is>
          <t>Cinco meses fechada… quem pagava a luz desta casa?</t>
        </is>
      </c>
      <c r="X51" s="13" t="inlineStr">
        <is>
          <t>Pergunta para a ata: quem pagava a luz desta casa?</t>
        </is>
      </c>
      <c r="Y51" s="10">
        <f>SUMPRODUCT(($H51:$Q51&lt;&gt;"")*ISERROR(SEARCH($H51:$Q51,S51)))+SUMPRODUCT(($H51:$Q51&lt;&gt;"")*ISERROR(SEARCH($H51:$Q51,T51)))+SUMPRODUCT(($H51:$Q51&lt;&gt;"")*ISERROR(SEARCH($H51:$Q51,U51)))+SUMPRODUCT(($H51:$Q51&lt;&gt;"")*ISERROR(SEARCH($H51:$Q51,V51)))+SUMPRODUCT(($H51:$Q51&lt;&gt;"")*ISERROR(SEARCH($H51:$Q51,W51)))+SUMPRODUCT(($H51:$Q51&lt;&gt;"")*ISERROR(SEARCH($H51:$Q51,X51)))</f>
        <v/>
      </c>
      <c r="Z51" s="10" t="inlineStr">
        <is>
          <t>Enquadre: falou baixo, quase para a parede: &lt;i&gt;"…"&lt;/i&gt;. A voz responde "Pagava." P3/P11 como casa de 6 (02/10). Falas do cânone.</t>
        </is>
      </c>
    </row>
    <row r="52" ht="68.65000000000001" customHeight="1" s="8">
      <c r="A52" s="10" t="inlineStr">
        <is>
          <t>c2-p3-02</t>
        </is>
      </c>
      <c r="B52" s="10" t="n">
        <v>3</v>
      </c>
      <c r="C52" s="10" t="inlineStr">
        <is>
          <t>a voz responde à frase dita baixinho</t>
        </is>
      </c>
      <c r="D52" s="10" t="inlineStr">
        <is>
          <t>voz</t>
        </is>
      </c>
      <c r="E52" s="10" t="inlineStr">
        <is>
          <t>acompanhante</t>
        </is>
      </c>
      <c r="F52" s="10" t="inlineStr">
        <is>
          <t>grupo</t>
        </is>
      </c>
      <c r="G52" s="10" t="n"/>
      <c r="H52" s="10" t="inlineStr">
        <is>
          <t>sei a hora</t>
        </is>
      </c>
      <c r="I52" s="10" t="inlineStr">
        <is>
          <t>nunca quiseram saber</t>
        </is>
      </c>
      <c r="J52" s="10" t="n"/>
      <c r="K52" s="10" t="n"/>
      <c r="L52" s="10" t="n"/>
      <c r="M52" s="10" t="n"/>
      <c r="N52" s="10" t="n"/>
      <c r="O52" s="10" t="n"/>
      <c r="P52" s="10" t="n"/>
      <c r="Q52" s="10" t="n"/>
      <c r="R52" s="10" t="inlineStr">
        <is>
          <t>Eu sei a hora. Vocês nunca quiseram saber.</t>
        </is>
      </c>
      <c r="S52" s="13" t="inlineStr">
        <is>
          <t>Eu sei a hora. Vocês nunca quiseram saber.</t>
        </is>
      </c>
      <c r="T52" s="13" t="inlineStr">
        <is>
          <t>Eu sei a hora. … Vocês nunca quiseram saber.</t>
        </is>
      </c>
      <c r="U52" s="13" t="inlineStr">
        <is>
          <t>Eu sei a hora… vocês nunca quiseram saber, quiseram?</t>
        </is>
      </c>
      <c r="V52" s="13" t="inlineStr">
        <is>
          <t>Eu sei a hora. Vocês é que nunca quiseram saber.</t>
        </is>
      </c>
      <c r="W52" s="13" t="inlineStr">
        <is>
          <t>Tanto tempo… eu sei a hora. Vocês nunca quiseram saber.</t>
        </is>
      </c>
      <c r="X52" s="13" t="inlineStr">
        <is>
          <t>Eu sei a hora. Registro: vocês nunca quiseram saber.</t>
        </is>
      </c>
      <c r="Y52" s="10">
        <f>SUMPRODUCT(($H52:$Q52&lt;&gt;"")*ISERROR(SEARCH($H52:$Q52,S52)))+SUMPRODUCT(($H52:$Q52&lt;&gt;"")*ISERROR(SEARCH($H52:$Q52,T52)))+SUMPRODUCT(($H52:$Q52&lt;&gt;"")*ISERROR(SEARCH($H52:$Q52,U52)))+SUMPRODUCT(($H52:$Q52&lt;&gt;"")*ISERROR(SEARCH($H52:$Q52,V52)))+SUMPRODUCT(($H52:$Q52&lt;&gt;"")*ISERROR(SEARCH($H52:$Q52,W52)))+SUMPRODUCT(($H52:$Q52&lt;&gt;"")*ISERROR(SEARCH($H52:$Q52,X52)))</f>
        <v/>
      </c>
      <c r="Z52" s="10" t="inlineStr">
        <is>
          <t>Função: diz que conhece a hora da morte e acusa a mesa de não ter querido saber. VOZ_R2[3]=explosiva → coluna explosivo mantém o texto atual exato. P3/P11 como casa de 6 (02/10). Falas do cânone.</t>
        </is>
      </c>
    </row>
    <row r="53" ht="79.84999999999999" customHeight="1" s="8">
      <c r="A53" s="10" t="inlineStr">
        <is>
          <t>c2-p11-02</t>
        </is>
      </c>
      <c r="B53" s="10" t="n">
        <v>11</v>
      </c>
      <c r="C53" s="10" t="inlineStr">
        <is>
          <t>a voz responde à frase dita baixinho</t>
        </is>
      </c>
      <c r="D53" s="10" t="inlineStr">
        <is>
          <t>voz</t>
        </is>
      </c>
      <c r="E53" s="10" t="inlineStr">
        <is>
          <t>acompanhante</t>
        </is>
      </c>
      <c r="F53" s="10" t="inlineStr">
        <is>
          <t>grupo</t>
        </is>
      </c>
      <c r="G53" s="10" t="n"/>
      <c r="H53" s="10" t="inlineStr">
        <is>
          <t>pagava</t>
        </is>
      </c>
      <c r="I53" s="10" t="n"/>
      <c r="J53" s="10" t="n"/>
      <c r="K53" s="10" t="n"/>
      <c r="L53" s="10" t="n"/>
      <c r="M53" s="10" t="n"/>
      <c r="N53" s="10" t="n"/>
      <c r="O53" s="10" t="n"/>
      <c r="P53" s="10" t="n"/>
      <c r="Q53" s="10" t="n"/>
      <c r="R53" s="10" t="inlineStr">
        <is>
          <t>Pagava.</t>
        </is>
      </c>
      <c r="S53" s="13" t="inlineStr">
        <is>
          <t>Pagava!</t>
        </is>
      </c>
      <c r="T53" s="13" t="inlineStr">
        <is>
          <t>Pagava.</t>
        </is>
      </c>
      <c r="U53" s="13" t="inlineStr">
        <is>
          <t>Pagava… sim.</t>
        </is>
      </c>
      <c r="V53" s="13" t="inlineStr">
        <is>
          <t>Pagava.</t>
        </is>
      </c>
      <c r="W53" s="13" t="inlineStr">
        <is>
          <t>Pagava…</t>
        </is>
      </c>
      <c r="X53" s="13" t="inlineStr">
        <is>
          <t>Consta: pagava.</t>
        </is>
      </c>
      <c r="Y53" s="10">
        <f>SUMPRODUCT(($H53:$Q53&lt;&gt;"")*ISERROR(SEARCH($H53:$Q53,S53)))+SUMPRODUCT(($H53:$Q53&lt;&gt;"")*ISERROR(SEARCH($H53:$Q53,T53)))+SUMPRODUCT(($H53:$Q53&lt;&gt;"")*ISERROR(SEARCH($H53:$Q53,U53)))+SUMPRODUCT(($H53:$Q53&lt;&gt;"")*ISERROR(SEARCH($H53:$Q53,V53)))+SUMPRODUCT(($H53:$Q53&lt;&gt;"")*ISERROR(SEARCH($H53:$Q53,W53)))+SUMPRODUCT(($H53:$Q53&lt;&gt;"")*ISERROR(SEARCH($H53:$Q53,X53)))</f>
        <v/>
      </c>
      <c r="Z53" s="10" t="inlineStr">
        <is>
          <t>Função: confirma, numa palavra, que alguém pagava a luz. VOZ_R2[11]=quieta → coluna calmo_opaco mantém o texto atual exato. Fala de uma palavra: o tipo só na pontuação. P3/P11 como casa de 6 (02/10). Falas do cânone.</t>
        </is>
      </c>
    </row>
    <row r="54" ht="57.45" customHeight="1" s="8">
      <c r="A54" s="10" t="inlineStr">
        <is>
          <t>c2-p3-03</t>
        </is>
      </c>
      <c r="B54" s="10" t="n">
        <v>3</v>
      </c>
      <c r="C54" s="10" t="inlineStr">
        <is>
          <t>as lembranças sobre ele (mentira do impostor)</t>
        </is>
      </c>
      <c r="D54" s="10" t="inlineStr">
        <is>
          <t>roteiro</t>
        </is>
      </c>
      <c r="E54" s="10" t="inlineStr">
        <is>
          <t>herdeira</t>
        </is>
      </c>
      <c r="F54" s="10" t="inlineStr">
        <is>
          <t>grupo</t>
        </is>
      </c>
      <c r="G54" s="10" t="n"/>
      <c r="H54" s="10" t="inlineStr">
        <is>
          <t>não o via</t>
        </is>
      </c>
      <c r="I54" s="10" t="inlineStr">
        <is>
          <t>dois anos</t>
        </is>
      </c>
      <c r="J54" s="10" t="n"/>
      <c r="K54" s="10" t="n"/>
      <c r="L54" s="10" t="n"/>
      <c r="M54" s="10" t="n"/>
      <c r="N54" s="10" t="n"/>
      <c r="O54" s="10" t="n"/>
      <c r="P54" s="10" t="n"/>
      <c r="Q54" s="10" t="n"/>
      <c r="R54" s="10" t="inlineStr">
        <is>
          <t>Não o via fazia dois anos.</t>
        </is>
      </c>
      <c r="S54" s="13" t="inlineStr">
        <is>
          <t>Não o via fazia dois anos! Pronto, falei.</t>
        </is>
      </c>
      <c r="T54" s="13" t="inlineStr">
        <is>
          <t>Não o via… fazia dois anos.</t>
        </is>
      </c>
      <c r="U54" s="13" t="inlineStr">
        <is>
          <t>Não o via fazia dois anos… é muito, não é?</t>
        </is>
      </c>
      <c r="V54" s="13" t="inlineStr">
        <is>
          <t>Não o via fazia dois anos.</t>
        </is>
      </c>
      <c r="W54" s="13" t="inlineStr">
        <is>
          <t>A estrada, o trabalho… não o via fazia dois anos.</t>
        </is>
      </c>
      <c r="X54" s="13" t="inlineStr">
        <is>
          <t>Para a ata: não o via fazia dois anos.</t>
        </is>
      </c>
      <c r="Y54" s="10">
        <f>SUMPRODUCT(($H54:$Q54&lt;&gt;"")*ISERROR(SEARCH($H54:$Q54,S54)))+SUMPRODUCT(($H54:$Q54&lt;&gt;"")*ISERROR(SEARCH($H54:$Q54,T54)))+SUMPRODUCT(($H54:$Q54&lt;&gt;"")*ISERROR(SEARCH($H54:$Q54,U54)))+SUMPRODUCT(($H54:$Q54&lt;&gt;"")*ISERROR(SEARCH($H54:$Q54,V54)))+SUMPRODUCT(($H54:$Q54&lt;&gt;"")*ISERROR(SEARCH($H54:$Q54,W54)))+SUMPRODUCT(($H54:$Q54&lt;&gt;"")*ISERROR(SEARCH($H54:$Q54,X54)))</f>
        <v/>
      </c>
      <c r="Z54" s="10" t="inlineStr">
        <is>
          <t>Enquadre: &lt;i&gt;"…"&lt;/i&gt;, diz X. É a primeira mentira da Herdeira (no Cap. 6 ela diz que vinha no fim). Nenhuma versão suaviza "dois anos". P3/P11 como casa de 6 (02/10). Falas do cânone.</t>
        </is>
      </c>
    </row>
    <row r="55" ht="68.65000000000001" customHeight="1" s="8">
      <c r="A55" s="10" t="inlineStr">
        <is>
          <t>c2-p11-03</t>
        </is>
      </c>
      <c r="B55" s="10" t="n">
        <v>11</v>
      </c>
      <c r="C55" s="10" t="inlineStr">
        <is>
          <t>as lembranças sobre ele (mentira do impostor)</t>
        </is>
      </c>
      <c r="D55" s="10" t="inlineStr">
        <is>
          <t>roteiro</t>
        </is>
      </c>
      <c r="E55" s="10" t="inlineStr">
        <is>
          <t>policial</t>
        </is>
      </c>
      <c r="F55" s="10" t="inlineStr">
        <is>
          <t>grupo</t>
        </is>
      </c>
      <c r="G55" s="10" t="n"/>
      <c r="H55" s="10" t="inlineStr">
        <is>
          <t>segurança dele</t>
        </is>
      </c>
      <c r="I55" s="10" t="inlineStr">
        <is>
          <t>última noite</t>
        </is>
      </c>
      <c r="J55" s="10" t="inlineStr">
        <is>
          <t>até tarde</t>
        </is>
      </c>
      <c r="K55" s="10" t="inlineStr">
        <is>
          <t>lá em cima</t>
        </is>
      </c>
      <c r="L55" s="10" t="inlineStr">
        <is>
          <t>luz do quarto de cima</t>
        </is>
      </c>
      <c r="M55" s="10" t="inlineStr">
        <is>
          <t>acesa</t>
        </is>
      </c>
      <c r="N55" s="10" t="n"/>
      <c r="O55" s="10" t="n"/>
      <c r="P55" s="10" t="n"/>
      <c r="Q55" s="10" t="n"/>
      <c r="R55" s="10" t="inlineStr">
        <is>
          <t>Eu cuidava da segurança dele. Na última noite fiquei com ele até tarde, lá em cima; a luz do quarto de cima estava acesa quando saí.</t>
        </is>
      </c>
      <c r="S55" s="13" t="inlineStr">
        <is>
          <t>Eu cuidava da segurança dele! Na última noite fiquei com ele até tarde, lá em cima; a luz do quarto de cima estava acesa quando saí.</t>
        </is>
      </c>
      <c r="T55" s="13" t="inlineStr">
        <is>
          <t>Eu cuidava da segurança dele. Na última noite… fiquei com ele até tarde. Lá em cima. A luz do quarto de cima… acesa, quando saí.</t>
        </is>
      </c>
      <c r="U55" s="13" t="inlineStr">
        <is>
          <t>Eu cuidava da segurança dele. Na última noite fiquei com ele até tarde, lá em cima; a luz do quarto de cima estava acesa quando saí. Ninguém mais lembra?</t>
        </is>
      </c>
      <c r="V55" s="13" t="inlineStr">
        <is>
          <t>Eu cuidava da segurança dele. Na última noite fiquei com ele até tarde, lá em cima; a luz do quarto de cima estava acesa quando saí.</t>
        </is>
      </c>
      <c r="W55" s="13" t="inlineStr">
        <is>
          <t>Noite de chuva, como hoje… eu cuidava da segurança dele. Na última noite fiquei com ele até tarde, lá em cima; a luz do quarto de cima estava acesa quando saí.</t>
        </is>
      </c>
      <c r="X55" s="13" t="inlineStr">
        <is>
          <t>Eu cuidava da segurança dele. Última noite: fiquei com ele até tarde, lá em cima. Saída com a luz do quarto de cima acesa.</t>
        </is>
      </c>
      <c r="Y55" s="10">
        <f>SUMPRODUCT(($H55:$Q55&lt;&gt;"")*ISERROR(SEARCH($H55:$Q55,S55)))+SUMPRODUCT(($H55:$Q55&lt;&gt;"")*ISERROR(SEARCH($H55:$Q55,T55)))+SUMPRODUCT(($H55:$Q55&lt;&gt;"")*ISERROR(SEARCH($H55:$Q55,U55)))+SUMPRODUCT(($H55:$Q55&lt;&gt;"")*ISERROR(SEARCH($H55:$Q55,V55)))+SUMPRODUCT(($H55:$Q55&lt;&gt;"")*ISERROR(SEARCH($H55:$Q55,W55)))+SUMPRODUCT(($H55:$Q55&lt;&gt;"")*ISERROR(SEARCH($H55:$Q55,X55)))</f>
        <v/>
      </c>
      <c r="Z55" s="10" t="inlineStr">
        <is>
          <t>Enquadre: &lt;i&gt;"…"&lt;/i&gt;, diz X. É a mentira do impostor: o caderno diz que o quarto de cima ninguém usa desde março. Nenhuma versão tira "lá em cima" nem "quarto de cima". P3/P11 como casa de 6 (02/10). Falas do cânone.</t>
        </is>
      </c>
    </row>
  </sheetData>
  <autoFilter ref="A1:Z55"/>
  <conditionalFormatting sqref="Y2:Y55">
    <cfRule type="expression" rank="0" priority="2" equalAverage="0" aboveAverage="0" dxfId="4" text="" percent="0" bottom="0">
      <formula>Y2&gt;0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Z90"/>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2"/>
    <col width="24" customWidth="1" style="7" min="3" max="3"/>
    <col width="12" customWidth="1" style="7" min="4" max="4"/>
    <col width="18" customWidth="1" style="7" min="5" max="5"/>
    <col width="12" customWidth="1" style="7" min="6" max="6"/>
    <col width="14" customWidth="1" style="7" min="7" max="7"/>
    <col width="12" customWidth="1" style="7" min="8" max="17"/>
    <col width="40" customWidth="1" style="7" min="18" max="18"/>
    <col width="38" customWidth="1" style="7" min="19" max="24"/>
    <col width="8" customWidth="1" style="7" min="25" max="25"/>
    <col width="34" customWidth="1" style="7" min="26" max="26"/>
  </cols>
  <sheetData>
    <row r="1" ht="15" customHeight="1" s="8">
      <c r="A1" s="12" t="inlineStr">
        <is>
          <t>ID</t>
        </is>
      </c>
      <c r="B1" s="12" t="inlineStr">
        <is>
          <t>Partida</t>
        </is>
      </c>
      <c r="C1" s="12" t="inlineStr">
        <is>
          <t>Cena</t>
        </is>
      </c>
      <c r="D1" s="12" t="inlineStr">
        <is>
          <t>Momento</t>
        </is>
      </c>
      <c r="E1" s="12" t="inlineStr">
        <is>
          <t>Quem fala</t>
        </is>
      </c>
      <c r="F1" s="12" t="inlineStr">
        <is>
          <t>Com quem</t>
        </is>
      </c>
      <c r="G1" s="12" t="inlineStr">
        <is>
          <t>Condição</t>
        </is>
      </c>
      <c r="H1" s="12" t="inlineStr">
        <is>
          <t>Item 1</t>
        </is>
      </c>
      <c r="I1" s="12" t="inlineStr">
        <is>
          <t>Item 2</t>
        </is>
      </c>
      <c r="J1" s="12" t="inlineStr">
        <is>
          <t>Item 3</t>
        </is>
      </c>
      <c r="K1" s="12" t="inlineStr">
        <is>
          <t>Item 4</t>
        </is>
      </c>
      <c r="L1" s="12" t="inlineStr">
        <is>
          <t>Item 5</t>
        </is>
      </c>
      <c r="M1" s="12" t="inlineStr">
        <is>
          <t>Item 6</t>
        </is>
      </c>
      <c r="N1" s="12" t="inlineStr">
        <is>
          <t>Item 7</t>
        </is>
      </c>
      <c r="O1" s="12" t="inlineStr">
        <is>
          <t>Item 8</t>
        </is>
      </c>
      <c r="P1" s="12" t="inlineStr">
        <is>
          <t>Item 9</t>
        </is>
      </c>
      <c r="Q1" s="12" t="inlineStr">
        <is>
          <t>Item 10</t>
        </is>
      </c>
      <c r="R1" s="12" t="inlineStr">
        <is>
          <t>Fala original</t>
        </is>
      </c>
      <c r="S1" s="12" t="inlineStr">
        <is>
          <t>Explosivo</t>
        </is>
      </c>
      <c r="T1" s="12" t="inlineStr">
        <is>
          <t>Calmo opaco</t>
        </is>
      </c>
      <c r="U1" s="12" t="inlineStr">
        <is>
          <t>Ingênuo</t>
        </is>
      </c>
      <c r="V1" s="12" t="inlineStr">
        <is>
          <t>Leal cego</t>
        </is>
      </c>
      <c r="W1" s="12" t="inlineStr">
        <is>
          <t>Evasivo</t>
        </is>
      </c>
      <c r="X1" s="12" t="inlineStr">
        <is>
          <t>Burocrata</t>
        </is>
      </c>
      <c r="Y1" s="12" t="inlineStr">
        <is>
          <t>Faltam</t>
        </is>
      </c>
      <c r="Z1" s="12" t="inlineStr">
        <is>
          <t>Nota</t>
        </is>
      </c>
    </row>
    <row r="2" ht="68.65000000000001" customHeight="1" s="8">
      <c r="A2" s="10" t="inlineStr">
        <is>
          <t>c3-p1-mao</t>
        </is>
      </c>
      <c r="B2" s="10" t="inlineStr">
        <is>
          <t>1, 6, 8, 12</t>
        </is>
      </c>
      <c r="C2" s="10" t="inlineStr">
        <is>
          <t>detalhe da marca: mão do Jornalista</t>
        </is>
      </c>
      <c r="D2" s="10" t="inlineStr">
        <is>
          <t>roteiro</t>
        </is>
      </c>
      <c r="E2" s="10" t="inlineStr">
        <is>
          <t>observadora</t>
        </is>
      </c>
      <c r="F2" s="10" t="inlineStr">
        <is>
          <t>grupo</t>
        </is>
      </c>
      <c r="G2" s="10" t="inlineStr">
        <is>
          <t>M.mao==="jornalista"</t>
        </is>
      </c>
      <c r="H2" s="10" t="inlineStr">
        <is>
          <t>mancha azul</t>
        </is>
      </c>
      <c r="I2" s="10" t="inlineStr">
        <is>
          <t>palma</t>
        </is>
      </c>
      <c r="J2" s="10" t="inlineStr">
        <is>
          <t>tinta</t>
        </is>
      </c>
      <c r="K2" s="10" t="n"/>
      <c r="L2" s="10" t="n"/>
      <c r="M2" s="10" t="n"/>
      <c r="N2" s="10" t="n"/>
      <c r="O2" s="10" t="n"/>
      <c r="P2" s="10" t="n"/>
      <c r="Q2" s="10" t="n"/>
      <c r="R2" s="10" t="inlineStr">
        <is>
          <t>uma mancha azul na palma. Tinta</t>
        </is>
      </c>
      <c r="S2" s="13" t="inlineStr">
        <is>
          <t>uma mancha azul na palma! Tinta</t>
        </is>
      </c>
      <c r="T2" s="13" t="inlineStr">
        <is>
          <t>uma mancha azul… na palma. Tinta</t>
        </is>
      </c>
      <c r="U2" s="13" t="inlineStr">
        <is>
          <t>uma mancha azul na palma… tinta, olha só</t>
        </is>
      </c>
      <c r="V2" s="13" t="inlineStr">
        <is>
          <t>uma mancha azul na palma. Tinta</t>
        </is>
      </c>
      <c r="W2" s="13" t="inlineStr">
        <is>
          <t>uma mancha azul na palma, com essa umidade tudo escorre… Tinta</t>
        </is>
      </c>
      <c r="X2" s="13" t="inlineStr">
        <is>
          <t>mancha azul na palma. Natureza: tinta</t>
        </is>
      </c>
      <c r="Y2" s="10">
        <f>SUMPRODUCT(($H2:$Q2&lt;&gt;"")*ISERROR(SEARCH($H2:$Q2,S2)))+SUMPRODUCT(($H2:$Q2&lt;&gt;"")*ISERROR(SEARCH($H2:$Q2,T2)))+SUMPRODUCT(($H2:$Q2&lt;&gt;"")*ISERROR(SEARCH($H2:$Q2,U2)))+SUMPRODUCT(($H2:$Q2&lt;&gt;"")*ISERROR(SEARCH($H2:$Q2,V2)))+SUMPRODUCT(($H2:$Q2&lt;&gt;"")*ISERROR(SEARCH($H2:$Q2,W2)))+SUMPRODUCT(($H2:$Q2&lt;&gt;"")*ISERROR(SEARCH($H2:$Q2,X2)))</f>
        <v/>
      </c>
      <c r="Z2" s="10" t="inlineStr">
        <is>
          <t>Fragmento que entra em {mao_detalhe} na fala c3-02/c3-03 da Observadora (mesmo tipo): nas colunas, vem depois de 'E tem' (burocrata: depois de 'Detalhe:'). Sem ponto final; o enquadre fecha.</t>
        </is>
      </c>
    </row>
    <row r="3" ht="68.65000000000001" customHeight="1" s="8">
      <c r="A3" s="10" t="inlineStr">
        <is>
          <t>c3-p2-mao</t>
        </is>
      </c>
      <c r="B3" s="10" t="inlineStr">
        <is>
          <t>2, 4</t>
        </is>
      </c>
      <c r="C3" s="10" t="inlineStr">
        <is>
          <t>detalhe da marca: mão da Herdeira</t>
        </is>
      </c>
      <c r="D3" s="10" t="inlineStr">
        <is>
          <t>roteiro</t>
        </is>
      </c>
      <c r="E3" s="10" t="inlineStr">
        <is>
          <t>observadora</t>
        </is>
      </c>
      <c r="F3" s="10" t="inlineStr">
        <is>
          <t>grupo</t>
        </is>
      </c>
      <c r="G3" s="10" t="inlineStr">
        <is>
          <t>M.mao==="herdeira"</t>
        </is>
      </c>
      <c r="H3" s="10" t="inlineStr">
        <is>
          <t>fio de lã escura</t>
        </is>
      </c>
      <c r="I3" s="10" t="inlineStr">
        <is>
          <t>preso</t>
        </is>
      </c>
      <c r="J3" s="10" t="inlineStr">
        <is>
          <t>umidade</t>
        </is>
      </c>
      <c r="K3" s="10" t="n"/>
      <c r="L3" s="10" t="n"/>
      <c r="M3" s="10" t="n"/>
      <c r="N3" s="10" t="n"/>
      <c r="O3" s="10" t="n"/>
      <c r="P3" s="10" t="n"/>
      <c r="Q3" s="10" t="n"/>
      <c r="R3" s="10" t="inlineStr">
        <is>
          <t>um fio de lã escura, preso na umidade</t>
        </is>
      </c>
      <c r="S3" s="13" t="inlineStr">
        <is>
          <t>um fio de lã escura, preso na umidade!</t>
        </is>
      </c>
      <c r="T3" s="13" t="inlineStr">
        <is>
          <t>um fio de lã escura… Preso na umidade</t>
        </is>
      </c>
      <c r="U3" s="13" t="inlineStr">
        <is>
          <t>um fio de lã escura, preso na umidade, não é?</t>
        </is>
      </c>
      <c r="V3" s="13" t="inlineStr">
        <is>
          <t>um fio de lã escura, preso na umidade</t>
        </is>
      </c>
      <c r="W3" s="13" t="inlineStr">
        <is>
          <t>um fio de lã escura… engraçado como tudo gruda… preso na umidade</t>
        </is>
      </c>
      <c r="X3" s="13" t="inlineStr">
        <is>
          <t>fio de lã escura, preso na umidade</t>
        </is>
      </c>
      <c r="Y3" s="10">
        <f>SUMPRODUCT(($H3:$Q3&lt;&gt;"")*ISERROR(SEARCH($H3:$Q3,S3)))+SUMPRODUCT(($H3:$Q3&lt;&gt;"")*ISERROR(SEARCH($H3:$Q3,T3)))+SUMPRODUCT(($H3:$Q3&lt;&gt;"")*ISERROR(SEARCH($H3:$Q3,U3)))+SUMPRODUCT(($H3:$Q3&lt;&gt;"")*ISERROR(SEARCH($H3:$Q3,V3)))+SUMPRODUCT(($H3:$Q3&lt;&gt;"")*ISERROR(SEARCH($H3:$Q3,W3)))+SUMPRODUCT(($H3:$Q3&lt;&gt;"")*ISERROR(SEARCH($H3:$Q3,X3)))</f>
        <v/>
      </c>
      <c r="Z3" s="10" t="inlineStr">
        <is>
          <t>Fragmento que entra em {mao_detalhe} na fala c3-02/c3-03 da Observadora (mesmo tipo): nas colunas, vem depois de 'E tem' (burocrata: depois de 'Detalhe:'). Sem ponto final; o enquadre fecha.</t>
        </is>
      </c>
    </row>
    <row r="4" ht="68.65000000000001" customHeight="1" s="8">
      <c r="A4" s="10" t="inlineStr">
        <is>
          <t>c3-p5-mao</t>
        </is>
      </c>
      <c r="B4" s="10" t="inlineStr">
        <is>
          <t>5, 10</t>
        </is>
      </c>
      <c r="C4" s="10" t="inlineStr">
        <is>
          <t>detalhe da marca: mão do Jardineiro</t>
        </is>
      </c>
      <c r="D4" s="10" t="inlineStr">
        <is>
          <t>roteiro</t>
        </is>
      </c>
      <c r="E4" s="10" t="inlineStr">
        <is>
          <t>observadora</t>
        </is>
      </c>
      <c r="F4" s="10" t="inlineStr">
        <is>
          <t>grupo</t>
        </is>
      </c>
      <c r="G4" s="10" t="inlineStr">
        <is>
          <t>M.mao==="jardineiro"</t>
        </is>
      </c>
      <c r="H4" s="10" t="inlineStr">
        <is>
          <t>barro vermelho</t>
        </is>
      </c>
      <c r="I4" s="10" t="inlineStr">
        <is>
          <t>entre os dedos</t>
        </is>
      </c>
      <c r="J4" s="10" t="inlineStr">
        <is>
          <t>mão grande</t>
        </is>
      </c>
      <c r="K4" s="10" t="n"/>
      <c r="L4" s="10" t="n"/>
      <c r="M4" s="10" t="n"/>
      <c r="N4" s="10" t="n"/>
      <c r="O4" s="10" t="n"/>
      <c r="P4" s="10" t="n"/>
      <c r="Q4" s="10" t="n"/>
      <c r="R4" s="10" t="inlineStr">
        <is>
          <t>barro vermelho entre os dedos. E é uma mão grande</t>
        </is>
      </c>
      <c r="S4" s="13" t="inlineStr">
        <is>
          <t>barro vermelho entre os dedos! E é uma mão grande</t>
        </is>
      </c>
      <c r="T4" s="13" t="inlineStr">
        <is>
          <t>barro vermelho… entre os dedos. E é uma mão grande</t>
        </is>
      </c>
      <c r="U4" s="13" t="inlineStr">
        <is>
          <t>barro vermelho entre os dedos, não é? E é uma mão grande</t>
        </is>
      </c>
      <c r="V4" s="13" t="inlineStr">
        <is>
          <t>barro vermelho entre os dedos. E é uma mão grande</t>
        </is>
      </c>
      <c r="W4" s="13" t="inlineStr">
        <is>
          <t>barro vermelho entre os dedos… a chuva não lava tudo… E é uma mão grande</t>
        </is>
      </c>
      <c r="X4" s="13" t="inlineStr">
        <is>
          <t>barro vermelho entre os dedos. Tamanho: mão grande</t>
        </is>
      </c>
      <c r="Y4" s="10">
        <f>SUMPRODUCT(($H4:$Q4&lt;&gt;"")*ISERROR(SEARCH($H4:$Q4,S4)))+SUMPRODUCT(($H4:$Q4&lt;&gt;"")*ISERROR(SEARCH($H4:$Q4,T4)))+SUMPRODUCT(($H4:$Q4&lt;&gt;"")*ISERROR(SEARCH($H4:$Q4,U4)))+SUMPRODUCT(($H4:$Q4&lt;&gt;"")*ISERROR(SEARCH($H4:$Q4,V4)))+SUMPRODUCT(($H4:$Q4&lt;&gt;"")*ISERROR(SEARCH($H4:$Q4,W4)))+SUMPRODUCT(($H4:$Q4&lt;&gt;"")*ISERROR(SEARCH($H4:$Q4,X4)))</f>
        <v/>
      </c>
      <c r="Z4" s="10" t="inlineStr">
        <is>
          <t>Fragmento que entra em {mao_detalhe} na fala c3-02/c3-03 da Observadora (mesmo tipo): nas colunas, vem depois de 'E tem' (burocrata: depois de 'Detalhe:'). Sem ponto final; o enquadre fecha.</t>
        </is>
      </c>
    </row>
    <row r="5" ht="68.65000000000001" customHeight="1" s="8">
      <c r="A5" s="10" t="inlineStr">
        <is>
          <t>c3-p7-mao</t>
        </is>
      </c>
      <c r="B5" s="10" t="n">
        <v>7</v>
      </c>
      <c r="C5" s="10" t="inlineStr">
        <is>
          <t>detalhe da marca: mão do Residente</t>
        </is>
      </c>
      <c r="D5" s="10" t="inlineStr">
        <is>
          <t>roteiro</t>
        </is>
      </c>
      <c r="E5" s="10" t="inlineStr">
        <is>
          <t>observadora</t>
        </is>
      </c>
      <c r="F5" s="10" t="inlineStr">
        <is>
          <t>grupo</t>
        </is>
      </c>
      <c r="G5" s="10" t="inlineStr">
        <is>
          <t>M.mao==="residente"</t>
        </is>
      </c>
      <c r="H5" s="10" t="inlineStr">
        <is>
          <t>pó de cal</t>
        </is>
      </c>
      <c r="I5" s="10" t="inlineStr">
        <is>
          <t>molhado</t>
        </is>
      </c>
      <c r="J5" s="10" t="inlineStr">
        <is>
          <t>branco</t>
        </is>
      </c>
      <c r="K5" s="10" t="inlineStr">
        <is>
          <t>palma</t>
        </is>
      </c>
      <c r="L5" s="10" t="n"/>
      <c r="M5" s="10" t="n"/>
      <c r="N5" s="10" t="n"/>
      <c r="O5" s="10" t="n"/>
      <c r="P5" s="10" t="n"/>
      <c r="Q5" s="10" t="n"/>
      <c r="R5" s="10" t="inlineStr">
        <is>
          <t>pó de cal molhado, branco, na palma</t>
        </is>
      </c>
      <c r="S5" s="13" t="inlineStr">
        <is>
          <t>pó de cal molhado, branco, na palma!</t>
        </is>
      </c>
      <c r="T5" s="13" t="inlineStr">
        <is>
          <t>pó de cal… molhado. Branco. Na palma</t>
        </is>
      </c>
      <c r="U5" s="13" t="inlineStr">
        <is>
          <t>pó de cal molhado, branco, na palma… alguém mais viu?</t>
        </is>
      </c>
      <c r="V5" s="13" t="inlineStr">
        <is>
          <t>pó de cal molhado, branco, na palma</t>
        </is>
      </c>
      <c r="W5" s="13" t="inlineStr">
        <is>
          <t>pó de cal molhado… essa umidade… branco, na palma</t>
        </is>
      </c>
      <c r="X5" s="13" t="inlineStr">
        <is>
          <t>pó de cal, molhado, branco, na palma</t>
        </is>
      </c>
      <c r="Y5" s="10">
        <f>SUMPRODUCT(($H5:$Q5&lt;&gt;"")*ISERROR(SEARCH($H5:$Q5,S5)))+SUMPRODUCT(($H5:$Q5&lt;&gt;"")*ISERROR(SEARCH($H5:$Q5,T5)))+SUMPRODUCT(($H5:$Q5&lt;&gt;"")*ISERROR(SEARCH($H5:$Q5,U5)))+SUMPRODUCT(($H5:$Q5&lt;&gt;"")*ISERROR(SEARCH($H5:$Q5,V5)))+SUMPRODUCT(($H5:$Q5&lt;&gt;"")*ISERROR(SEARCH($H5:$Q5,W5)))+SUMPRODUCT(($H5:$Q5&lt;&gt;"")*ISERROR(SEARCH($H5:$Q5,X5)))</f>
        <v/>
      </c>
      <c r="Z5" s="10" t="inlineStr">
        <is>
          <t>Fragmento que entra em {mao_detalhe} na fala c3-02/c3-03 da Observadora (mesmo tipo): nas colunas, vem depois de 'E tem' (burocrata: depois de 'Detalhe:'). Sem ponto final; o enquadre fecha.</t>
        </is>
      </c>
    </row>
    <row r="6" ht="68.65000000000001" customHeight="1" s="8">
      <c r="A6" s="10" t="inlineStr">
        <is>
          <t>c3-p9-mao</t>
        </is>
      </c>
      <c r="B6" s="10" t="n">
        <v>9</v>
      </c>
      <c r="C6" s="10" t="inlineStr">
        <is>
          <t>detalhe da marca: mão do Policial</t>
        </is>
      </c>
      <c r="D6" s="10" t="inlineStr">
        <is>
          <t>roteiro</t>
        </is>
      </c>
      <c r="E6" s="10" t="inlineStr">
        <is>
          <t>observadora</t>
        </is>
      </c>
      <c r="F6" s="10" t="inlineStr">
        <is>
          <t>grupo</t>
        </is>
      </c>
      <c r="G6" s="10" t="inlineStr">
        <is>
          <t>M.mao==="policial"</t>
        </is>
      </c>
      <c r="H6" s="10" t="inlineStr">
        <is>
          <t>palma larga</t>
        </is>
      </c>
      <c r="I6" s="10" t="inlineStr">
        <is>
          <t>ao lado</t>
        </is>
      </c>
      <c r="J6" s="10" t="inlineStr">
        <is>
          <t>couro molhado</t>
        </is>
      </c>
      <c r="K6" s="10" t="inlineStr">
        <is>
          <t>manga</t>
        </is>
      </c>
      <c r="L6" s="10" t="inlineStr">
        <is>
          <t>encostou</t>
        </is>
      </c>
      <c r="M6" s="10" t="n"/>
      <c r="N6" s="10" t="n"/>
      <c r="O6" s="10" t="n"/>
      <c r="P6" s="10" t="n"/>
      <c r="Q6" s="10" t="n"/>
      <c r="R6" s="10" t="inlineStr">
        <is>
          <t>uma palma larga. E, ao lado, um risco de couro molhado, como de uma manga que encostou</t>
        </is>
      </c>
      <c r="S6" s="13" t="inlineStr">
        <is>
          <t>uma palma larga! E, ao lado, um risco de couro molhado, como de uma manga que encostou</t>
        </is>
      </c>
      <c r="T6" s="13" t="inlineStr">
        <is>
          <t>uma palma larga. E… ao lado, um risco de couro molhado. Como de uma manga que encostou</t>
        </is>
      </c>
      <c r="U6" s="13" t="inlineStr">
        <is>
          <t>uma palma larga, não é? E, ao lado, um risco de couro molhado, como de uma manga que encostou</t>
        </is>
      </c>
      <c r="V6" s="13" t="inlineStr">
        <is>
          <t>uma palma larga. E, ao lado, um risco de couro molhado, como de uma manga que encostou</t>
        </is>
      </c>
      <c r="W6" s="13" t="inlineStr">
        <is>
          <t>uma palma larga… e, ao lado, com essa umidade toda, um risco de couro molhado, como de uma manga que encostou</t>
        </is>
      </c>
      <c r="X6" s="13" t="inlineStr">
        <is>
          <t>palma larga. Ao lado: risco de couro molhado, como de uma manga que encostou</t>
        </is>
      </c>
      <c r="Y6" s="10">
        <f>SUMPRODUCT(($H6:$Q6&lt;&gt;"")*ISERROR(SEARCH($H6:$Q6,S6)))+SUMPRODUCT(($H6:$Q6&lt;&gt;"")*ISERROR(SEARCH($H6:$Q6,T6)))+SUMPRODUCT(($H6:$Q6&lt;&gt;"")*ISERROR(SEARCH($H6:$Q6,U6)))+SUMPRODUCT(($H6:$Q6&lt;&gt;"")*ISERROR(SEARCH($H6:$Q6,V6)))+SUMPRODUCT(($H6:$Q6&lt;&gt;"")*ISERROR(SEARCH($H6:$Q6,W6)))+SUMPRODUCT(($H6:$Q6&lt;&gt;"")*ISERROR(SEARCH($H6:$Q6,X6)))</f>
        <v/>
      </c>
      <c r="Z6" s="10" t="inlineStr">
        <is>
          <t>Fragmento que entra em {mao_detalhe} na fala c3-02/c3-03 da Observadora (mesmo tipo): nas colunas, vem depois de 'E tem' (burocrata: depois de 'Detalhe:'). Sem ponto final; o enquadre fecha.</t>
        </is>
      </c>
    </row>
    <row r="7" ht="68.65000000000001" customHeight="1" s="8">
      <c r="A7" s="10" t="inlineStr">
        <is>
          <t>c3-p13-mao</t>
        </is>
      </c>
      <c r="B7" s="10" t="n">
        <v>13</v>
      </c>
      <c r="C7" s="10" t="inlineStr">
        <is>
          <t>detalhe da marca: mão da Governanta</t>
        </is>
      </c>
      <c r="D7" s="10" t="inlineStr">
        <is>
          <t>roteiro</t>
        </is>
      </c>
      <c r="E7" s="10" t="inlineStr">
        <is>
          <t>observadora</t>
        </is>
      </c>
      <c r="F7" s="10" t="inlineStr">
        <is>
          <t>grupo</t>
        </is>
      </c>
      <c r="G7" s="10" t="inlineStr">
        <is>
          <t>M.mao==="governanta"</t>
        </is>
      </c>
      <c r="H7" s="10" t="inlineStr">
        <is>
          <t>mão pequena</t>
        </is>
      </c>
      <c r="I7" s="10" t="inlineStr">
        <is>
          <t>água de chuva</t>
        </is>
      </c>
      <c r="J7" s="10" t="inlineStr">
        <is>
          <t>escorrendo</t>
        </is>
      </c>
      <c r="K7" s="10" t="inlineStr">
        <is>
          <t>pulso</t>
        </is>
      </c>
      <c r="L7" s="10" t="n"/>
      <c r="M7" s="10" t="n"/>
      <c r="N7" s="10" t="n"/>
      <c r="O7" s="10" t="n"/>
      <c r="P7" s="10" t="n"/>
      <c r="Q7" s="10" t="n"/>
      <c r="R7" s="10" t="inlineStr">
        <is>
          <t>uma mão pequena, e água de chuva escorrendo do pulso</t>
        </is>
      </c>
      <c r="S7" s="13" t="inlineStr">
        <is>
          <t>uma mão pequena! E água de chuva escorrendo do pulso</t>
        </is>
      </c>
      <c r="T7" s="13" t="inlineStr">
        <is>
          <t>uma mão pequena… e água de chuva. Escorrendo do pulso</t>
        </is>
      </c>
      <c r="U7" s="13" t="inlineStr">
        <is>
          <t>uma mão pequena, não é? E água de chuva escorrendo do pulso</t>
        </is>
      </c>
      <c r="V7" s="13" t="inlineStr">
        <is>
          <t>uma mão pequena, e água de chuva escorrendo do pulso</t>
        </is>
      </c>
      <c r="W7" s="13" t="inlineStr">
        <is>
          <t>uma mão pequena… que frio… e água de chuva escorrendo do pulso</t>
        </is>
      </c>
      <c r="X7" s="13" t="inlineStr">
        <is>
          <t>mão pequena; água de chuva escorrendo do pulso</t>
        </is>
      </c>
      <c r="Y7" s="10">
        <f>SUMPRODUCT(($H7:$Q7&lt;&gt;"")*ISERROR(SEARCH($H7:$Q7,S7)))+SUMPRODUCT(($H7:$Q7&lt;&gt;"")*ISERROR(SEARCH($H7:$Q7,T7)))+SUMPRODUCT(($H7:$Q7&lt;&gt;"")*ISERROR(SEARCH($H7:$Q7,U7)))+SUMPRODUCT(($H7:$Q7&lt;&gt;"")*ISERROR(SEARCH($H7:$Q7,V7)))+SUMPRODUCT(($H7:$Q7&lt;&gt;"")*ISERROR(SEARCH($H7:$Q7,W7)))+SUMPRODUCT(($H7:$Q7&lt;&gt;"")*ISERROR(SEARCH($H7:$Q7,X7)))</f>
        <v/>
      </c>
      <c r="Z7" s="10" t="inlineStr">
        <is>
          <t>Fragmento que entra em {mao_detalhe} na fala c3-02/c3-03 da Observadora (mesmo tipo): nas colunas, vem depois de 'E tem' (burocrata: depois de 'Detalhe:'). Sem ponto final; o enquadre fecha.</t>
        </is>
      </c>
    </row>
    <row r="8" ht="68.65000000000001" customHeight="1" s="8">
      <c r="A8" s="10" t="inlineStr">
        <is>
          <t>c3-p14-mao</t>
        </is>
      </c>
      <c r="B8" s="10" t="n">
        <v>14</v>
      </c>
      <c r="C8" s="10" t="inlineStr">
        <is>
          <t>detalhe da marca: mão do Investigador</t>
        </is>
      </c>
      <c r="D8" s="10" t="inlineStr">
        <is>
          <t>roteiro</t>
        </is>
      </c>
      <c r="E8" s="10" t="inlineStr">
        <is>
          <t>observadora</t>
        </is>
      </c>
      <c r="F8" s="10" t="inlineStr">
        <is>
          <t>grupo</t>
        </is>
      </c>
      <c r="G8" s="10" t="inlineStr">
        <is>
          <t>M.mao==="investigador"</t>
        </is>
      </c>
      <c r="H8" s="10" t="inlineStr">
        <is>
          <t>alça</t>
        </is>
      </c>
      <c r="I8" s="10" t="inlineStr">
        <is>
          <t>câmera</t>
        </is>
      </c>
      <c r="J8" s="10" t="inlineStr">
        <is>
          <t>lateral da mão</t>
        </is>
      </c>
      <c r="K8" s="10" t="n"/>
      <c r="L8" s="10" t="n"/>
      <c r="M8" s="10" t="n"/>
      <c r="N8" s="10" t="n"/>
      <c r="O8" s="10" t="n"/>
      <c r="P8" s="10" t="n"/>
      <c r="Q8" s="10" t="n"/>
      <c r="R8" s="10" t="inlineStr">
        <is>
          <t>a marca da alça de uma câmera na lateral da mão</t>
        </is>
      </c>
      <c r="S8" s="13" t="inlineStr">
        <is>
          <t>a marca da alça de uma câmera na lateral da mão!</t>
        </is>
      </c>
      <c r="T8" s="13" t="inlineStr">
        <is>
          <t>a marca da alça… de uma câmera. Na lateral da mão</t>
        </is>
      </c>
      <c r="U8" s="13" t="inlineStr">
        <is>
          <t>a marca da alça de uma câmera na lateral da mão, olha só</t>
        </is>
      </c>
      <c r="V8" s="13" t="inlineStr">
        <is>
          <t>a marca da alça de uma câmera na lateral da mão</t>
        </is>
      </c>
      <c r="W8" s="13" t="inlineStr">
        <is>
          <t>a marca… curioso o que fica na pele… da alça de uma câmera na lateral da mão</t>
        </is>
      </c>
      <c r="X8" s="13" t="inlineStr">
        <is>
          <t>marca da alça de uma câmera, na lateral da mão</t>
        </is>
      </c>
      <c r="Y8" s="10">
        <f>SUMPRODUCT(($H8:$Q8&lt;&gt;"")*ISERROR(SEARCH($H8:$Q8,S8)))+SUMPRODUCT(($H8:$Q8&lt;&gt;"")*ISERROR(SEARCH($H8:$Q8,T8)))+SUMPRODUCT(($H8:$Q8&lt;&gt;"")*ISERROR(SEARCH($H8:$Q8,U8)))+SUMPRODUCT(($H8:$Q8&lt;&gt;"")*ISERROR(SEARCH($H8:$Q8,V8)))+SUMPRODUCT(($H8:$Q8&lt;&gt;"")*ISERROR(SEARCH($H8:$Q8,W8)))+SUMPRODUCT(($H8:$Q8&lt;&gt;"")*ISERROR(SEARCH($H8:$Q8,X8)))</f>
        <v/>
      </c>
      <c r="Z8" s="10" t="inlineStr">
        <is>
          <t>Fragmento que entra em {mao_detalhe} na fala c3-02/c3-03 da Observadora (mesmo tipo): nas colunas, vem depois de 'E tem' (burocrata: depois de 'Detalhe:'). Sem ponto final; o enquadre fecha.</t>
        </is>
      </c>
    </row>
    <row r="9" ht="68.65000000000001" customHeight="1" s="8">
      <c r="A9" s="10" t="inlineStr">
        <is>
          <t>c3-p15-mao</t>
        </is>
      </c>
      <c r="B9" s="10" t="n">
        <v>15</v>
      </c>
      <c r="C9" s="10" t="inlineStr">
        <is>
          <t>detalhe da marca: mão do Chefe de Cozinha</t>
        </is>
      </c>
      <c r="D9" s="10" t="inlineStr">
        <is>
          <t>roteiro</t>
        </is>
      </c>
      <c r="E9" s="10" t="inlineStr">
        <is>
          <t>observadora</t>
        </is>
      </c>
      <c r="F9" s="10" t="inlineStr">
        <is>
          <t>grupo</t>
        </is>
      </c>
      <c r="G9" s="10" t="inlineStr">
        <is>
          <t>M.mao==="chefe_de_cozinha"</t>
        </is>
      </c>
      <c r="H9" s="10" t="inlineStr">
        <is>
          <t>cheiro de tabaco</t>
        </is>
      </c>
      <c r="I9" s="10" t="n"/>
      <c r="J9" s="10" t="n"/>
      <c r="K9" s="10" t="n"/>
      <c r="L9" s="10" t="n"/>
      <c r="M9" s="10" t="n"/>
      <c r="N9" s="10" t="n"/>
      <c r="O9" s="10" t="n"/>
      <c r="P9" s="10" t="n"/>
      <c r="Q9" s="10" t="n"/>
      <c r="R9" s="10" t="inlineStr">
        <is>
          <t>cheiro de tabaco</t>
        </is>
      </c>
      <c r="S9" s="13" t="inlineStr">
        <is>
          <t>cheiro de tabaco</t>
        </is>
      </c>
      <c r="T9" s="13" t="inlineStr">
        <is>
          <t>cheiro de tabaco…</t>
        </is>
      </c>
      <c r="U9" s="13" t="inlineStr">
        <is>
          <t>cheiro de tabaco</t>
        </is>
      </c>
      <c r="V9" s="13" t="inlineStr">
        <is>
          <t>cheiro de tabaco</t>
        </is>
      </c>
      <c r="W9" s="13" t="inlineStr">
        <is>
          <t>cheiro de tabaco</t>
        </is>
      </c>
      <c r="X9" s="13" t="inlineStr">
        <is>
          <t>cheiro de tabaco</t>
        </is>
      </c>
      <c r="Y9" s="10">
        <f>SUMPRODUCT(($H9:$Q9&lt;&gt;"")*ISERROR(SEARCH($H9:$Q9,S9)))+SUMPRODUCT(($H9:$Q9&lt;&gt;"")*ISERROR(SEARCH($H9:$Q9,T9)))+SUMPRODUCT(($H9:$Q9&lt;&gt;"")*ISERROR(SEARCH($H9:$Q9,U9)))+SUMPRODUCT(($H9:$Q9&lt;&gt;"")*ISERROR(SEARCH($H9:$Q9,V9)))+SUMPRODUCT(($H9:$Q9&lt;&gt;"")*ISERROR(SEARCH($H9:$Q9,W9)))+SUMPRODUCT(($H9:$Q9&lt;&gt;"")*ISERROR(SEARCH($H9:$Q9,X9)))</f>
        <v/>
      </c>
      <c r="Z9" s="10" t="inlineStr">
        <is>
          <t>Fragmento que entra em {mao_detalhe} na fala c3-02/c3-03 da Observadora (mesmo tipo): nas colunas, vem depois de 'E tem' (burocrata: depois de 'Detalhe:'). Sem ponto final; o enquadre fecha.</t>
        </is>
      </c>
    </row>
    <row r="10" ht="35.05" customHeight="1" s="8">
      <c r="A10" s="10" t="inlineStr">
        <is>
          <t>c3-p13-dono</t>
        </is>
      </c>
      <c r="B10" s="10" t="n">
        <v>13</v>
      </c>
      <c r="C10" s="10" t="inlineStr">
        <is>
          <t>a Governanta explica a manga molhada</t>
        </is>
      </c>
      <c r="D10" s="10" t="inlineStr">
        <is>
          <t>roteiro</t>
        </is>
      </c>
      <c r="E10" s="10" t="inlineStr">
        <is>
          <t>governanta</t>
        </is>
      </c>
      <c r="F10" s="10" t="inlineStr">
        <is>
          <t>grupo</t>
        </is>
      </c>
      <c r="G10" s="10" t="inlineStr">
        <is>
          <t>M.mao==="governanta"</t>
        </is>
      </c>
      <c r="H10" s="10" t="inlineStr">
        <is>
          <t>janela dos fundos</t>
        </is>
      </c>
      <c r="I10" s="10" t="inlineStr">
        <is>
          <t>batia</t>
        </is>
      </c>
      <c r="J10" s="10" t="inlineStr">
        <is>
          <t>fechar</t>
        </is>
      </c>
      <c r="K10" s="10" t="n"/>
      <c r="L10" s="10" t="n"/>
      <c r="M10" s="10" t="n"/>
      <c r="N10" s="10" t="n"/>
      <c r="O10" s="10" t="n"/>
      <c r="P10" s="10" t="n"/>
      <c r="Q10" s="10" t="n"/>
      <c r="R10" s="10" t="inlineStr">
        <is>
          <t>A janela dos fundos batia. Fui fechar.</t>
        </is>
      </c>
      <c r="S10" s="13" t="inlineStr">
        <is>
          <t>A janela dos fundos batia! Fui fechar, pronto!</t>
        </is>
      </c>
      <c r="T10" s="13" t="inlineStr">
        <is>
          <t>A janela dos fundos… batia. Fui fechar.</t>
        </is>
      </c>
      <c r="U10" s="13" t="inlineStr">
        <is>
          <t>A janela dos fundos batia, sabe? Fui fechar…</t>
        </is>
      </c>
      <c r="V10" s="13" t="inlineStr">
        <is>
          <t>A janela dos fundos batia. Fui fechar. Só isso.</t>
        </is>
      </c>
      <c r="W10" s="13" t="inlineStr">
        <is>
          <t>Essa umidade toda… A janela dos fundos batia. Fui fechar.</t>
        </is>
      </c>
      <c r="X10" s="13" t="inlineStr">
        <is>
          <t>Janela dos fundos: batia. Fui fechar.</t>
        </is>
      </c>
      <c r="Y10" s="10">
        <f>SUMPRODUCT(($H10:$Q10&lt;&gt;"")*ISERROR(SEARCH($H10:$Q10,S10)))+SUMPRODUCT(($H10:$Q10&lt;&gt;"")*ISERROR(SEARCH($H10:$Q10,T10)))+SUMPRODUCT(($H10:$Q10&lt;&gt;"")*ISERROR(SEARCH($H10:$Q10,U10)))+SUMPRODUCT(($H10:$Q10&lt;&gt;"")*ISERROR(SEARCH($H10:$Q10,V10)))+SUMPRODUCT(($H10:$Q10&lt;&gt;"")*ISERROR(SEARCH($H10:$Q10,W10)))+SUMPRODUCT(($H10:$Q10&lt;&gt;"")*ISERROR(SEARCH($H10:$Q10,X10)))</f>
        <v/>
      </c>
      <c r="Z10" s="10" t="inlineStr">
        <is>
          <t>Enquadre: {Governanta} baixou a manga arregaçada da blusa, molhada até o cotovelo. &lt;i&gt;"…"&lt;/i&gt;</t>
        </is>
      </c>
    </row>
    <row r="11" ht="23.85" customHeight="1" s="8">
      <c r="A11" s="10" t="inlineStr">
        <is>
          <t>c3-p1-01</t>
        </is>
      </c>
      <c r="B11" s="10" t="n">
        <v>1</v>
      </c>
      <c r="C11" s="10" t="inlineStr">
        <is>
          <t>tentativa de afastar o móvel</t>
        </is>
      </c>
      <c r="D11" s="10" t="inlineStr">
        <is>
          <t>roteiro</t>
        </is>
      </c>
      <c r="E11" s="10" t="inlineStr">
        <is>
          <t>residente</t>
        </is>
      </c>
      <c r="F11" s="10" t="inlineStr">
        <is>
          <t>grupo</t>
        </is>
      </c>
      <c r="G11" s="10" t="n"/>
      <c r="H11" s="10" t="inlineStr">
        <is>
          <t>de frente</t>
        </is>
      </c>
      <c r="I11" s="10" t="inlineStr">
        <is>
          <t>forçar</t>
        </is>
      </c>
      <c r="J11" s="10" t="inlineStr">
        <is>
          <t>trava</t>
        </is>
      </c>
      <c r="K11" s="10" t="n"/>
      <c r="L11" s="10" t="n"/>
      <c r="M11" s="10" t="n"/>
      <c r="N11" s="10" t="n"/>
      <c r="O11" s="10" t="n"/>
      <c r="P11" s="10" t="n"/>
      <c r="Q11" s="10" t="n"/>
      <c r="R11" s="10" t="inlineStr">
        <is>
          <t>Não puxa de frente. Se forçar de frente, trava.</t>
        </is>
      </c>
      <c r="S11" s="13" t="inlineStr">
        <is>
          <t>Não puxa de frente! Se forçar de frente, trava, será que ninguém escuta?</t>
        </is>
      </c>
      <c r="T11" s="13" t="inlineStr">
        <is>
          <t>Não puxa… de frente. Se forçar de frente… trava.</t>
        </is>
      </c>
      <c r="U11" s="13" t="inlineStr">
        <is>
          <t>Não puxa de frente, tá? Se forçar de frente, trava.</t>
        </is>
      </c>
      <c r="V11" s="13" t="inlineStr">
        <is>
          <t>Não. Não puxa de frente. Se forçar de frente, trava.</t>
        </is>
      </c>
      <c r="W11" s="13" t="inlineStr">
        <is>
          <t>Com esse frio tudo emperra… Não puxa de frente. Se forçar de frente, trava.</t>
        </is>
      </c>
      <c r="X11" s="13" t="inlineStr">
        <is>
          <t>Procedimento: não puxar de frente. Se forçar de frente, trava.</t>
        </is>
      </c>
      <c r="Y11" s="10">
        <f>SUMPRODUCT(($H11:$Q11&lt;&gt;"")*ISERROR(SEARCH($H11:$Q11,S11)))+SUMPRODUCT(($H11:$Q11&lt;&gt;"")*ISERROR(SEARCH($H11:$Q11,T11)))+SUMPRODUCT(($H11:$Q11&lt;&gt;"")*ISERROR(SEARCH($H11:$Q11,U11)))+SUMPRODUCT(($H11:$Q11&lt;&gt;"")*ISERROR(SEARCH($H11:$Q11,V11)))+SUMPRODUCT(($H11:$Q11&lt;&gt;"")*ISERROR(SEARCH($H11:$Q11,W11)))+SUMPRODUCT(($H11:$Q11&lt;&gt;"")*ISERROR(SEARCH($H11:$Q11,X11)))</f>
        <v/>
      </c>
      <c r="Z11" s="10" t="inlineStr">
        <is>
          <t>Enquadre: {Residente}: &lt;i&gt;"…"&lt;/i&gt;</t>
        </is>
      </c>
    </row>
    <row r="12" ht="15" customHeight="1" s="8">
      <c r="A12" s="10" t="inlineStr">
        <is>
          <t>c3-p1-02</t>
        </is>
      </c>
      <c r="B12" s="10" t="n">
        <v>1</v>
      </c>
      <c r="C12" s="10" t="inlineStr">
        <is>
          <t>tentativa de afastar o móvel</t>
        </is>
      </c>
      <c r="D12" s="10" t="inlineStr">
        <is>
          <t>roteiro</t>
        </is>
      </c>
      <c r="E12" s="10" t="inlineStr">
        <is>
          <t>investigador</t>
        </is>
      </c>
      <c r="F12" s="10" t="inlineStr">
        <is>
          <t>residente</t>
        </is>
      </c>
      <c r="G12" s="10" t="n"/>
      <c r="H12" s="10" t="inlineStr">
        <is>
          <t>trava</t>
        </is>
      </c>
      <c r="I12" s="10" t="inlineStr">
        <is>
          <t>o quê</t>
        </is>
      </c>
      <c r="J12" s="10" t="n"/>
      <c r="K12" s="10" t="n"/>
      <c r="L12" s="10" t="n"/>
      <c r="M12" s="10" t="n"/>
      <c r="N12" s="10" t="n"/>
      <c r="O12" s="10" t="n"/>
      <c r="P12" s="10" t="n"/>
      <c r="Q12" s="10" t="n"/>
      <c r="R12" s="10" t="inlineStr">
        <is>
          <t>Trava o quê?</t>
        </is>
      </c>
      <c r="S12" s="13" t="inlineStr">
        <is>
          <t>Trava o quê?!</t>
        </is>
      </c>
      <c r="T12" s="13" t="inlineStr">
        <is>
          <t>Trava… o quê?</t>
        </is>
      </c>
      <c r="U12" s="13" t="inlineStr">
        <is>
          <t>Trava o quê…?</t>
        </is>
      </c>
      <c r="V12" s="13" t="inlineStr">
        <is>
          <t>Trava o quê?</t>
        </is>
      </c>
      <c r="W12" s="13" t="inlineStr">
        <is>
          <t>Hum… trava o quê?</t>
        </is>
      </c>
      <c r="X12" s="13" t="inlineStr">
        <is>
          <t>Trava o quê?</t>
        </is>
      </c>
      <c r="Y12" s="10">
        <f>SUMPRODUCT(($H12:$Q12&lt;&gt;"")*ISERROR(SEARCH($H12:$Q12,S12)))+SUMPRODUCT(($H12:$Q12&lt;&gt;"")*ISERROR(SEARCH($H12:$Q12,T12)))+SUMPRODUCT(($H12:$Q12&lt;&gt;"")*ISERROR(SEARCH($H12:$Q12,U12)))+SUMPRODUCT(($H12:$Q12&lt;&gt;"")*ISERROR(SEARCH($H12:$Q12,V12)))+SUMPRODUCT(($H12:$Q12&lt;&gt;"")*ISERROR(SEARCH($H12:$Q12,W12)))+SUMPRODUCT(($H12:$Q12&lt;&gt;"")*ISERROR(SEARCH($H12:$Q12,X12)))</f>
        <v/>
      </c>
      <c r="Z12" s="10" t="inlineStr">
        <is>
          <t>Enquadre: &lt;i&gt;"…"&lt;/i&gt;, perguntou {inv}.</t>
        </is>
      </c>
    </row>
    <row r="13" ht="23.85" customHeight="1" s="8">
      <c r="A13" s="10" t="inlineStr">
        <is>
          <t>c3-p1-03</t>
        </is>
      </c>
      <c r="B13" s="10" t="n">
        <v>1</v>
      </c>
      <c r="C13" s="10" t="inlineStr">
        <is>
          <t>tentativa de afastar o móvel</t>
        </is>
      </c>
      <c r="D13" s="10" t="inlineStr">
        <is>
          <t>roteiro</t>
        </is>
      </c>
      <c r="E13" s="10" t="inlineStr">
        <is>
          <t>residente (implícito)</t>
        </is>
      </c>
      <c r="F13" s="10" t="inlineStr">
        <is>
          <t>investigador</t>
        </is>
      </c>
      <c r="G13" s="10" t="n"/>
      <c r="H13" s="10" t="inlineStr">
        <is>
          <t>travar</t>
        </is>
      </c>
      <c r="I13" s="10" t="inlineStr">
        <is>
          <t>móvel velho</t>
        </is>
      </c>
      <c r="J13" s="10" t="inlineStr">
        <is>
          <t>tudo igual</t>
        </is>
      </c>
      <c r="K13" s="10" t="n"/>
      <c r="L13" s="10" t="n"/>
      <c r="M13" s="10" t="n"/>
      <c r="N13" s="10" t="n"/>
      <c r="O13" s="10" t="n"/>
      <c r="P13" s="10" t="n"/>
      <c r="Q13" s="10" t="n"/>
      <c r="R13" s="10" t="inlineStr">
        <is>
          <t>O que tiver de travar. Móvel velho é tudo igual.</t>
        </is>
      </c>
      <c r="S13" s="13" t="inlineStr">
        <is>
          <t>O que tiver de travar! Móvel velho é tudo igual, não tem mistério!</t>
        </is>
      </c>
      <c r="T13" s="13" t="inlineStr">
        <is>
          <t>O que tiver de travar… Móvel velho… tudo igual.</t>
        </is>
      </c>
      <c r="U13" s="13" t="inlineStr">
        <is>
          <t>O que tiver de travar, ué… Móvel velho é tudo igual, não é?</t>
        </is>
      </c>
      <c r="V13" s="13" t="inlineStr">
        <is>
          <t>O que tiver de travar. Móvel velho é tudo igual.</t>
        </is>
      </c>
      <c r="W13" s="13" t="inlineStr">
        <is>
          <t>Ah, o que tiver de travar… Tanta estrada até aqui pra isso. Móvel velho é tudo igual.</t>
        </is>
      </c>
      <c r="X13" s="13" t="inlineStr">
        <is>
          <t>Resposta: o que tiver de travar. Móvel velho é tudo igual.</t>
        </is>
      </c>
      <c r="Y13" s="10">
        <f>SUMPRODUCT(($H13:$Q13&lt;&gt;"")*ISERROR(SEARCH($H13:$Q13,S13)))+SUMPRODUCT(($H13:$Q13&lt;&gt;"")*ISERROR(SEARCH($H13:$Q13,T13)))+SUMPRODUCT(($H13:$Q13&lt;&gt;"")*ISERROR(SEARCH($H13:$Q13,U13)))+SUMPRODUCT(($H13:$Q13&lt;&gt;"")*ISERROR(SEARCH($H13:$Q13,V13)))+SUMPRODUCT(($H13:$Q13&lt;&gt;"")*ISERROR(SEARCH($H13:$Q13,W13)))+SUMPRODUCT(($H13:$Q13&lt;&gt;"")*ISERROR(SEARCH($H13:$Q13,X13)))</f>
        <v/>
      </c>
      <c r="Z13" s="10" t="inlineStr">
        <is>
          <t>Sem verbo de dizer no código; resposta do Residente.</t>
        </is>
      </c>
    </row>
    <row r="14" ht="23.85" customHeight="1" s="8">
      <c r="A14" s="10" t="inlineStr">
        <is>
          <t>c3-p1-04</t>
        </is>
      </c>
      <c r="B14" s="10" t="n">
        <v>1</v>
      </c>
      <c r="C14" s="10" t="inlineStr">
        <is>
          <t>tentativa de afastar o móvel</t>
        </is>
      </c>
      <c r="D14" s="10" t="inlineStr">
        <is>
          <t>roteiro</t>
        </is>
      </c>
      <c r="E14" s="10" t="inlineStr">
        <is>
          <t>observadora</t>
        </is>
      </c>
      <c r="F14" s="10" t="inlineStr">
        <is>
          <t>residente</t>
        </is>
      </c>
      <c r="G14" s="10" t="n"/>
      <c r="H14" s="10" t="inlineStr">
        <is>
          <t>não é</t>
        </is>
      </c>
      <c r="I14" s="10" t="n"/>
      <c r="J14" s="10" t="n"/>
      <c r="K14" s="10" t="n"/>
      <c r="L14" s="10" t="n"/>
      <c r="M14" s="10" t="n"/>
      <c r="N14" s="10" t="n"/>
      <c r="O14" s="10" t="n"/>
      <c r="P14" s="10" t="n"/>
      <c r="Q14" s="10" t="n"/>
      <c r="R14" s="10" t="inlineStr">
        <is>
          <t>Não é</t>
        </is>
      </c>
      <c r="S14" s="13" t="inlineStr">
        <is>
          <t>Não é!</t>
        </is>
      </c>
      <c r="T14" s="13" t="inlineStr">
        <is>
          <t>… Não é</t>
        </is>
      </c>
      <c r="U14" s="13" t="inlineStr">
        <is>
          <t>Não é…</t>
        </is>
      </c>
      <c r="V14" s="13" t="inlineStr">
        <is>
          <t>Não é.</t>
        </is>
      </c>
      <c r="W14" s="13" t="inlineStr">
        <is>
          <t>Bem… não é</t>
        </is>
      </c>
      <c r="X14" s="13" t="inlineStr">
        <is>
          <t>Não é.</t>
        </is>
      </c>
      <c r="Y14" s="10">
        <f>SUMPRODUCT(($H14:$Q14&lt;&gt;"")*ISERROR(SEARCH($H14:$Q14,S14)))+SUMPRODUCT(($H14:$Q14&lt;&gt;"")*ISERROR(SEARCH($H14:$Q14,T14)))+SUMPRODUCT(($H14:$Q14&lt;&gt;"")*ISERROR(SEARCH($H14:$Q14,U14)))+SUMPRODUCT(($H14:$Q14&lt;&gt;"")*ISERROR(SEARCH($H14:$Q14,V14)))+SUMPRODUCT(($H14:$Q14&lt;&gt;"")*ISERROR(SEARCH($H14:$Q14,W14)))+SUMPRODUCT(($H14:$Q14&lt;&gt;"")*ISERROR(SEARCH($H14:$Q14,X14)))</f>
        <v/>
      </c>
      <c r="Z14" s="10" t="inlineStr">
        <is>
          <t>Enquadre: &lt;i&gt;"…"&lt;/i&gt;, disse {obs}. Sem ponto final (o enquadre continua).</t>
        </is>
      </c>
    </row>
    <row r="15" ht="46.25" customHeight="1" s="8">
      <c r="A15" s="10" t="inlineStr">
        <is>
          <t>c3-p1-05</t>
        </is>
      </c>
      <c r="B15" s="10" t="n">
        <v>1</v>
      </c>
      <c r="C15" s="10" t="inlineStr">
        <is>
          <t>tentativa de afastar o móvel</t>
        </is>
      </c>
      <c r="D15" s="10" t="inlineStr">
        <is>
          <t>roteiro</t>
        </is>
      </c>
      <c r="E15" s="10" t="inlineStr">
        <is>
          <t>observadora</t>
        </is>
      </c>
      <c r="F15" s="10" t="inlineStr">
        <is>
          <t>residente</t>
        </is>
      </c>
      <c r="G15" s="10" t="n"/>
      <c r="H15" s="10" t="inlineStr">
        <is>
          <t>nunca saiu do lugar</t>
        </is>
      </c>
      <c r="I15" s="10" t="inlineStr">
        <is>
          <t>cem anos</t>
        </is>
      </c>
      <c r="J15" s="10" t="inlineStr">
        <is>
          <t>cera por baixo</t>
        </is>
      </c>
      <c r="K15" s="10" t="inlineStr">
        <is>
          <t>poeira em volta</t>
        </is>
      </c>
      <c r="L15" s="10" t="inlineStr">
        <is>
          <t>reforma</t>
        </is>
      </c>
      <c r="M15" s="10" t="n"/>
      <c r="N15" s="10" t="n"/>
      <c r="O15" s="10" t="n"/>
      <c r="P15" s="10" t="n"/>
      <c r="Q15" s="10" t="n"/>
      <c r="R15" s="10" t="inlineStr">
        <is>
          <t>Este nunca saiu do lugar em cem anos. Cera por baixo, poeira em volta. A sua reforma não chegou nele.</t>
        </is>
      </c>
      <c r="S15" s="13" t="inlineStr">
        <is>
          <t>Este nunca saiu do lugar em cem anos! Cera por baixo, poeira em volta. A sua reforma não chegou nele, olhe direito!</t>
        </is>
      </c>
      <c r="T15" s="13" t="inlineStr">
        <is>
          <t>Este… nunca saiu do lugar em cem anos. Cera por baixo. Poeira em volta. A sua reforma… não chegou nele.</t>
        </is>
      </c>
      <c r="U15" s="13" t="inlineStr">
        <is>
          <t>Este nunca saiu do lugar em cem anos, não é? Tem cera por baixo, poeira em volta… e a sua reforma não chegou nele, viu?</t>
        </is>
      </c>
      <c r="V15" s="13" t="inlineStr">
        <is>
          <t>Este nunca saiu do lugar em cem anos. Cera por baixo, poeira em volta. A sua reforma não chegou nele, e ainda bem.</t>
        </is>
      </c>
      <c r="W15" s="13" t="inlineStr">
        <is>
          <t>Cem anos é muito tempo, as estações, a umidade… Este nunca saiu do lugar em cem anos. Cera por baixo, poeira em volta. A sua reforma não chegou nele.</t>
        </is>
      </c>
      <c r="X15" s="13" t="inlineStr">
        <is>
          <t>Consta: nunca saiu do lugar em cem anos. Cera por baixo, poeira em volta. A sua reforma não chegou nele.</t>
        </is>
      </c>
      <c r="Y15" s="10">
        <f>SUMPRODUCT(($H15:$Q15&lt;&gt;"")*ISERROR(SEARCH($H15:$Q15,S15)))+SUMPRODUCT(($H15:$Q15&lt;&gt;"")*ISERROR(SEARCH($H15:$Q15,T15)))+SUMPRODUCT(($H15:$Q15&lt;&gt;"")*ISERROR(SEARCH($H15:$Q15,U15)))+SUMPRODUCT(($H15:$Q15&lt;&gt;"")*ISERROR(SEARCH($H15:$Q15,V15)))+SUMPRODUCT(($H15:$Q15&lt;&gt;"")*ISERROR(SEARCH($H15:$Q15,W15)))+SUMPRODUCT(($H15:$Q15&lt;&gt;"")*ISERROR(SEARCH($H15:$Q15,X15)))</f>
        <v/>
      </c>
      <c r="Z15" s="10" t="inlineStr">
        <is>
          <t>Continua a fala anterior da Observadora, em &lt;i&gt; separado.</t>
        </is>
      </c>
    </row>
    <row r="16" ht="23.85" customHeight="1" s="8">
      <c r="A16" s="10" t="inlineStr">
        <is>
          <t>c3-p4-01</t>
        </is>
      </c>
      <c r="B16" s="10" t="n">
        <v>4</v>
      </c>
      <c r="C16" s="10" t="inlineStr">
        <is>
          <t>a marca: quem tentou afastar</t>
        </is>
      </c>
      <c r="D16" s="10" t="inlineStr">
        <is>
          <t>roteiro</t>
        </is>
      </c>
      <c r="E16" s="10" t="inlineStr">
        <is>
          <t>chefe_de_cozinha</t>
        </is>
      </c>
      <c r="F16" s="10" t="inlineStr">
        <is>
          <t>grupo</t>
        </is>
      </c>
      <c r="G16" s="10" t="n"/>
      <c r="H16" s="10" t="inlineStr">
        <is>
          <t>alguém</t>
        </is>
      </c>
      <c r="I16" s="10" t="inlineStr">
        <is>
          <t>tentou afastar</t>
        </is>
      </c>
      <c r="J16" s="10" t="n"/>
      <c r="K16" s="10" t="n"/>
      <c r="L16" s="10" t="n"/>
      <c r="M16" s="10" t="n"/>
      <c r="N16" s="10" t="n"/>
      <c r="O16" s="10" t="n"/>
      <c r="P16" s="10" t="n"/>
      <c r="Q16" s="10" t="n"/>
      <c r="R16" s="10" t="inlineStr">
        <is>
          <t>Alguém tentou afastar</t>
        </is>
      </c>
      <c r="S16" s="13" t="inlineStr">
        <is>
          <t>Alguém tentou afastar!</t>
        </is>
      </c>
      <c r="T16" s="13" t="inlineStr">
        <is>
          <t>Alguém… tentou afastar.</t>
        </is>
      </c>
      <c r="U16" s="13" t="inlineStr">
        <is>
          <t>Alguém tentou afastar…</t>
        </is>
      </c>
      <c r="V16" s="13" t="inlineStr">
        <is>
          <t>Alguém tentou afastar.</t>
        </is>
      </c>
      <c r="W16" s="13" t="inlineStr">
        <is>
          <t>Ah… alguém tentou afastar</t>
        </is>
      </c>
      <c r="X16" s="13" t="inlineStr">
        <is>
          <t>Alguém tentou afastar.</t>
        </is>
      </c>
      <c r="Y16" s="10">
        <f>SUMPRODUCT(($H16:$Q16&lt;&gt;"")*ISERROR(SEARCH($H16:$Q16,S16)))+SUMPRODUCT(($H16:$Q16&lt;&gt;"")*ISERROR(SEARCH($H16:$Q16,T16)))+SUMPRODUCT(($H16:$Q16&lt;&gt;"")*ISERROR(SEARCH($H16:$Q16,U16)))+SUMPRODUCT(($H16:$Q16&lt;&gt;"")*ISERROR(SEARCH($H16:$Q16,V16)))+SUMPRODUCT(($H16:$Q16&lt;&gt;"")*ISERROR(SEARCH($H16:$Q16,W16)))+SUMPRODUCT(($H16:$Q16&lt;&gt;"")*ISERROR(SEARCH($H16:$Q16,X16)))</f>
        <v/>
      </c>
      <c r="Z16" s="10" t="inlineStr">
        <is>
          <t>Enquadre: &lt;i&gt;"…"&lt;/i&gt;, disse {che}. Sem ponto final.</t>
        </is>
      </c>
    </row>
    <row r="17" ht="23.85" customHeight="1" s="8">
      <c r="A17" s="10" t="inlineStr">
        <is>
          <t>c3-p4-02</t>
        </is>
      </c>
      <c r="B17" s="10" t="n">
        <v>4</v>
      </c>
      <c r="C17" s="10" t="inlineStr">
        <is>
          <t>a marca: quem tentou afastar</t>
        </is>
      </c>
      <c r="D17" s="10" t="inlineStr">
        <is>
          <t>roteiro</t>
        </is>
      </c>
      <c r="E17" s="10" t="inlineStr">
        <is>
          <t>observadora</t>
        </is>
      </c>
      <c r="F17" s="10" t="inlineStr">
        <is>
          <t>chefe de cozinha</t>
        </is>
      </c>
      <c r="G17" s="10" t="n"/>
      <c r="H17" s="10" t="inlineStr">
        <is>
          <t>afastar</t>
        </is>
      </c>
      <c r="I17" s="10" t="n"/>
      <c r="J17" s="10" t="n"/>
      <c r="K17" s="10" t="n"/>
      <c r="L17" s="10" t="n"/>
      <c r="M17" s="10" t="n"/>
      <c r="N17" s="10" t="n"/>
      <c r="O17" s="10" t="n"/>
      <c r="P17" s="10" t="n"/>
      <c r="Q17" s="10" t="n"/>
      <c r="R17" s="10" t="inlineStr">
        <is>
          <t>Afastar?</t>
        </is>
      </c>
      <c r="S17" s="13" t="inlineStr">
        <is>
          <t>Afastar?!</t>
        </is>
      </c>
      <c r="T17" s="13" t="inlineStr">
        <is>
          <t>…afastar?</t>
        </is>
      </c>
      <c r="U17" s="13" t="inlineStr">
        <is>
          <t>Afastar…?</t>
        </is>
      </c>
      <c r="V17" s="13" t="inlineStr">
        <is>
          <t>Afastar?</t>
        </is>
      </c>
      <c r="W17" s="13" t="inlineStr">
        <is>
          <t>Afastar?</t>
        </is>
      </c>
      <c r="X17" s="13" t="inlineStr">
        <is>
          <t>Afastar?</t>
        </is>
      </c>
      <c r="Y17" s="10">
        <f>SUMPRODUCT(($H17:$Q17&lt;&gt;"")*ISERROR(SEARCH($H17:$Q17,S17)))+SUMPRODUCT(($H17:$Q17&lt;&gt;"")*ISERROR(SEARCH($H17:$Q17,T17)))+SUMPRODUCT(($H17:$Q17&lt;&gt;"")*ISERROR(SEARCH($H17:$Q17,U17)))+SUMPRODUCT(($H17:$Q17&lt;&gt;"")*ISERROR(SEARCH($H17:$Q17,V17)))+SUMPRODUCT(($H17:$Q17&lt;&gt;"")*ISERROR(SEARCH($H17:$Q17,W17)))+SUMPRODUCT(($H17:$Q17&lt;&gt;"")*ISERROR(SEARCH($H17:$Q17,X17)))</f>
        <v/>
      </c>
      <c r="Z17" s="10" t="inlineStr">
        <is>
          <t>Enquadre: &lt;i&gt;"…"&lt;/i&gt;, disse {obs}.</t>
        </is>
      </c>
    </row>
    <row r="18" ht="35.05" customHeight="1" s="8">
      <c r="A18" s="10" t="inlineStr">
        <is>
          <t>c3-p4-03</t>
        </is>
      </c>
      <c r="B18" s="10" t="n">
        <v>4</v>
      </c>
      <c r="C18" s="10" t="inlineStr">
        <is>
          <t>a marca: quem tentou afastar</t>
        </is>
      </c>
      <c r="D18" s="10" t="inlineStr">
        <is>
          <t>roteiro</t>
        </is>
      </c>
      <c r="E18" s="10" t="inlineStr">
        <is>
          <t>observadora</t>
        </is>
      </c>
      <c r="F18" s="10" t="inlineStr">
        <is>
          <t>chefe de cozinha</t>
        </is>
      </c>
      <c r="G18" s="10" t="n"/>
      <c r="H18" s="10" t="inlineStr">
        <is>
          <t>dedos</t>
        </is>
      </c>
      <c r="I18" s="10" t="inlineStr">
        <is>
          <t>para baixo</t>
        </is>
      </c>
      <c r="J18" s="10" t="inlineStr">
        <is>
          <t>se apoiou</t>
        </is>
      </c>
      <c r="K18" s="10" t="n"/>
      <c r="L18" s="10" t="n"/>
      <c r="M18" s="10" t="n"/>
      <c r="N18" s="10" t="n"/>
      <c r="O18" s="10" t="n"/>
      <c r="P18" s="10" t="n"/>
      <c r="Q18" s="10" t="n"/>
      <c r="R18" s="10" t="inlineStr">
        <is>
          <t>Os dedos estão para baixo. É mão de quem se apoiou.</t>
        </is>
      </c>
      <c r="S18" s="13" t="inlineStr">
        <is>
          <t>Os dedos estão para baixo! É mão de quem se apoiou, qualquer um vê!</t>
        </is>
      </c>
      <c r="T18" s="13" t="inlineStr">
        <is>
          <t>Os dedos… para baixo. Mão de quem se apoiou.</t>
        </is>
      </c>
      <c r="U18" s="13" t="inlineStr">
        <is>
          <t>Os dedos estão para baixo, viu? É mão de quem se apoiou, não é?</t>
        </is>
      </c>
      <c r="V18" s="13" t="inlineStr">
        <is>
          <t>Os dedos estão para baixo. É mão de quem se apoiou. Só se apoiou.</t>
        </is>
      </c>
      <c r="W18" s="13" t="inlineStr">
        <is>
          <t>Que noite comprida… Os dedos estão para baixo. É mão de quem se apoiou.</t>
        </is>
      </c>
      <c r="X18" s="13" t="inlineStr">
        <is>
          <t>Observação: dedos para baixo. Mão de quem se apoiou.</t>
        </is>
      </c>
      <c r="Y18" s="10">
        <f>SUMPRODUCT(($H18:$Q18&lt;&gt;"")*ISERROR(SEARCH($H18:$Q18,S18)))+SUMPRODUCT(($H18:$Q18&lt;&gt;"")*ISERROR(SEARCH($H18:$Q18,T18)))+SUMPRODUCT(($H18:$Q18&lt;&gt;"")*ISERROR(SEARCH($H18:$Q18,U18)))+SUMPRODUCT(($H18:$Q18&lt;&gt;"")*ISERROR(SEARCH($H18:$Q18,V18)))+SUMPRODUCT(($H18:$Q18&lt;&gt;"")*ISERROR(SEARCH($H18:$Q18,W18)))+SUMPRODUCT(($H18:$Q18&lt;&gt;"")*ISERROR(SEARCH($H18:$Q18,X18)))</f>
        <v/>
      </c>
      <c r="Z18" s="10" t="inlineStr">
        <is>
          <t>Continua a fala da Observadora, em &lt;i&gt; separado. Na P4, a frase do apoio sai daqui (c3-03 vem sem ela).</t>
        </is>
      </c>
    </row>
    <row r="19" ht="23.85" customHeight="1" s="8">
      <c r="A19" s="10" t="inlineStr">
        <is>
          <t>c3-p4-04</t>
        </is>
      </c>
      <c r="B19" s="10" t="n">
        <v>4</v>
      </c>
      <c r="C19" s="10" t="inlineStr">
        <is>
          <t>a marca: quem tentou afastar</t>
        </is>
      </c>
      <c r="D19" s="10" t="inlineStr">
        <is>
          <t>roteiro</t>
        </is>
      </c>
      <c r="E19" s="10" t="inlineStr">
        <is>
          <t>chefe_de_cozinha (implícito)</t>
        </is>
      </c>
      <c r="F19" s="10" t="inlineStr">
        <is>
          <t>observadora</t>
        </is>
      </c>
      <c r="G19" s="10" t="n"/>
      <c r="H19" s="10" t="inlineStr">
        <is>
          <t>força de expressão</t>
        </is>
      </c>
      <c r="I19" s="10" t="n"/>
      <c r="J19" s="10" t="n"/>
      <c r="K19" s="10" t="n"/>
      <c r="L19" s="10" t="n"/>
      <c r="M19" s="10" t="n"/>
      <c r="N19" s="10" t="n"/>
      <c r="O19" s="10" t="n"/>
      <c r="P19" s="10" t="n"/>
      <c r="Q19" s="10" t="n"/>
      <c r="R19" s="10" t="inlineStr">
        <is>
          <t>Força de expressão.</t>
        </is>
      </c>
      <c r="S19" s="13" t="inlineStr">
        <is>
          <t>Força de expressão!</t>
        </is>
      </c>
      <c r="T19" s="13" t="inlineStr">
        <is>
          <t>… Força de expressão.</t>
        </is>
      </c>
      <c r="U19" s="13" t="inlineStr">
        <is>
          <t>Força de expressão…</t>
        </is>
      </c>
      <c r="V19" s="13" t="inlineStr">
        <is>
          <t>Força de expressão.</t>
        </is>
      </c>
      <c r="W19" s="13" t="inlineStr">
        <is>
          <t>Hum… força de expressão.</t>
        </is>
      </c>
      <c r="X19" s="13" t="inlineStr">
        <is>
          <t>Força de expressão.</t>
        </is>
      </c>
      <c r="Y19" s="10">
        <f>SUMPRODUCT(($H19:$Q19&lt;&gt;"")*ISERROR(SEARCH($H19:$Q19,S19)))+SUMPRODUCT(($H19:$Q19&lt;&gt;"")*ISERROR(SEARCH($H19:$Q19,T19)))+SUMPRODUCT(($H19:$Q19&lt;&gt;"")*ISERROR(SEARCH($H19:$Q19,U19)))+SUMPRODUCT(($H19:$Q19&lt;&gt;"")*ISERROR(SEARCH($H19:$Q19,V19)))+SUMPRODUCT(($H19:$Q19&lt;&gt;"")*ISERROR(SEARCH($H19:$Q19,W19)))+SUMPRODUCT(($H19:$Q19&lt;&gt;"")*ISERROR(SEARCH($H19:$Q19,X19)))</f>
        <v/>
      </c>
      <c r="Z19" s="10" t="inlineStr">
        <is>
          <t>Sem verbo de dizer; resposta do Chefe de Cozinha.</t>
        </is>
      </c>
    </row>
    <row r="20" ht="23.85" customHeight="1" s="8">
      <c r="A20" s="10" t="inlineStr">
        <is>
          <t>c3-p5-01</t>
        </is>
      </c>
      <c r="B20" s="10" t="n">
        <v>5</v>
      </c>
      <c r="C20" s="10" t="inlineStr">
        <is>
          <t>a carta e o direito de moradia</t>
        </is>
      </c>
      <c r="D20" s="10" t="inlineStr">
        <is>
          <t>roteiro</t>
        </is>
      </c>
      <c r="E20" s="10" t="inlineStr">
        <is>
          <t>advogado</t>
        </is>
      </c>
      <c r="F20" s="10" t="inlineStr">
        <is>
          <t>grupo</t>
        </is>
      </c>
      <c r="G20" s="10" t="n"/>
      <c r="H20" s="10" t="inlineStr">
        <is>
          <t>direito de moradia</t>
        </is>
      </c>
      <c r="I20" s="10" t="inlineStr">
        <is>
          <t>trava</t>
        </is>
      </c>
      <c r="J20" s="10" t="inlineStr">
        <is>
          <t>venda</t>
        </is>
      </c>
      <c r="K20" s="10" t="n"/>
      <c r="L20" s="10" t="n"/>
      <c r="M20" s="10" t="n"/>
      <c r="N20" s="10" t="n"/>
      <c r="O20" s="10" t="n"/>
      <c r="P20" s="10" t="n"/>
      <c r="Q20" s="10" t="n"/>
      <c r="R20" s="10" t="inlineStr">
        <is>
          <t>Se for um direito de moradia, isso trava a venda</t>
        </is>
      </c>
      <c r="S20" s="13" t="inlineStr">
        <is>
          <t>Se for um direito de moradia, isso trava a venda, e ninguém aqui pensou nisso!</t>
        </is>
      </c>
      <c r="T20" s="13" t="inlineStr">
        <is>
          <t>Se for… direito de moradia. Isso trava a venda</t>
        </is>
      </c>
      <c r="U20" s="13" t="inlineStr">
        <is>
          <t>Se for um direito de moradia, isso trava a venda, não é? Acho que sim</t>
        </is>
      </c>
      <c r="V20" s="13" t="inlineStr">
        <is>
          <t>Se for um direito de moradia, isso trava a venda. É bom que se saiba</t>
        </is>
      </c>
      <c r="W20" s="13" t="inlineStr">
        <is>
          <t>Essas coisas demoram tanto… Se for um direito de moradia, isso trava a venda</t>
        </is>
      </c>
      <c r="X20" s="13" t="inlineStr">
        <is>
          <t>Nota jurídica: se for um direito de moradia, isso trava a venda</t>
        </is>
      </c>
      <c r="Y20" s="10">
        <f>SUMPRODUCT(($H20:$Q20&lt;&gt;"")*ISERROR(SEARCH($H20:$Q20,S20)))+SUMPRODUCT(($H20:$Q20&lt;&gt;"")*ISERROR(SEARCH($H20:$Q20,T20)))+SUMPRODUCT(($H20:$Q20&lt;&gt;"")*ISERROR(SEARCH($H20:$Q20,U20)))+SUMPRODUCT(($H20:$Q20&lt;&gt;"")*ISERROR(SEARCH($H20:$Q20,V20)))+SUMPRODUCT(($H20:$Q20&lt;&gt;"")*ISERROR(SEARCH($H20:$Q20,W20)))+SUMPRODUCT(($H20:$Q20&lt;&gt;"")*ISERROR(SEARCH($H20:$Q20,X20)))</f>
        <v/>
      </c>
      <c r="Z20" s="10" t="inlineStr">
        <is>
          <t>Enquadre: &lt;i&gt;"…"&lt;/i&gt;, disse {adv}. Sem ponto final.</t>
        </is>
      </c>
    </row>
    <row r="21" ht="23.85" customHeight="1" s="8">
      <c r="A21" s="10" t="inlineStr">
        <is>
          <t>c3-p5-02</t>
        </is>
      </c>
      <c r="B21" s="10" t="n">
        <v>5</v>
      </c>
      <c r="C21" s="10" t="inlineStr">
        <is>
          <t>a carta e o direito de moradia</t>
        </is>
      </c>
      <c r="D21" s="10" t="inlineStr">
        <is>
          <t>roteiro</t>
        </is>
      </c>
      <c r="E21" s="10" t="inlineStr">
        <is>
          <t>herdeira</t>
        </is>
      </c>
      <c r="F21" s="10" t="inlineStr">
        <is>
          <t>advogado</t>
        </is>
      </c>
      <c r="G21" s="10" t="n"/>
      <c r="H21" s="10" t="inlineStr">
        <is>
          <t>quem falou</t>
        </is>
      </c>
      <c r="I21" s="10" t="inlineStr">
        <is>
          <t>moradia</t>
        </is>
      </c>
      <c r="J21" s="10" t="n"/>
      <c r="K21" s="10" t="n"/>
      <c r="L21" s="10" t="n"/>
      <c r="M21" s="10" t="n"/>
      <c r="N21" s="10" t="n"/>
      <c r="O21" s="10" t="n"/>
      <c r="P21" s="10" t="n"/>
      <c r="Q21" s="10" t="n"/>
      <c r="R21" s="10" t="inlineStr">
        <is>
          <t>Quem falou em moradia?</t>
        </is>
      </c>
      <c r="S21" s="13" t="inlineStr">
        <is>
          <t>Quem falou em moradia?!</t>
        </is>
      </c>
      <c r="T21" s="13" t="inlineStr">
        <is>
          <t>… Quem falou em moradia?</t>
        </is>
      </c>
      <c r="U21" s="13" t="inlineStr">
        <is>
          <t>Quem falou em moradia…?</t>
        </is>
      </c>
      <c r="V21" s="13" t="inlineStr">
        <is>
          <t>Quem falou em moradia?</t>
        </is>
      </c>
      <c r="W21" s="13" t="inlineStr">
        <is>
          <t>Bem… quem falou em moradia?</t>
        </is>
      </c>
      <c r="X21" s="13" t="inlineStr">
        <is>
          <t>Quem falou em moradia?</t>
        </is>
      </c>
      <c r="Y21" s="10">
        <f>SUMPRODUCT(($H21:$Q21&lt;&gt;"")*ISERROR(SEARCH($H21:$Q21,S21)))+SUMPRODUCT(($H21:$Q21&lt;&gt;"")*ISERROR(SEARCH($H21:$Q21,T21)))+SUMPRODUCT(($H21:$Q21&lt;&gt;"")*ISERROR(SEARCH($H21:$Q21,U21)))+SUMPRODUCT(($H21:$Q21&lt;&gt;"")*ISERROR(SEARCH($H21:$Q21,V21)))+SUMPRODUCT(($H21:$Q21&lt;&gt;"")*ISERROR(SEARCH($H21:$Q21,W21)))+SUMPRODUCT(($H21:$Q21&lt;&gt;"")*ISERROR(SEARCH($H21:$Q21,X21)))</f>
        <v/>
      </c>
      <c r="Z21" s="10" t="inlineStr">
        <is>
          <t>Enquadre: &lt;i&gt;"…"&lt;/i&gt;, perguntou {her}.</t>
        </is>
      </c>
    </row>
    <row r="22" ht="23.85" customHeight="1" s="8">
      <c r="A22" s="10" t="inlineStr">
        <is>
          <t>c3-p5-03</t>
        </is>
      </c>
      <c r="B22" s="10" t="n">
        <v>5</v>
      </c>
      <c r="C22" s="10" t="inlineStr">
        <is>
          <t>a carta e o direito de moradia</t>
        </is>
      </c>
      <c r="D22" s="10" t="inlineStr">
        <is>
          <t>roteiro</t>
        </is>
      </c>
      <c r="E22" s="10" t="inlineStr">
        <is>
          <t>advogado (implícito)</t>
        </is>
      </c>
      <c r="F22" s="10" t="inlineStr">
        <is>
          <t>herdeira</t>
        </is>
      </c>
      <c r="G22" s="10" t="n"/>
      <c r="H22" s="10" t="inlineStr">
        <is>
          <t>hipótese</t>
        </is>
      </c>
      <c r="I22" s="10" t="inlineStr">
        <is>
          <t>costuma haver</t>
        </is>
      </c>
      <c r="J22" s="10" t="inlineStr">
        <is>
          <t>nesses casos</t>
        </is>
      </c>
      <c r="K22" s="10" t="n"/>
      <c r="L22" s="10" t="n"/>
      <c r="M22" s="10" t="n"/>
      <c r="N22" s="10" t="n"/>
      <c r="O22" s="10" t="n"/>
      <c r="P22" s="10" t="n"/>
      <c r="Q22" s="10" t="n"/>
      <c r="R22" s="10" t="inlineStr">
        <is>
          <t>Hipótese. É o que costuma haver nesses casos.</t>
        </is>
      </c>
      <c r="S22" s="13" t="inlineStr">
        <is>
          <t>Hipótese, ora! É o que costuma haver nesses casos!</t>
        </is>
      </c>
      <c r="T22" s="13" t="inlineStr">
        <is>
          <t>Hipótese… É o que costuma haver. Nesses casos.</t>
        </is>
      </c>
      <c r="U22" s="13" t="inlineStr">
        <is>
          <t>Só uma hipótese, desculpa. É o que costuma haver nesses casos, não é?</t>
        </is>
      </c>
      <c r="V22" s="13" t="inlineStr">
        <is>
          <t>Hipótese. É o que costuma haver nesses casos. Não acuso ninguém.</t>
        </is>
      </c>
      <c r="W22" s="13" t="inlineStr">
        <is>
          <t>Hipótese, só. Sabe como é… é o que costuma haver nesses casos.</t>
        </is>
      </c>
      <c r="X22" s="13" t="inlineStr">
        <is>
          <t>Hipótese. Fundamento: é o que costuma haver nesses casos.</t>
        </is>
      </c>
      <c r="Y22" s="10">
        <f>SUMPRODUCT(($H22:$Q22&lt;&gt;"")*ISERROR(SEARCH($H22:$Q22,S22)))+SUMPRODUCT(($H22:$Q22&lt;&gt;"")*ISERROR(SEARCH($H22:$Q22,T22)))+SUMPRODUCT(($H22:$Q22&lt;&gt;"")*ISERROR(SEARCH($H22:$Q22,U22)))+SUMPRODUCT(($H22:$Q22&lt;&gt;"")*ISERROR(SEARCH($H22:$Q22,V22)))+SUMPRODUCT(($H22:$Q22&lt;&gt;"")*ISERROR(SEARCH($H22:$Q22,W22)))+SUMPRODUCT(($H22:$Q22&lt;&gt;"")*ISERROR(SEARCH($H22:$Q22,X22)))</f>
        <v/>
      </c>
      <c r="Z22" s="10" t="inlineStr">
        <is>
          <t>Sem verbo de dizer; resposta do Advogado.</t>
        </is>
      </c>
    </row>
    <row r="23" ht="23.85" customHeight="1" s="8">
      <c r="A23" s="10" t="inlineStr">
        <is>
          <t>c3-p7-01</t>
        </is>
      </c>
      <c r="B23" s="10" t="n">
        <v>7</v>
      </c>
      <c r="C23" s="10" t="inlineStr">
        <is>
          <t>o quarto vazio, por enquanto</t>
        </is>
      </c>
      <c r="D23" s="10" t="inlineStr">
        <is>
          <t>roteiro</t>
        </is>
      </c>
      <c r="E23" s="10" t="inlineStr">
        <is>
          <t>governanta</t>
        </is>
      </c>
      <c r="F23" s="10" t="inlineStr">
        <is>
          <t>grupo</t>
        </is>
      </c>
      <c r="G23" s="10" t="n"/>
      <c r="H23" s="10" t="inlineStr">
        <is>
          <t>por enquanto</t>
        </is>
      </c>
      <c r="I23" s="10" t="n"/>
      <c r="J23" s="10" t="n"/>
      <c r="K23" s="10" t="n"/>
      <c r="L23" s="10" t="n"/>
      <c r="M23" s="10" t="n"/>
      <c r="N23" s="10" t="n"/>
      <c r="O23" s="10" t="n"/>
      <c r="P23" s="10" t="n"/>
      <c r="Q23" s="10" t="n"/>
      <c r="R23" s="10" t="inlineStr">
        <is>
          <t>Por enquanto</t>
        </is>
      </c>
      <c r="S23" s="13" t="inlineStr">
        <is>
          <t>Por enquanto!</t>
        </is>
      </c>
      <c r="T23" s="13" t="inlineStr">
        <is>
          <t>… Por enquanto</t>
        </is>
      </c>
      <c r="U23" s="13" t="inlineStr">
        <is>
          <t>Por enquanto…</t>
        </is>
      </c>
      <c r="V23" s="13" t="inlineStr">
        <is>
          <t>Por enquanto.</t>
        </is>
      </c>
      <c r="W23" s="13" t="inlineStr">
        <is>
          <t>Ah… por enquanto</t>
        </is>
      </c>
      <c r="X23" s="13" t="inlineStr">
        <is>
          <t>Por enquanto.</t>
        </is>
      </c>
      <c r="Y23" s="10">
        <f>SUMPRODUCT(($H23:$Q23&lt;&gt;"")*ISERROR(SEARCH($H23:$Q23,S23)))+SUMPRODUCT(($H23:$Q23&lt;&gt;"")*ISERROR(SEARCH($H23:$Q23,T23)))+SUMPRODUCT(($H23:$Q23&lt;&gt;"")*ISERROR(SEARCH($H23:$Q23,U23)))+SUMPRODUCT(($H23:$Q23&lt;&gt;"")*ISERROR(SEARCH($H23:$Q23,V23)))+SUMPRODUCT(($H23:$Q23&lt;&gt;"")*ISERROR(SEARCH($H23:$Q23,W23)))+SUMPRODUCT(($H23:$Q23&lt;&gt;"")*ISERROR(SEARCH($H23:$Q23,X23)))</f>
        <v/>
      </c>
      <c r="Z23" s="10" t="inlineStr">
        <is>
          <t>Enquadre: &lt;i&gt;"…"&lt;/i&gt;, disse {gov}. Sem ponto final.</t>
        </is>
      </c>
    </row>
    <row r="24" ht="15" customHeight="1" s="8">
      <c r="A24" s="10" t="inlineStr">
        <is>
          <t>c3-p7-02</t>
        </is>
      </c>
      <c r="B24" s="10" t="n">
        <v>7</v>
      </c>
      <c r="C24" s="10" t="inlineStr">
        <is>
          <t>o quarto vazio, por enquanto</t>
        </is>
      </c>
      <c r="D24" s="10" t="inlineStr">
        <is>
          <t>roteiro</t>
        </is>
      </c>
      <c r="E24" s="10" t="inlineStr">
        <is>
          <t>herdeira</t>
        </is>
      </c>
      <c r="F24" s="10" t="inlineStr">
        <is>
          <t>governanta</t>
        </is>
      </c>
      <c r="G24" s="10" t="n"/>
      <c r="H24" s="10" t="inlineStr">
        <is>
          <t>por enquanto</t>
        </is>
      </c>
      <c r="I24" s="10" t="n"/>
      <c r="J24" s="10" t="n"/>
      <c r="K24" s="10" t="n"/>
      <c r="L24" s="10" t="n"/>
      <c r="M24" s="10" t="n"/>
      <c r="N24" s="10" t="n"/>
      <c r="O24" s="10" t="n"/>
      <c r="P24" s="10" t="n"/>
      <c r="Q24" s="10" t="n"/>
      <c r="R24" s="10" t="inlineStr">
        <is>
          <t>Por enquanto?</t>
        </is>
      </c>
      <c r="S24" s="13" t="inlineStr">
        <is>
          <t>Por enquanto?!</t>
        </is>
      </c>
      <c r="T24" s="13" t="inlineStr">
        <is>
          <t>… Por enquanto?</t>
        </is>
      </c>
      <c r="U24" s="13" t="inlineStr">
        <is>
          <t>Por enquanto…?</t>
        </is>
      </c>
      <c r="V24" s="13" t="inlineStr">
        <is>
          <t>Por enquanto?</t>
        </is>
      </c>
      <c r="W24" s="13" t="inlineStr">
        <is>
          <t>Por enquanto?</t>
        </is>
      </c>
      <c r="X24" s="13" t="inlineStr">
        <is>
          <t>Por enquanto?</t>
        </is>
      </c>
      <c r="Y24" s="10">
        <f>SUMPRODUCT(($H24:$Q24&lt;&gt;"")*ISERROR(SEARCH($H24:$Q24,S24)))+SUMPRODUCT(($H24:$Q24&lt;&gt;"")*ISERROR(SEARCH($H24:$Q24,T24)))+SUMPRODUCT(($H24:$Q24&lt;&gt;"")*ISERROR(SEARCH($H24:$Q24,U24)))+SUMPRODUCT(($H24:$Q24&lt;&gt;"")*ISERROR(SEARCH($H24:$Q24,V24)))+SUMPRODUCT(($H24:$Q24&lt;&gt;"")*ISERROR(SEARCH($H24:$Q24,W24)))+SUMPRODUCT(($H24:$Q24&lt;&gt;"")*ISERROR(SEARCH($H24:$Q24,X24)))</f>
        <v/>
      </c>
      <c r="Z24" s="10" t="inlineStr">
        <is>
          <t>Enquadre: &lt;i&gt;"…"&lt;/i&gt;, perguntou {her}.</t>
        </is>
      </c>
    </row>
    <row r="25" ht="23.85" customHeight="1" s="8">
      <c r="A25" s="10" t="inlineStr">
        <is>
          <t>c3-p7-03</t>
        </is>
      </c>
      <c r="B25" s="10" t="n">
        <v>7</v>
      </c>
      <c r="C25" s="10" t="inlineStr">
        <is>
          <t>o quarto vazio, por enquanto</t>
        </is>
      </c>
      <c r="D25" s="10" t="inlineStr">
        <is>
          <t>roteiro</t>
        </is>
      </c>
      <c r="E25" s="10" t="inlineStr">
        <is>
          <t>governanta (implícito)</t>
        </is>
      </c>
      <c r="F25" s="10" t="inlineStr">
        <is>
          <t>herdeira</t>
        </is>
      </c>
      <c r="G25" s="10" t="n"/>
      <c r="H25" s="10" t="inlineStr">
        <is>
          <t>nesta casa</t>
        </is>
      </c>
      <c r="I25" s="10" t="inlineStr">
        <is>
          <t>nada fica vazio</t>
        </is>
      </c>
      <c r="J25" s="10" t="inlineStr">
        <is>
          <t>muito tempo</t>
        </is>
      </c>
      <c r="K25" s="10" t="n"/>
      <c r="L25" s="10" t="n"/>
      <c r="M25" s="10" t="n"/>
      <c r="N25" s="10" t="n"/>
      <c r="O25" s="10" t="n"/>
      <c r="P25" s="10" t="n"/>
      <c r="Q25" s="10" t="n"/>
      <c r="R25" s="10" t="inlineStr">
        <is>
          <t>Nesta casa nada fica vazio muito tempo.</t>
        </is>
      </c>
      <c r="S25" s="13" t="inlineStr">
        <is>
          <t>Nesta casa nada fica vazio muito tempo! Pode escrever!</t>
        </is>
      </c>
      <c r="T25" s="13" t="inlineStr">
        <is>
          <t>Nesta casa… nada fica vazio muito tempo.</t>
        </is>
      </c>
      <c r="U25" s="13" t="inlineStr">
        <is>
          <t>É que nesta casa nada fica vazio muito tempo, sabe?</t>
        </is>
      </c>
      <c r="V25" s="13" t="inlineStr">
        <is>
          <t>Conheço esta casa. Nesta casa nada fica vazio muito tempo.</t>
        </is>
      </c>
      <c r="W25" s="13" t="inlineStr">
        <is>
          <t>As coisas mudam, o tempo passa… Nesta casa nada fica vazio muito tempo.</t>
        </is>
      </c>
      <c r="X25" s="13" t="inlineStr">
        <is>
          <t>Constatação: nesta casa nada fica vazio muito tempo.</t>
        </is>
      </c>
      <c r="Y25" s="10">
        <f>SUMPRODUCT(($H25:$Q25&lt;&gt;"")*ISERROR(SEARCH($H25:$Q25,S25)))+SUMPRODUCT(($H25:$Q25&lt;&gt;"")*ISERROR(SEARCH($H25:$Q25,T25)))+SUMPRODUCT(($H25:$Q25&lt;&gt;"")*ISERROR(SEARCH($H25:$Q25,U25)))+SUMPRODUCT(($H25:$Q25&lt;&gt;"")*ISERROR(SEARCH($H25:$Q25,V25)))+SUMPRODUCT(($H25:$Q25&lt;&gt;"")*ISERROR(SEARCH($H25:$Q25,W25)))+SUMPRODUCT(($H25:$Q25&lt;&gt;"")*ISERROR(SEARCH($H25:$Q25,X25)))</f>
        <v/>
      </c>
      <c r="Z25" s="10" t="inlineStr">
        <is>
          <t>Sem verbo de dizer; resposta da Governanta.</t>
        </is>
      </c>
    </row>
    <row r="26" ht="35.05" customHeight="1" s="8">
      <c r="A26" s="10" t="inlineStr">
        <is>
          <t>c3-p8-01</t>
        </is>
      </c>
      <c r="B26" s="10" t="n">
        <v>8</v>
      </c>
      <c r="C26" s="10" t="inlineStr">
        <is>
          <t>a mola de fundo</t>
        </is>
      </c>
      <c r="D26" s="10" t="inlineStr">
        <is>
          <t>roteiro</t>
        </is>
      </c>
      <c r="E26" s="10" t="inlineStr">
        <is>
          <t>eletricista</t>
        </is>
      </c>
      <c r="F26" s="10" t="inlineStr">
        <is>
          <t>grupo</t>
        </is>
      </c>
      <c r="G26" s="10" t="n"/>
      <c r="H26" s="10" t="inlineStr">
        <is>
          <t>mola atrás</t>
        </is>
      </c>
      <c r="I26" s="10" t="inlineStr">
        <is>
          <t>puxando pra frente</t>
        </is>
      </c>
      <c r="J26" s="10" t="inlineStr">
        <is>
          <t>móvel sai</t>
        </is>
      </c>
      <c r="K26" s="10" t="n"/>
      <c r="L26" s="10" t="n"/>
      <c r="M26" s="10" t="n"/>
      <c r="N26" s="10" t="n"/>
      <c r="O26" s="10" t="n"/>
      <c r="P26" s="10" t="n"/>
      <c r="Q26" s="10" t="n"/>
      <c r="R26" s="10" t="inlineStr">
        <is>
          <t>Deve ter uma mola atrás, puxando pra frente quando o móvel sai</t>
        </is>
      </c>
      <c r="S26" s="13" t="inlineStr">
        <is>
          <t>Deve ter uma mola atrás, puxando pra frente quando o móvel sai! É óbvio</t>
        </is>
      </c>
      <c r="T26" s="13" t="inlineStr">
        <is>
          <t>Deve ter… uma mola atrás. Puxando pra frente… quando o móvel sai</t>
        </is>
      </c>
      <c r="U26" s="13" t="inlineStr">
        <is>
          <t>Deve ter uma mola atrás, puxando pra frente quando o móvel sai… não deve</t>
        </is>
      </c>
      <c r="V26" s="13" t="inlineStr">
        <is>
          <t>Deve ter uma mola atrás, puxando pra frente quando o móvel sai. Só pode</t>
        </is>
      </c>
      <c r="W26" s="13" t="inlineStr">
        <is>
          <t>Esse tipo de coisa, quem sabe… deve ter uma mola atrás, puxando pra frente quando o móvel sai</t>
        </is>
      </c>
      <c r="X26" s="13" t="inlineStr">
        <is>
          <t>Hipótese técnica: deve ter uma mola atrás, puxando pra frente quando o móvel sai</t>
        </is>
      </c>
      <c r="Y26" s="10">
        <f>SUMPRODUCT(($H26:$Q26&lt;&gt;"")*ISERROR(SEARCH($H26:$Q26,S26)))+SUMPRODUCT(($H26:$Q26&lt;&gt;"")*ISERROR(SEARCH($H26:$Q26,T26)))+SUMPRODUCT(($H26:$Q26&lt;&gt;"")*ISERROR(SEARCH($H26:$Q26,U26)))+SUMPRODUCT(($H26:$Q26&lt;&gt;"")*ISERROR(SEARCH($H26:$Q26,V26)))+SUMPRODUCT(($H26:$Q26&lt;&gt;"")*ISERROR(SEARCH($H26:$Q26,W26)))+SUMPRODUCT(($H26:$Q26&lt;&gt;"")*ISERROR(SEARCH($H26:$Q26,X26)))</f>
        <v/>
      </c>
      <c r="Z26" s="10" t="inlineStr">
        <is>
          <t>Enquadre: &lt;i&gt;"…"&lt;/i&gt;, disse {ele}. Sem ponto final.</t>
        </is>
      </c>
    </row>
    <row r="27" ht="23.85" customHeight="1" s="8">
      <c r="A27" s="10" t="inlineStr">
        <is>
          <t>c3-p8-02</t>
        </is>
      </c>
      <c r="B27" s="10" t="n">
        <v>8</v>
      </c>
      <c r="C27" s="10" t="inlineStr">
        <is>
          <t>a mola de fundo</t>
        </is>
      </c>
      <c r="D27" s="10" t="inlineStr">
        <is>
          <t>roteiro</t>
        </is>
      </c>
      <c r="E27" s="10" t="inlineStr">
        <is>
          <t>observadora</t>
        </is>
      </c>
      <c r="F27" s="10" t="inlineStr">
        <is>
          <t>eletricista</t>
        </is>
      </c>
      <c r="G27" s="10" t="n"/>
      <c r="H27" s="10" t="inlineStr">
        <is>
          <t>mola de fundo</t>
        </is>
      </c>
      <c r="I27" s="10" t="inlineStr">
        <is>
          <t>nenhuma</t>
        </is>
      </c>
      <c r="J27" s="10" t="inlineStr">
        <is>
          <t>nesta oficina</t>
        </is>
      </c>
      <c r="K27" s="10" t="n"/>
      <c r="L27" s="10" t="n"/>
      <c r="M27" s="10" t="n"/>
      <c r="N27" s="10" t="n"/>
      <c r="O27" s="10" t="n"/>
      <c r="P27" s="10" t="n"/>
      <c r="Q27" s="10" t="n"/>
      <c r="R27" s="10" t="inlineStr">
        <is>
          <t>Não tem mola de fundo nenhuma nesta oficina</t>
        </is>
      </c>
      <c r="S27" s="13" t="inlineStr">
        <is>
          <t>Não tem mola de fundo nenhuma nesta oficina! Nenhuma</t>
        </is>
      </c>
      <c r="T27" s="13" t="inlineStr">
        <is>
          <t>Não tem… mola de fundo nenhuma. Nesta oficina</t>
        </is>
      </c>
      <c r="U27" s="13" t="inlineStr">
        <is>
          <t>Não tem mola de fundo nenhuma nesta oficina, sabia?</t>
        </is>
      </c>
      <c r="V27" s="13" t="inlineStr">
        <is>
          <t>Não tem mola de fundo nenhuma nesta oficina. Nenhuma</t>
        </is>
      </c>
      <c r="W27" s="13" t="inlineStr">
        <is>
          <t>Oficinas antigas, cada uma com sua mania… Não tem mola de fundo nenhuma nesta oficina</t>
        </is>
      </c>
      <c r="X27" s="13" t="inlineStr">
        <is>
          <t>Registre: nenhuma mola de fundo nesta oficina</t>
        </is>
      </c>
      <c r="Y27" s="10">
        <f>SUMPRODUCT(($H27:$Q27&lt;&gt;"")*ISERROR(SEARCH($H27:$Q27,S27)))+SUMPRODUCT(($H27:$Q27&lt;&gt;"")*ISERROR(SEARCH($H27:$Q27,T27)))+SUMPRODUCT(($H27:$Q27&lt;&gt;"")*ISERROR(SEARCH($H27:$Q27,U27)))+SUMPRODUCT(($H27:$Q27&lt;&gt;"")*ISERROR(SEARCH($H27:$Q27,V27)))+SUMPRODUCT(($H27:$Q27&lt;&gt;"")*ISERROR(SEARCH($H27:$Q27,W27)))+SUMPRODUCT(($H27:$Q27&lt;&gt;"")*ISERROR(SEARCH($H27:$Q27,X27)))</f>
        <v/>
      </c>
      <c r="Z27" s="10" t="inlineStr">
        <is>
          <t>Enquadre: &lt;i&gt;"…"&lt;/i&gt;, disse {obs}. Sem ponto final.</t>
        </is>
      </c>
    </row>
    <row r="28" ht="35.05" customHeight="1" s="8">
      <c r="A28" s="10" t="inlineStr">
        <is>
          <t>c3-p8-03</t>
        </is>
      </c>
      <c r="B28" s="10" t="n">
        <v>8</v>
      </c>
      <c r="C28" s="10" t="inlineStr">
        <is>
          <t>a mola de fundo</t>
        </is>
      </c>
      <c r="D28" s="10" t="inlineStr">
        <is>
          <t>roteiro</t>
        </is>
      </c>
      <c r="E28" s="10" t="inlineStr">
        <is>
          <t>eletricista (implícito)</t>
        </is>
      </c>
      <c r="F28" s="10" t="inlineStr">
        <is>
          <t>observadora</t>
        </is>
      </c>
      <c r="G28" s="10" t="n"/>
      <c r="H28" s="10" t="inlineStr">
        <is>
          <t>todo relógio</t>
        </is>
      </c>
      <c r="I28" s="10" t="inlineStr">
        <is>
          <t>tem</t>
        </is>
      </c>
      <c r="J28" s="10" t="n"/>
      <c r="K28" s="10" t="n"/>
      <c r="L28" s="10" t="n"/>
      <c r="M28" s="10" t="n"/>
      <c r="N28" s="10" t="n"/>
      <c r="O28" s="10" t="n"/>
      <c r="P28" s="10" t="n"/>
      <c r="Q28" s="10" t="n"/>
      <c r="R28" s="10" t="inlineStr">
        <is>
          <t>Todo relógio tem.</t>
        </is>
      </c>
      <c r="S28" s="13" t="inlineStr">
        <is>
          <t>Todo relógio tem!</t>
        </is>
      </c>
      <c r="T28" s="13" t="inlineStr">
        <is>
          <t>… Todo relógio tem.</t>
        </is>
      </c>
      <c r="U28" s="13" t="inlineStr">
        <is>
          <t>Todo relógio tem…</t>
        </is>
      </c>
      <c r="V28" s="13" t="inlineStr">
        <is>
          <t>Todo relógio tem.</t>
        </is>
      </c>
      <c r="W28" s="13" t="inlineStr">
        <is>
          <t>Hum… todo relógio tem.</t>
        </is>
      </c>
      <c r="X28" s="13" t="inlineStr">
        <is>
          <t>Todo relógio tem.</t>
        </is>
      </c>
      <c r="Y28" s="10">
        <f>SUMPRODUCT(($H28:$Q28&lt;&gt;"")*ISERROR(SEARCH($H28:$Q28,S28)))+SUMPRODUCT(($H28:$Q28&lt;&gt;"")*ISERROR(SEARCH($H28:$Q28,T28)))+SUMPRODUCT(($H28:$Q28&lt;&gt;"")*ISERROR(SEARCH($H28:$Q28,U28)))+SUMPRODUCT(($H28:$Q28&lt;&gt;"")*ISERROR(SEARCH($H28:$Q28,V28)))+SUMPRODUCT(($H28:$Q28&lt;&gt;"")*ISERROR(SEARCH($H28:$Q28,W28)))+SUMPRODUCT(($H28:$Q28&lt;&gt;"")*ISERROR(SEARCH($H28:$Q28,X28)))</f>
        <v/>
      </c>
      <c r="Z28" s="10" t="inlineStr">
        <is>
          <t>No código, as duas réplicas finais estão no mesmo &lt;i&gt;: "Todo relógio tem." "Este não." Separadas aqui.</t>
        </is>
      </c>
    </row>
    <row r="29" ht="23.85" customHeight="1" s="8">
      <c r="A29" s="10" t="inlineStr">
        <is>
          <t>c3-p8-04</t>
        </is>
      </c>
      <c r="B29" s="10" t="n">
        <v>8</v>
      </c>
      <c r="C29" s="10" t="inlineStr">
        <is>
          <t>a mola de fundo</t>
        </is>
      </c>
      <c r="D29" s="10" t="inlineStr">
        <is>
          <t>roteiro</t>
        </is>
      </c>
      <c r="E29" s="10" t="inlineStr">
        <is>
          <t>observadora (implícito)</t>
        </is>
      </c>
      <c r="F29" s="10" t="inlineStr">
        <is>
          <t>eletricista</t>
        </is>
      </c>
      <c r="G29" s="10" t="n"/>
      <c r="H29" s="10" t="inlineStr">
        <is>
          <t>este não</t>
        </is>
      </c>
      <c r="I29" s="10" t="n"/>
      <c r="J29" s="10" t="n"/>
      <c r="K29" s="10" t="n"/>
      <c r="L29" s="10" t="n"/>
      <c r="M29" s="10" t="n"/>
      <c r="N29" s="10" t="n"/>
      <c r="O29" s="10" t="n"/>
      <c r="P29" s="10" t="n"/>
      <c r="Q29" s="10" t="n"/>
      <c r="R29" s="10" t="inlineStr">
        <is>
          <t>Este não.</t>
        </is>
      </c>
      <c r="S29" s="13" t="inlineStr">
        <is>
          <t>Este não!</t>
        </is>
      </c>
      <c r="T29" s="13" t="inlineStr">
        <is>
          <t>… Este não.</t>
        </is>
      </c>
      <c r="U29" s="13" t="inlineStr">
        <is>
          <t>Este não…</t>
        </is>
      </c>
      <c r="V29" s="13" t="inlineStr">
        <is>
          <t>Este não.</t>
        </is>
      </c>
      <c r="W29" s="13" t="inlineStr">
        <is>
          <t>Bem… este não.</t>
        </is>
      </c>
      <c r="X29" s="13" t="inlineStr">
        <is>
          <t>Este não.</t>
        </is>
      </c>
      <c r="Y29" s="10">
        <f>SUMPRODUCT(($H29:$Q29&lt;&gt;"")*ISERROR(SEARCH($H29:$Q29,S29)))+SUMPRODUCT(($H29:$Q29&lt;&gt;"")*ISERROR(SEARCH($H29:$Q29,T29)))+SUMPRODUCT(($H29:$Q29&lt;&gt;"")*ISERROR(SEARCH($H29:$Q29,U29)))+SUMPRODUCT(($H29:$Q29&lt;&gt;"")*ISERROR(SEARCH($H29:$Q29,V29)))+SUMPRODUCT(($H29:$Q29&lt;&gt;"")*ISERROR(SEARCH($H29:$Q29,W29)))+SUMPRODUCT(($H29:$Q29&lt;&gt;"")*ISERROR(SEARCH($H29:$Q29,X29)))</f>
        <v/>
      </c>
      <c r="Z29" s="10" t="inlineStr">
        <is>
          <t>Mesmo &lt;i&gt; da fala anterior.</t>
        </is>
      </c>
    </row>
    <row r="30" ht="23.85" customHeight="1" s="8">
      <c r="A30" s="10" t="inlineStr">
        <is>
          <t>c3-p9-01</t>
        </is>
      </c>
      <c r="B30" s="10" t="n">
        <v>9</v>
      </c>
      <c r="C30" s="10" t="inlineStr">
        <is>
          <t>o Jornalista filma a base</t>
        </is>
      </c>
      <c r="D30" s="10" t="inlineStr">
        <is>
          <t>roteiro</t>
        </is>
      </c>
      <c r="E30" s="10" t="inlineStr">
        <is>
          <t>observadora</t>
        </is>
      </c>
      <c r="F30" s="10" t="inlineStr">
        <is>
          <t>jornalista</t>
        </is>
      </c>
      <c r="G30" s="10" t="n"/>
      <c r="H30" s="10" t="inlineStr">
        <is>
          <t>filmando</t>
        </is>
      </c>
      <c r="I30" s="10" t="inlineStr">
        <is>
          <t>base</t>
        </is>
      </c>
      <c r="J30" s="10" t="inlineStr">
        <is>
          <t>carta</t>
        </is>
      </c>
      <c r="K30" s="10" t="n"/>
      <c r="L30" s="10" t="n"/>
      <c r="M30" s="10" t="n"/>
      <c r="N30" s="10" t="n"/>
      <c r="O30" s="10" t="n"/>
      <c r="P30" s="10" t="n"/>
      <c r="Q30" s="10" t="n"/>
      <c r="R30" s="10" t="inlineStr">
        <is>
          <t>Por que você está filmando a base, e não a carta?</t>
        </is>
      </c>
      <c r="S30" s="13" t="inlineStr">
        <is>
          <t>Por que você está filmando a base, e não a carta? Explica!</t>
        </is>
      </c>
      <c r="T30" s="13" t="inlineStr">
        <is>
          <t>Filmando a base… e não a carta. Por quê?</t>
        </is>
      </c>
      <c r="U30" s="13" t="inlineStr">
        <is>
          <t>Desculpa, por que você está filmando a base, e não a carta? Não entendi…</t>
        </is>
      </c>
      <c r="V30" s="13" t="inlineStr">
        <is>
          <t>Por que você está filmando a base, e não a carta? Responda.</t>
        </is>
      </c>
      <c r="W30" s="13" t="inlineStr">
        <is>
          <t>Cada um com seu jeito… mas por que você está filmando a base, e não a carta?</t>
        </is>
      </c>
      <c r="X30" s="13" t="inlineStr">
        <is>
          <t>Pergunta para registro: por que filmando a base, e não a carta?</t>
        </is>
      </c>
      <c r="Y30" s="10">
        <f>SUMPRODUCT(($H30:$Q30&lt;&gt;"")*ISERROR(SEARCH($H30:$Q30,S30)))+SUMPRODUCT(($H30:$Q30&lt;&gt;"")*ISERROR(SEARCH($H30:$Q30,T30)))+SUMPRODUCT(($H30:$Q30&lt;&gt;"")*ISERROR(SEARCH($H30:$Q30,U30)))+SUMPRODUCT(($H30:$Q30&lt;&gt;"")*ISERROR(SEARCH($H30:$Q30,V30)))+SUMPRODUCT(($H30:$Q30&lt;&gt;"")*ISERROR(SEARCH($H30:$Q30,W30)))+SUMPRODUCT(($H30:$Q30&lt;&gt;"")*ISERROR(SEARCH($H30:$Q30,X30)))</f>
        <v/>
      </c>
      <c r="Z30" s="10" t="inlineStr">
        <is>
          <t>Enquadre: {Jor} já estava agachado, filmando. &lt;i&gt;"…"&lt;/i&gt;, perguntou {obs}.</t>
        </is>
      </c>
    </row>
    <row r="31" ht="35.05" customHeight="1" s="8">
      <c r="A31" s="10" t="inlineStr">
        <is>
          <t>c3-p9-02</t>
        </is>
      </c>
      <c r="B31" s="10" t="n">
        <v>9</v>
      </c>
      <c r="C31" s="10" t="inlineStr">
        <is>
          <t>o Jornalista filma a base</t>
        </is>
      </c>
      <c r="D31" s="10" t="inlineStr">
        <is>
          <t>roteiro</t>
        </is>
      </c>
      <c r="E31" s="10" t="inlineStr">
        <is>
          <t>jornalista (implícito)</t>
        </is>
      </c>
      <c r="F31" s="10" t="inlineStr">
        <is>
          <t>observadora</t>
        </is>
      </c>
      <c r="G31" s="10" t="n"/>
      <c r="H31" s="10" t="inlineStr">
        <is>
          <t>hábito</t>
        </is>
      </c>
      <c r="I31" s="10" t="inlineStr">
        <is>
          <t>etiqueta do fabricante</t>
        </is>
      </c>
      <c r="J31" s="10" t="inlineStr">
        <is>
          <t>embaixo</t>
        </is>
      </c>
      <c r="K31" s="10" t="n"/>
      <c r="L31" s="10" t="n"/>
      <c r="M31" s="10" t="n"/>
      <c r="N31" s="10" t="n"/>
      <c r="O31" s="10" t="n"/>
      <c r="P31" s="10" t="n"/>
      <c r="Q31" s="10" t="n"/>
      <c r="R31" s="10" t="inlineStr">
        <is>
          <t>Hábito. A etiqueta do fabricante fica embaixo.</t>
        </is>
      </c>
      <c r="S31" s="13" t="inlineStr">
        <is>
          <t>Hábito! A etiqueta do fabricante fica embaixo, qual o problema?</t>
        </is>
      </c>
      <c r="T31" s="13" t="inlineStr">
        <is>
          <t>Hábito… A etiqueta do fabricante… fica embaixo.</t>
        </is>
      </c>
      <c r="U31" s="13" t="inlineStr">
        <is>
          <t>Hábito, acho. A etiqueta do fabricante fica embaixo, não fica?</t>
        </is>
      </c>
      <c r="V31" s="13" t="inlineStr">
        <is>
          <t>Hábito. A etiqueta do fabricante fica embaixo. Só isso.</t>
        </is>
      </c>
      <c r="W31" s="13" t="inlineStr">
        <is>
          <t>Hábito, só isso. A estrada, as filmagens… A etiqueta do fabricante fica embaixo.</t>
        </is>
      </c>
      <c r="X31" s="13" t="inlineStr">
        <is>
          <t>Hábito. Procedimento: a etiqueta do fabricante fica embaixo.</t>
        </is>
      </c>
      <c r="Y31" s="10">
        <f>SUMPRODUCT(($H31:$Q31&lt;&gt;"")*ISERROR(SEARCH($H31:$Q31,S31)))+SUMPRODUCT(($H31:$Q31&lt;&gt;"")*ISERROR(SEARCH($H31:$Q31,T31)))+SUMPRODUCT(($H31:$Q31&lt;&gt;"")*ISERROR(SEARCH($H31:$Q31,U31)))+SUMPRODUCT(($H31:$Q31&lt;&gt;"")*ISERROR(SEARCH($H31:$Q31,V31)))+SUMPRODUCT(($H31:$Q31&lt;&gt;"")*ISERROR(SEARCH($H31:$Q31,W31)))+SUMPRODUCT(($H31:$Q31&lt;&gt;"")*ISERROR(SEARCH($H31:$Q31,X31)))</f>
        <v/>
      </c>
      <c r="Z31" s="10" t="inlineStr">
        <is>
          <t>No código, a resposta e a réplica da Observadora estão no mesmo &lt;i&gt;. Separadas aqui.</t>
        </is>
      </c>
    </row>
    <row r="32" ht="23.85" customHeight="1" s="8">
      <c r="A32" s="10" t="inlineStr">
        <is>
          <t>c3-p9-03</t>
        </is>
      </c>
      <c r="B32" s="10" t="n">
        <v>9</v>
      </c>
      <c r="C32" s="10" t="inlineStr">
        <is>
          <t>o Jornalista filma a base</t>
        </is>
      </c>
      <c r="D32" s="10" t="inlineStr">
        <is>
          <t>roteiro</t>
        </is>
      </c>
      <c r="E32" s="10" t="inlineStr">
        <is>
          <t>observadora (implícito)</t>
        </is>
      </c>
      <c r="F32" s="10" t="inlineStr">
        <is>
          <t>jornalista</t>
        </is>
      </c>
      <c r="G32" s="10" t="n"/>
      <c r="H32" s="10" t="inlineStr">
        <is>
          <t>nesta oficina</t>
        </is>
      </c>
      <c r="I32" s="10" t="inlineStr">
        <is>
          <t>mostrador</t>
        </is>
      </c>
      <c r="J32" s="10" t="n"/>
      <c r="K32" s="10" t="n"/>
      <c r="L32" s="10" t="n"/>
      <c r="M32" s="10" t="n"/>
      <c r="N32" s="10" t="n"/>
      <c r="O32" s="10" t="n"/>
      <c r="P32" s="10" t="n"/>
      <c r="Q32" s="10" t="n"/>
      <c r="R32" s="10" t="inlineStr">
        <is>
          <t>Não nesta oficina. Fica no mostrador.</t>
        </is>
      </c>
      <c r="S32" s="13" t="inlineStr">
        <is>
          <t>Não nesta oficina! Fica no mostrador!</t>
        </is>
      </c>
      <c r="T32" s="13" t="inlineStr">
        <is>
          <t>Não nesta oficina… No mostrador.</t>
        </is>
      </c>
      <c r="U32" s="13" t="inlineStr">
        <is>
          <t>Não nesta oficina, não é? Fica no mostrador.</t>
        </is>
      </c>
      <c r="V32" s="13" t="inlineStr">
        <is>
          <t>Não nesta oficina. Aqui, fica no mostrador.</t>
        </is>
      </c>
      <c r="W32" s="13" t="inlineStr">
        <is>
          <t>Hum… não nesta oficina. Fica no mostrador.</t>
        </is>
      </c>
      <c r="X32" s="13" t="inlineStr">
        <is>
          <t>Correção: não nesta oficina. Fica no mostrador.</t>
        </is>
      </c>
      <c r="Y32" s="10">
        <f>SUMPRODUCT(($H32:$Q32&lt;&gt;"")*ISERROR(SEARCH($H32:$Q32,S32)))+SUMPRODUCT(($H32:$Q32&lt;&gt;"")*ISERROR(SEARCH($H32:$Q32,T32)))+SUMPRODUCT(($H32:$Q32&lt;&gt;"")*ISERROR(SEARCH($H32:$Q32,U32)))+SUMPRODUCT(($H32:$Q32&lt;&gt;"")*ISERROR(SEARCH($H32:$Q32,V32)))+SUMPRODUCT(($H32:$Q32&lt;&gt;"")*ISERROR(SEARCH($H32:$Q32,W32)))+SUMPRODUCT(($H32:$Q32&lt;&gt;"")*ISERROR(SEARCH($H32:$Q32,X32)))</f>
        <v/>
      </c>
      <c r="Z32" s="10" t="inlineStr">
        <is>
          <t>Mesmo &lt;i&gt; da fala anterior.</t>
        </is>
      </c>
    </row>
    <row r="33" ht="23.85" customHeight="1" s="8">
      <c r="A33" s="10" t="inlineStr">
        <is>
          <t>c3-p10-01</t>
        </is>
      </c>
      <c r="B33" s="10" t="n">
        <v>10</v>
      </c>
      <c r="C33" s="10" t="inlineStr">
        <is>
          <t>o peso que cai</t>
        </is>
      </c>
      <c r="D33" s="10" t="inlineStr">
        <is>
          <t>roteiro</t>
        </is>
      </c>
      <c r="E33" s="10" t="inlineStr">
        <is>
          <t>jardineiro</t>
        </is>
      </c>
      <c r="F33" s="10" t="inlineStr">
        <is>
          <t>grupo</t>
        </is>
      </c>
      <c r="G33" s="10" t="n"/>
      <c r="H33" s="10" t="inlineStr">
        <is>
          <t>embaixo</t>
        </is>
      </c>
      <c r="I33" s="10" t="inlineStr">
        <is>
          <t>cai</t>
        </is>
      </c>
      <c r="J33" s="10" t="n"/>
      <c r="K33" s="10" t="n"/>
      <c r="L33" s="10" t="n"/>
      <c r="M33" s="10" t="n"/>
      <c r="N33" s="10" t="n"/>
      <c r="O33" s="10" t="n"/>
      <c r="P33" s="10" t="n"/>
      <c r="Q33" s="10" t="n"/>
      <c r="R33" s="10" t="inlineStr">
        <is>
          <t>Então é embaixo que cai</t>
        </is>
      </c>
      <c r="S33" s="13" t="inlineStr">
        <is>
          <t>Então é embaixo que cai!</t>
        </is>
      </c>
      <c r="T33" s="13" t="inlineStr">
        <is>
          <t>Então… é embaixo. Que cai</t>
        </is>
      </c>
      <c r="U33" s="13" t="inlineStr">
        <is>
          <t>Então é embaixo que cai, não é?</t>
        </is>
      </c>
      <c r="V33" s="13" t="inlineStr">
        <is>
          <t>Então é embaixo que cai</t>
        </is>
      </c>
      <c r="W33" s="13" t="inlineStr">
        <is>
          <t>Ora… então é embaixo que cai</t>
        </is>
      </c>
      <c r="X33" s="13" t="inlineStr">
        <is>
          <t>Conclusão: então é embaixo que cai</t>
        </is>
      </c>
      <c r="Y33" s="10">
        <f>SUMPRODUCT(($H33:$Q33&lt;&gt;"")*ISERROR(SEARCH($H33:$Q33,S33)))+SUMPRODUCT(($H33:$Q33&lt;&gt;"")*ISERROR(SEARCH($H33:$Q33,T33)))+SUMPRODUCT(($H33:$Q33&lt;&gt;"")*ISERROR(SEARCH($H33:$Q33,U33)))+SUMPRODUCT(($H33:$Q33&lt;&gt;"")*ISERROR(SEARCH($H33:$Q33,V33)))+SUMPRODUCT(($H33:$Q33&lt;&gt;"")*ISERROR(SEARCH($H33:$Q33,W33)))+SUMPRODUCT(($H33:$Q33&lt;&gt;"")*ISERROR(SEARCH($H33:$Q33,X33)))</f>
        <v/>
      </c>
      <c r="Z33" s="10" t="inlineStr">
        <is>
          <t>Enquadre: &lt;i&gt;"…"&lt;/i&gt;, disse {jar}, da porta. Sem ponto final.</t>
        </is>
      </c>
    </row>
    <row r="34" ht="35.05" customHeight="1" s="8">
      <c r="A34" s="10" t="inlineStr">
        <is>
          <t>c3-p10-02</t>
        </is>
      </c>
      <c r="B34" s="10" t="n">
        <v>10</v>
      </c>
      <c r="C34" s="10" t="inlineStr">
        <is>
          <t>o peso que cai</t>
        </is>
      </c>
      <c r="D34" s="10" t="inlineStr">
        <is>
          <t>roteiro</t>
        </is>
      </c>
      <c r="E34" s="10" t="inlineStr">
        <is>
          <t>não atribuído (alguém do grupo)</t>
        </is>
      </c>
      <c r="F34" s="10" t="inlineStr">
        <is>
          <t>jardineiro</t>
        </is>
      </c>
      <c r="G34" s="10" t="n"/>
      <c r="H34" s="10" t="inlineStr">
        <is>
          <t>cai o quê</t>
        </is>
      </c>
      <c r="I34" s="10" t="n"/>
      <c r="J34" s="10" t="n"/>
      <c r="K34" s="10" t="n"/>
      <c r="L34" s="10" t="n"/>
      <c r="M34" s="10" t="n"/>
      <c r="N34" s="10" t="n"/>
      <c r="O34" s="10" t="n"/>
      <c r="P34" s="10" t="n"/>
      <c r="Q34" s="10" t="n"/>
      <c r="R34" s="10" t="inlineStr">
        <is>
          <t>Que cai o quê?</t>
        </is>
      </c>
      <c r="S34" s="13" t="inlineStr">
        <is>
          <t>Que cai o quê?!</t>
        </is>
      </c>
      <c r="T34" s="13" t="inlineStr">
        <is>
          <t>Que… cai o quê?</t>
        </is>
      </c>
      <c r="U34" s="13" t="inlineStr">
        <is>
          <t>Que cai o quê…?</t>
        </is>
      </c>
      <c r="V34" s="13" t="inlineStr">
        <is>
          <t>Que cai o quê?</t>
        </is>
      </c>
      <c r="W34" s="13" t="inlineStr">
        <is>
          <t>Ah… que cai o quê?</t>
        </is>
      </c>
      <c r="X34" s="13" t="inlineStr">
        <is>
          <t>Que cai o quê?</t>
        </is>
      </c>
      <c r="Y34" s="10">
        <f>SUMPRODUCT(($H34:$Q34&lt;&gt;"")*ISERROR(SEARCH($H34:$Q34,S34)))+SUMPRODUCT(($H34:$Q34&lt;&gt;"")*ISERROR(SEARCH($H34:$Q34,T34)))+SUMPRODUCT(($H34:$Q34&lt;&gt;"")*ISERROR(SEARCH($H34:$Q34,U34)))+SUMPRODUCT(($H34:$Q34&lt;&gt;"")*ISERROR(SEARCH($H34:$Q34,V34)))+SUMPRODUCT(($H34:$Q34&lt;&gt;"")*ISERROR(SEARCH($H34:$Q34,W34)))+SUMPRODUCT(($H34:$Q34&lt;&gt;"")*ISERROR(SEARCH($H34:$Q34,X34)))</f>
        <v/>
      </c>
      <c r="Z34" s="10" t="inlineStr">
        <is>
          <t>No código, pergunta e resposta estão no mesmo &lt;i&gt;, sem falante nomeado. Falante variável: sem adjetivo de gênero.</t>
        </is>
      </c>
    </row>
    <row r="35" ht="15" customHeight="1" s="8">
      <c r="A35" s="10" t="inlineStr">
        <is>
          <t>c3-p10-03</t>
        </is>
      </c>
      <c r="B35" s="10" t="n">
        <v>10</v>
      </c>
      <c r="C35" s="10" t="inlineStr">
        <is>
          <t>o peso que cai</t>
        </is>
      </c>
      <c r="D35" s="10" t="inlineStr">
        <is>
          <t>roteiro</t>
        </is>
      </c>
      <c r="E35" s="10" t="inlineStr">
        <is>
          <t>jardineiro (implícito)</t>
        </is>
      </c>
      <c r="F35" s="10" t="inlineStr">
        <is>
          <t>grupo</t>
        </is>
      </c>
      <c r="G35" s="10" t="n"/>
      <c r="H35" s="10" t="inlineStr">
        <is>
          <t>peso</t>
        </is>
      </c>
      <c r="I35" s="10" t="inlineStr">
        <is>
          <t>cai</t>
        </is>
      </c>
      <c r="J35" s="10" t="n"/>
      <c r="K35" s="10" t="n"/>
      <c r="L35" s="10" t="n"/>
      <c r="M35" s="10" t="n"/>
      <c r="N35" s="10" t="n"/>
      <c r="O35" s="10" t="n"/>
      <c r="P35" s="10" t="n"/>
      <c r="Q35" s="10" t="n"/>
      <c r="R35" s="10" t="inlineStr">
        <is>
          <t>Peso. Peso cai.</t>
        </is>
      </c>
      <c r="S35" s="13" t="inlineStr">
        <is>
          <t>Peso. Peso cai!</t>
        </is>
      </c>
      <c r="T35" s="13" t="inlineStr">
        <is>
          <t>Peso… Peso cai.</t>
        </is>
      </c>
      <c r="U35" s="13" t="inlineStr">
        <is>
          <t>Peso. Peso cai…</t>
        </is>
      </c>
      <c r="V35" s="13" t="inlineStr">
        <is>
          <t>Peso. Peso cai.</t>
        </is>
      </c>
      <c r="W35" s="13" t="inlineStr">
        <is>
          <t>Peso. Peso cai.</t>
        </is>
      </c>
      <c r="X35" s="13" t="inlineStr">
        <is>
          <t>Peso. Peso cai.</t>
        </is>
      </c>
      <c r="Y35" s="10">
        <f>SUMPRODUCT(($H35:$Q35&lt;&gt;"")*ISERROR(SEARCH($H35:$Q35,S35)))+SUMPRODUCT(($H35:$Q35&lt;&gt;"")*ISERROR(SEARCH($H35:$Q35,T35)))+SUMPRODUCT(($H35:$Q35&lt;&gt;"")*ISERROR(SEARCH($H35:$Q35,U35)))+SUMPRODUCT(($H35:$Q35&lt;&gt;"")*ISERROR(SEARCH($H35:$Q35,V35)))+SUMPRODUCT(($H35:$Q35&lt;&gt;"")*ISERROR(SEARCH($H35:$Q35,W35)))+SUMPRODUCT(($H35:$Q35&lt;&gt;"")*ISERROR(SEARCH($H35:$Q35,X35)))</f>
        <v/>
      </c>
      <c r="Z35" s="10" t="inlineStr">
        <is>
          <t>Mesmo &lt;i&gt; da fala anterior.</t>
        </is>
      </c>
    </row>
    <row r="36" ht="35.05" customHeight="1" s="8">
      <c r="A36" s="10" t="inlineStr">
        <is>
          <t>c3-p12-01</t>
        </is>
      </c>
      <c r="B36" s="10" t="n">
        <v>12</v>
      </c>
      <c r="C36" s="10" t="inlineStr">
        <is>
          <t>o fundo falso: a Observadora se adianta</t>
        </is>
      </c>
      <c r="D36" s="10" t="inlineStr">
        <is>
          <t>roteiro</t>
        </is>
      </c>
      <c r="E36" s="10" t="inlineStr">
        <is>
          <t>observadora</t>
        </is>
      </c>
      <c r="F36" s="10" t="inlineStr">
        <is>
          <t>grupo</t>
        </is>
      </c>
      <c r="G36" s="10" t="n"/>
      <c r="H36" s="10" t="inlineStr">
        <is>
          <t>trinco</t>
        </is>
      </c>
      <c r="I36" s="10" t="inlineStr">
        <is>
          <t>importa</t>
        </is>
      </c>
      <c r="J36" s="10" t="n"/>
      <c r="K36" s="10" t="n"/>
      <c r="L36" s="10" t="n"/>
      <c r="M36" s="10" t="n"/>
      <c r="N36" s="10" t="n"/>
      <c r="O36" s="10" t="n"/>
      <c r="P36" s="10" t="n"/>
      <c r="Q36" s="10" t="n"/>
      <c r="R36" s="10" t="inlineStr">
        <is>
          <t>Não é o trinco que importa</t>
        </is>
      </c>
      <c r="S36" s="13" t="inlineStr">
        <is>
          <t>Não é o trinco que importa!</t>
        </is>
      </c>
      <c r="T36" s="13" t="inlineStr">
        <is>
          <t>Não é o trinco… que importa</t>
        </is>
      </c>
      <c r="U36" s="13" t="inlineStr">
        <is>
          <t>Não é o trinco que importa, eu acho</t>
        </is>
      </c>
      <c r="V36" s="13" t="inlineStr">
        <is>
          <t>Não é o trinco que importa</t>
        </is>
      </c>
      <c r="W36" s="13" t="inlineStr">
        <is>
          <t>Trincos, trincos… não é o trinco que importa</t>
        </is>
      </c>
      <c r="X36" s="13" t="inlineStr">
        <is>
          <t>Ressalva: não é o trinco que importa</t>
        </is>
      </c>
      <c r="Y36" s="10">
        <f>SUMPRODUCT(($H36:$Q36&lt;&gt;"")*ISERROR(SEARCH($H36:$Q36,S36)))+SUMPRODUCT(($H36:$Q36&lt;&gt;"")*ISERROR(SEARCH($H36:$Q36,T36)))+SUMPRODUCT(($H36:$Q36&lt;&gt;"")*ISERROR(SEARCH($H36:$Q36,U36)))+SUMPRODUCT(($H36:$Q36&lt;&gt;"")*ISERROR(SEARCH($H36:$Q36,V36)))+SUMPRODUCT(($H36:$Q36&lt;&gt;"")*ISERROR(SEARCH($H36:$Q36,W36)))+SUMPRODUCT(($H36:$Q36&lt;&gt;"")*ISERROR(SEARCH($H36:$Q36,X36)))</f>
        <v/>
      </c>
      <c r="Z36" s="10" t="inlineStr">
        <is>
          <t>Enquadre: &lt;i&gt;"…"&lt;/i&gt;, disse {obs}, e a voz saiu mais rápida do que ela quis. Sem ponto final.</t>
        </is>
      </c>
    </row>
    <row r="37" ht="23.85" customHeight="1" s="8">
      <c r="A37" s="10" t="inlineStr">
        <is>
          <t>c3-p12-02</t>
        </is>
      </c>
      <c r="B37" s="10" t="n">
        <v>12</v>
      </c>
      <c r="C37" s="10" t="inlineStr">
        <is>
          <t>o fundo falso: a Observadora se adianta</t>
        </is>
      </c>
      <c r="D37" s="10" t="inlineStr">
        <is>
          <t>roteiro</t>
        </is>
      </c>
      <c r="E37" s="10" t="inlineStr">
        <is>
          <t>observadora</t>
        </is>
      </c>
      <c r="F37" s="10" t="inlineStr">
        <is>
          <t>grupo</t>
        </is>
      </c>
      <c r="G37" s="10" t="n"/>
      <c r="H37" s="10" t="inlineStr">
        <is>
          <t>quanto</t>
        </is>
      </c>
      <c r="I37" s="10" t="inlineStr">
        <is>
          <t>móvel</t>
        </is>
      </c>
      <c r="J37" s="10" t="inlineStr">
        <is>
          <t>sai da parede</t>
        </is>
      </c>
      <c r="K37" s="10" t="n"/>
      <c r="L37" s="10" t="n"/>
      <c r="M37" s="10" t="n"/>
      <c r="N37" s="10" t="n"/>
      <c r="O37" s="10" t="n"/>
      <c r="P37" s="10" t="n"/>
      <c r="Q37" s="10" t="n"/>
      <c r="R37" s="10" t="inlineStr">
        <is>
          <t>É o quanto o móvel sai da parede.</t>
        </is>
      </c>
      <c r="S37" s="13" t="inlineStr">
        <is>
          <t>É o quanto o móvel sai da parede, olhem!</t>
        </is>
      </c>
      <c r="T37" s="13" t="inlineStr">
        <is>
          <t>É o quanto… o móvel sai da parede.</t>
        </is>
      </c>
      <c r="U37" s="13" t="inlineStr">
        <is>
          <t>É o quanto o móvel sai da parede, não é?</t>
        </is>
      </c>
      <c r="V37" s="13" t="inlineStr">
        <is>
          <t>É o quanto o móvel sai da parede. Isso, sim.</t>
        </is>
      </c>
      <c r="W37" s="13" t="inlineStr">
        <is>
          <t>Com esse cansaço… é o quanto o móvel sai da parede.</t>
        </is>
      </c>
      <c r="X37" s="13" t="inlineStr">
        <is>
          <t>Medida relevante: o quanto o móvel sai da parede.</t>
        </is>
      </c>
      <c r="Y37" s="10">
        <f>SUMPRODUCT(($H37:$Q37&lt;&gt;"")*ISERROR(SEARCH($H37:$Q37,S37)))+SUMPRODUCT(($H37:$Q37&lt;&gt;"")*ISERROR(SEARCH($H37:$Q37,T37)))+SUMPRODUCT(($H37:$Q37&lt;&gt;"")*ISERROR(SEARCH($H37:$Q37,U37)))+SUMPRODUCT(($H37:$Q37&lt;&gt;"")*ISERROR(SEARCH($H37:$Q37,V37)))+SUMPRODUCT(($H37:$Q37&lt;&gt;"")*ISERROR(SEARCH($H37:$Q37,W37)))+SUMPRODUCT(($H37:$Q37&lt;&gt;"")*ISERROR(SEARCH($H37:$Q37,X37)))</f>
        <v/>
      </c>
      <c r="Z37" s="10" t="inlineStr">
        <is>
          <t>Continua a fala da Observadora, em &lt;i&gt; separado.</t>
        </is>
      </c>
    </row>
    <row r="38" ht="23.85" customHeight="1" s="8">
      <c r="A38" s="10" t="inlineStr">
        <is>
          <t>c3-p12-03</t>
        </is>
      </c>
      <c r="B38" s="10" t="n">
        <v>12</v>
      </c>
      <c r="C38" s="10" t="inlineStr">
        <is>
          <t>o fundo falso: a Observadora se adianta</t>
        </is>
      </c>
      <c r="D38" s="10" t="inlineStr">
        <is>
          <t>roteiro</t>
        </is>
      </c>
      <c r="E38" s="10" t="inlineStr">
        <is>
          <t>investigador</t>
        </is>
      </c>
      <c r="F38" s="10" t="inlineStr">
        <is>
          <t>observadora</t>
        </is>
      </c>
      <c r="G38" s="10" t="n"/>
      <c r="H38" s="10" t="inlineStr">
        <is>
          <t>sai da parede</t>
        </is>
      </c>
      <c r="I38" s="10" t="n"/>
      <c r="J38" s="10" t="n"/>
      <c r="K38" s="10" t="n"/>
      <c r="L38" s="10" t="n"/>
      <c r="M38" s="10" t="n"/>
      <c r="N38" s="10" t="n"/>
      <c r="O38" s="10" t="n"/>
      <c r="P38" s="10" t="n"/>
      <c r="Q38" s="10" t="n"/>
      <c r="R38" s="10" t="inlineStr">
        <is>
          <t>Sai da parede?</t>
        </is>
      </c>
      <c r="S38" s="13" t="inlineStr">
        <is>
          <t>Sai da parede?!</t>
        </is>
      </c>
      <c r="T38" s="13" t="inlineStr">
        <is>
          <t>… Sai da parede?</t>
        </is>
      </c>
      <c r="U38" s="13" t="inlineStr">
        <is>
          <t>Sai da parede…?</t>
        </is>
      </c>
      <c r="V38" s="13" t="inlineStr">
        <is>
          <t>Sai da parede?</t>
        </is>
      </c>
      <c r="W38" s="13" t="inlineStr">
        <is>
          <t>Hum… sai da parede?</t>
        </is>
      </c>
      <c r="X38" s="13" t="inlineStr">
        <is>
          <t>Sai da parede?</t>
        </is>
      </c>
      <c r="Y38" s="10">
        <f>SUMPRODUCT(($H38:$Q38&lt;&gt;"")*ISERROR(SEARCH($H38:$Q38,S38)))+SUMPRODUCT(($H38:$Q38&lt;&gt;"")*ISERROR(SEARCH($H38:$Q38,T38)))+SUMPRODUCT(($H38:$Q38&lt;&gt;"")*ISERROR(SEARCH($H38:$Q38,U38)))+SUMPRODUCT(($H38:$Q38&lt;&gt;"")*ISERROR(SEARCH($H38:$Q38,V38)))+SUMPRODUCT(($H38:$Q38&lt;&gt;"")*ISERROR(SEARCH($H38:$Q38,W38)))+SUMPRODUCT(($H38:$Q38&lt;&gt;"")*ISERROR(SEARCH($H38:$Q38,X38)))</f>
        <v/>
      </c>
      <c r="Z38" s="10" t="inlineStr">
        <is>
          <t>Enquadre: &lt;i&gt;"…"&lt;/i&gt;, perguntou {inv}.</t>
        </is>
      </c>
    </row>
    <row r="39" ht="23.85" customHeight="1" s="8">
      <c r="A39" s="10" t="inlineStr">
        <is>
          <t>c3-p12-04</t>
        </is>
      </c>
      <c r="B39" s="10" t="n">
        <v>12</v>
      </c>
      <c r="C39" s="10" t="inlineStr">
        <is>
          <t>o fundo falso: a Observadora se adianta</t>
        </is>
      </c>
      <c r="D39" s="10" t="inlineStr">
        <is>
          <t>roteiro</t>
        </is>
      </c>
      <c r="E39" s="10" t="inlineStr">
        <is>
          <t>observadora (implícito)</t>
        </is>
      </c>
      <c r="F39" s="10" t="inlineStr">
        <is>
          <t>investigador</t>
        </is>
      </c>
      <c r="G39" s="10" t="n"/>
      <c r="H39" s="10" t="inlineStr">
        <is>
          <t>caixa-alta</t>
        </is>
      </c>
      <c r="I39" s="10" t="inlineStr">
        <is>
          <t>desta oficina</t>
        </is>
      </c>
      <c r="J39" s="10" t="inlineStr">
        <is>
          <t>fundo falso</t>
        </is>
      </c>
      <c r="K39" s="10" t="inlineStr">
        <is>
          <t>padrão</t>
        </is>
      </c>
      <c r="L39" s="10" t="n"/>
      <c r="M39" s="10" t="n"/>
      <c r="N39" s="10" t="n"/>
      <c r="O39" s="10" t="n"/>
      <c r="P39" s="10" t="n"/>
      <c r="Q39" s="10" t="n"/>
      <c r="R39" s="10" t="inlineStr">
        <is>
          <t>Caixa-alta desta oficina tem fundo falso. É padrão.</t>
        </is>
      </c>
      <c r="S39" s="13" t="inlineStr">
        <is>
          <t>Caixa-alta desta oficina tem fundo falso! É padrão!</t>
        </is>
      </c>
      <c r="T39" s="13" t="inlineStr">
        <is>
          <t>Caixa-alta desta oficina… fundo falso. É padrão.</t>
        </is>
      </c>
      <c r="U39" s="13" t="inlineStr">
        <is>
          <t>Caixa-alta desta oficina tem fundo falso, sabia? É padrão.</t>
        </is>
      </c>
      <c r="V39" s="13" t="inlineStr">
        <is>
          <t>Caixa-alta desta oficina tem fundo falso. É padrão, sempre foi.</t>
        </is>
      </c>
      <c r="W39" s="13" t="inlineStr">
        <is>
          <t>Cada oficina com seus segredos… Caixa-alta desta oficina tem fundo falso. É padrão.</t>
        </is>
      </c>
      <c r="X39" s="13" t="inlineStr">
        <is>
          <t>Especificação: caixa-alta desta oficina tem fundo falso. É padrão.</t>
        </is>
      </c>
      <c r="Y39" s="10">
        <f>SUMPRODUCT(($H39:$Q39&lt;&gt;"")*ISERROR(SEARCH($H39:$Q39,S39)))+SUMPRODUCT(($H39:$Q39&lt;&gt;"")*ISERROR(SEARCH($H39:$Q39,T39)))+SUMPRODUCT(($H39:$Q39&lt;&gt;"")*ISERROR(SEARCH($H39:$Q39,U39)))+SUMPRODUCT(($H39:$Q39&lt;&gt;"")*ISERROR(SEARCH($H39:$Q39,V39)))+SUMPRODUCT(($H39:$Q39&lt;&gt;"")*ISERROR(SEARCH($H39:$Q39,W39)))+SUMPRODUCT(($H39:$Q39&lt;&gt;"")*ISERROR(SEARCH($H39:$Q39,X39)))</f>
        <v/>
      </c>
      <c r="Z39" s="10" t="inlineStr">
        <is>
          <t>No código, esta fala e a do Investigador estão no mesmo &lt;i&gt;. Separadas aqui.</t>
        </is>
      </c>
    </row>
    <row r="40" ht="23.85" customHeight="1" s="8">
      <c r="A40" s="10" t="inlineStr">
        <is>
          <t>c3-p12-05</t>
        </is>
      </c>
      <c r="B40" s="10" t="n">
        <v>12</v>
      </c>
      <c r="C40" s="10" t="inlineStr">
        <is>
          <t>o fundo falso: a Observadora se adianta</t>
        </is>
      </c>
      <c r="D40" s="10" t="inlineStr">
        <is>
          <t>roteiro</t>
        </is>
      </c>
      <c r="E40" s="10" t="inlineStr">
        <is>
          <t>investigador (implícito)</t>
        </is>
      </c>
      <c r="F40" s="10" t="inlineStr">
        <is>
          <t>observadora</t>
        </is>
      </c>
      <c r="G40" s="10" t="n"/>
      <c r="H40" s="10" t="inlineStr">
        <is>
          <t>você</t>
        </is>
      </c>
      <c r="I40" s="10" t="inlineStr">
        <is>
          <t>só conhecia</t>
        </is>
      </c>
      <c r="J40" s="10" t="inlineStr">
        <is>
          <t>peça</t>
        </is>
      </c>
      <c r="K40" s="10" t="inlineStr">
        <is>
          <t>fotografia</t>
        </is>
      </c>
      <c r="L40" s="10" t="n"/>
      <c r="M40" s="10" t="n"/>
      <c r="N40" s="10" t="n"/>
      <c r="O40" s="10" t="n"/>
      <c r="P40" s="10" t="n"/>
      <c r="Q40" s="10" t="n"/>
      <c r="R40" s="10" t="inlineStr">
        <is>
          <t>Achei que você só conhecia a peça por fotografia.</t>
        </is>
      </c>
      <c r="S40" s="13" t="inlineStr">
        <is>
          <t>Achei que você só conhecia a peça por fotografia! Não era isso?</t>
        </is>
      </c>
      <c r="T40" s="13" t="inlineStr">
        <is>
          <t>Achei que você… só conhecia a peça por fotografia.</t>
        </is>
      </c>
      <c r="U40" s="13" t="inlineStr">
        <is>
          <t>Desculpe, achei que você só conhecia a peça por fotografia… não era?</t>
        </is>
      </c>
      <c r="V40" s="13" t="inlineStr">
        <is>
          <t>Achei que você só conhecia a peça por fotografia. Não acuso; só pergunto.</t>
        </is>
      </c>
      <c r="W40" s="13" t="inlineStr">
        <is>
          <t>Engraçado… achei que você só conhecia a peça por fotografia.</t>
        </is>
      </c>
      <c r="X40" s="13" t="inlineStr">
        <is>
          <t>Divergência: achei que você só conhecia a peça por fotografia.</t>
        </is>
      </c>
      <c r="Y40" s="10">
        <f>SUMPRODUCT(($H40:$Q40&lt;&gt;"")*ISERROR(SEARCH($H40:$Q40,S40)))+SUMPRODUCT(($H40:$Q40&lt;&gt;"")*ISERROR(SEARCH($H40:$Q40,T40)))+SUMPRODUCT(($H40:$Q40&lt;&gt;"")*ISERROR(SEARCH($H40:$Q40,U40)))+SUMPRODUCT(($H40:$Q40&lt;&gt;"")*ISERROR(SEARCH($H40:$Q40,V40)))+SUMPRODUCT(($H40:$Q40&lt;&gt;"")*ISERROR(SEARCH($H40:$Q40,W40)))+SUMPRODUCT(($H40:$Q40&lt;&gt;"")*ISERROR(SEARCH($H40:$Q40,X40)))</f>
        <v/>
      </c>
      <c r="Z40" s="10" t="inlineStr">
        <is>
          <t>Mesmo &lt;i&gt; da fala anterior.</t>
        </is>
      </c>
    </row>
    <row r="41" ht="23.85" customHeight="1" s="8">
      <c r="A41" s="10" t="inlineStr">
        <is>
          <t>c3-p12-06</t>
        </is>
      </c>
      <c r="B41" s="10" t="n">
        <v>12</v>
      </c>
      <c r="C41" s="10" t="inlineStr">
        <is>
          <t>o fundo falso: a Observadora se adianta</t>
        </is>
      </c>
      <c r="D41" s="10" t="inlineStr">
        <is>
          <t>roteiro</t>
        </is>
      </c>
      <c r="E41" s="10" t="inlineStr">
        <is>
          <t>observadora</t>
        </is>
      </c>
      <c r="F41" s="10" t="inlineStr">
        <is>
          <t>investigador</t>
        </is>
      </c>
      <c r="G41" s="10" t="n"/>
      <c r="H41" s="10" t="inlineStr">
        <is>
          <t>conheço a oficina</t>
        </is>
      </c>
      <c r="I41" s="10" t="n"/>
      <c r="J41" s="10" t="n"/>
      <c r="K41" s="10" t="n"/>
      <c r="L41" s="10" t="n"/>
      <c r="M41" s="10" t="n"/>
      <c r="N41" s="10" t="n"/>
      <c r="O41" s="10" t="n"/>
      <c r="P41" s="10" t="n"/>
      <c r="Q41" s="10" t="n"/>
      <c r="R41" s="10" t="inlineStr">
        <is>
          <t>Conheço a oficina.</t>
        </is>
      </c>
      <c r="S41" s="13" t="inlineStr">
        <is>
          <t>Conheço a oficina!</t>
        </is>
      </c>
      <c r="T41" s="13" t="inlineStr">
        <is>
          <t>… Conheço a oficina.</t>
        </is>
      </c>
      <c r="U41" s="13" t="inlineStr">
        <is>
          <t>Conheço a oficina…</t>
        </is>
      </c>
      <c r="V41" s="13" t="inlineStr">
        <is>
          <t>Conheço a oficina.</t>
        </is>
      </c>
      <c r="W41" s="13" t="inlineStr">
        <is>
          <t>Bem… conheço a oficina.</t>
        </is>
      </c>
      <c r="X41" s="13" t="inlineStr">
        <is>
          <t>Conheço a oficina.</t>
        </is>
      </c>
      <c r="Y41" s="10">
        <f>SUMPRODUCT(($H41:$Q41&lt;&gt;"")*ISERROR(SEARCH($H41:$Q41,S41)))+SUMPRODUCT(($H41:$Q41&lt;&gt;"")*ISERROR(SEARCH($H41:$Q41,T41)))+SUMPRODUCT(($H41:$Q41&lt;&gt;"")*ISERROR(SEARCH($H41:$Q41,U41)))+SUMPRODUCT(($H41:$Q41&lt;&gt;"")*ISERROR(SEARCH($H41:$Q41,V41)))+SUMPRODUCT(($H41:$Q41&lt;&gt;"")*ISERROR(SEARCH($H41:$Q41,W41)))+SUMPRODUCT(($H41:$Q41&lt;&gt;"")*ISERROR(SEARCH($H41:$Q41,X41)))</f>
        <v/>
      </c>
      <c r="Z41" s="10" t="inlineStr">
        <is>
          <t>Enquadre: Ela sorriu, curta: &lt;i&gt;"…"&lt;/i&gt;</t>
        </is>
      </c>
    </row>
    <row r="42" ht="35.05" customHeight="1" s="8">
      <c r="A42" s="10" t="inlineStr">
        <is>
          <t>c3-p13-01</t>
        </is>
      </c>
      <c r="B42" s="10" t="n">
        <v>13</v>
      </c>
      <c r="C42" s="10" t="inlineStr">
        <is>
          <t>a apólice e o conteúdo</t>
        </is>
      </c>
      <c r="D42" s="10" t="inlineStr">
        <is>
          <t>roteiro</t>
        </is>
      </c>
      <c r="E42" s="10" t="inlineStr">
        <is>
          <t>investigador</t>
        </is>
      </c>
      <c r="F42" s="10" t="inlineStr">
        <is>
          <t>grupo</t>
        </is>
      </c>
      <c r="G42" s="10" t="n"/>
      <c r="H42" s="10" t="inlineStr">
        <is>
          <t>apólice</t>
        </is>
      </c>
      <c r="I42" s="10" t="inlineStr">
        <is>
          <t>cobre</t>
        </is>
      </c>
      <c r="J42" s="10" t="inlineStr">
        <is>
          <t>conteúdo</t>
        </is>
      </c>
      <c r="K42" s="10" t="inlineStr">
        <is>
          <t>também</t>
        </is>
      </c>
      <c r="L42" s="10" t="n"/>
      <c r="M42" s="10" t="n"/>
      <c r="N42" s="10" t="n"/>
      <c r="O42" s="10" t="n"/>
      <c r="P42" s="10" t="n"/>
      <c r="Q42" s="10" t="n"/>
      <c r="R42" s="10" t="inlineStr">
        <is>
          <t>Agora a apólice cobre o conteúdo também</t>
        </is>
      </c>
      <c r="S42" s="13" t="inlineStr">
        <is>
          <t>Agora a apólice cobre o conteúdo também!</t>
        </is>
      </c>
      <c r="T42" s="13" t="inlineStr">
        <is>
          <t>Agora a apólice… cobre o conteúdo também</t>
        </is>
      </c>
      <c r="U42" s="13" t="inlineStr">
        <is>
          <t>Agora a apólice cobre o conteúdo também, não é?</t>
        </is>
      </c>
      <c r="V42" s="13" t="inlineStr">
        <is>
          <t>Agora a apólice cobre o conteúdo também</t>
        </is>
      </c>
      <c r="W42" s="13" t="inlineStr">
        <is>
          <t>Seguros, essas coisas… agora a apólice cobre o conteúdo também</t>
        </is>
      </c>
      <c r="X42" s="13" t="inlineStr">
        <is>
          <t>Consta: agora a apólice cobre o conteúdo também</t>
        </is>
      </c>
      <c r="Y42" s="10">
        <f>SUMPRODUCT(($H42:$Q42&lt;&gt;"")*ISERROR(SEARCH($H42:$Q42,S42)))+SUMPRODUCT(($H42:$Q42&lt;&gt;"")*ISERROR(SEARCH($H42:$Q42,T42)))+SUMPRODUCT(($H42:$Q42&lt;&gt;"")*ISERROR(SEARCH($H42:$Q42,U42)))+SUMPRODUCT(($H42:$Q42&lt;&gt;"")*ISERROR(SEARCH($H42:$Q42,V42)))+SUMPRODUCT(($H42:$Q42&lt;&gt;"")*ISERROR(SEARCH($H42:$Q42,W42)))+SUMPRODUCT(($H42:$Q42&lt;&gt;"")*ISERROR(SEARCH($H42:$Q42,X42)))</f>
        <v/>
      </c>
      <c r="Z42" s="10" t="inlineStr">
        <is>
          <t>Enquadre: &lt;i&gt;"…"&lt;/i&gt;, disse {inv}. Sem ponto final. O texto da apólice citado depois é documento (não entra).</t>
        </is>
      </c>
    </row>
    <row r="43" ht="23.85" customHeight="1" s="8">
      <c r="A43" s="10" t="inlineStr">
        <is>
          <t>c3-p13-02</t>
        </is>
      </c>
      <c r="B43" s="10" t="n">
        <v>13</v>
      </c>
      <c r="C43" s="10" t="inlineStr">
        <is>
          <t>a apólice e o conteúdo</t>
        </is>
      </c>
      <c r="D43" s="10" t="inlineStr">
        <is>
          <t>roteiro</t>
        </is>
      </c>
      <c r="E43" s="10" t="inlineStr">
        <is>
          <t>tabeliao</t>
        </is>
      </c>
      <c r="F43" s="10" t="inlineStr">
        <is>
          <t>investigador</t>
        </is>
      </c>
      <c r="G43" s="10" t="n"/>
      <c r="H43" s="10" t="inlineStr">
        <is>
          <t>conteúdo</t>
        </is>
      </c>
      <c r="I43" s="10" t="inlineStr">
        <is>
          <t>relógio</t>
        </is>
      </c>
      <c r="J43" s="10" t="n"/>
      <c r="K43" s="10" t="n"/>
      <c r="L43" s="10" t="n"/>
      <c r="M43" s="10" t="n"/>
      <c r="N43" s="10" t="n"/>
      <c r="O43" s="10" t="n"/>
      <c r="P43" s="10" t="n"/>
      <c r="Q43" s="10" t="n"/>
      <c r="R43" s="10" t="inlineStr">
        <is>
          <t>Conteúdo de um relógio?</t>
        </is>
      </c>
      <c r="S43" s="13" t="inlineStr">
        <is>
          <t>Conteúdo de um relógio? Que história é essa?</t>
        </is>
      </c>
      <c r="T43" s="13" t="inlineStr">
        <is>
          <t>Conteúdo… de um relógio?</t>
        </is>
      </c>
      <c r="U43" s="13" t="inlineStr">
        <is>
          <t>Conteúdo de um relógio? Relógio tem conteúdo?</t>
        </is>
      </c>
      <c r="V43" s="13" t="inlineStr">
        <is>
          <t>Conteúdo de um relógio? Que conteúdo?</t>
        </is>
      </c>
      <c r="W43" s="13" t="inlineStr">
        <is>
          <t>Hum… conteúdo de um relógio?</t>
        </is>
      </c>
      <c r="X43" s="13" t="inlineStr">
        <is>
          <t>Conteúdo de um relógio? Especifique o objeto segurado.</t>
        </is>
      </c>
      <c r="Y43" s="10">
        <f>SUMPRODUCT(($H43:$Q43&lt;&gt;"")*ISERROR(SEARCH($H43:$Q43,S43)))+SUMPRODUCT(($H43:$Q43&lt;&gt;"")*ISERROR(SEARCH($H43:$Q43,T43)))+SUMPRODUCT(($H43:$Q43&lt;&gt;"")*ISERROR(SEARCH($H43:$Q43,U43)))+SUMPRODUCT(($H43:$Q43&lt;&gt;"")*ISERROR(SEARCH($H43:$Q43,V43)))+SUMPRODUCT(($H43:$Q43&lt;&gt;"")*ISERROR(SEARCH($H43:$Q43,W43)))+SUMPRODUCT(($H43:$Q43&lt;&gt;"")*ISERROR(SEARCH($H43:$Q43,X43)))</f>
        <v/>
      </c>
      <c r="Z43" s="10" t="inlineStr">
        <is>
          <t>Enquadre: &lt;i&gt;"…"&lt;/i&gt;, perguntou {tab}.</t>
        </is>
      </c>
    </row>
    <row r="44" ht="23.85" customHeight="1" s="8">
      <c r="A44" s="10" t="inlineStr">
        <is>
          <t>c3-p13-03</t>
        </is>
      </c>
      <c r="B44" s="10" t="n">
        <v>13</v>
      </c>
      <c r="C44" s="10" t="inlineStr">
        <is>
          <t>a apólice e o conteúdo</t>
        </is>
      </c>
      <c r="D44" s="10" t="inlineStr">
        <is>
          <t>roteiro</t>
        </is>
      </c>
      <c r="E44" s="10" t="inlineStr">
        <is>
          <t>investigador (implícito)</t>
        </is>
      </c>
      <c r="F44" s="10" t="inlineStr">
        <is>
          <t>tabelião</t>
        </is>
      </c>
      <c r="G44" s="10" t="n"/>
      <c r="H44" s="10" t="inlineStr">
        <is>
          <t>força de expressão</t>
        </is>
      </c>
      <c r="I44" s="10" t="n"/>
      <c r="J44" s="10" t="n"/>
      <c r="K44" s="10" t="n"/>
      <c r="L44" s="10" t="n"/>
      <c r="M44" s="10" t="n"/>
      <c r="N44" s="10" t="n"/>
      <c r="O44" s="10" t="n"/>
      <c r="P44" s="10" t="n"/>
      <c r="Q44" s="10" t="n"/>
      <c r="R44" s="10" t="inlineStr">
        <is>
          <t>Força de expressão.</t>
        </is>
      </c>
      <c r="S44" s="13" t="inlineStr">
        <is>
          <t>Força de expressão!</t>
        </is>
      </c>
      <c r="T44" s="13" t="inlineStr">
        <is>
          <t>… Força de expressão.</t>
        </is>
      </c>
      <c r="U44" s="13" t="inlineStr">
        <is>
          <t>Força de expressão…</t>
        </is>
      </c>
      <c r="V44" s="13" t="inlineStr">
        <is>
          <t>Força de expressão.</t>
        </is>
      </c>
      <c r="W44" s="13" t="inlineStr">
        <is>
          <t>Ah… força de expressão.</t>
        </is>
      </c>
      <c r="X44" s="13" t="inlineStr">
        <is>
          <t>Força de expressão.</t>
        </is>
      </c>
      <c r="Y44" s="10">
        <f>SUMPRODUCT(($H44:$Q44&lt;&gt;"")*ISERROR(SEARCH($H44:$Q44,S44)))+SUMPRODUCT(($H44:$Q44&lt;&gt;"")*ISERROR(SEARCH($H44:$Q44,T44)))+SUMPRODUCT(($H44:$Q44&lt;&gt;"")*ISERROR(SEARCH($H44:$Q44,U44)))+SUMPRODUCT(($H44:$Q44&lt;&gt;"")*ISERROR(SEARCH($H44:$Q44,V44)))+SUMPRODUCT(($H44:$Q44&lt;&gt;"")*ISERROR(SEARCH($H44:$Q44,W44)))+SUMPRODUCT(($H44:$Q44&lt;&gt;"")*ISERROR(SEARCH($H44:$Q44,X44)))</f>
        <v/>
      </c>
      <c r="Z44" s="10" t="inlineStr">
        <is>
          <t>Sem verbo de dizer; resposta do Investigador.</t>
        </is>
      </c>
    </row>
    <row r="45" ht="23.85" customHeight="1" s="8">
      <c r="A45" s="10" t="inlineStr">
        <is>
          <t>c3-p14-01</t>
        </is>
      </c>
      <c r="B45" s="10" t="n">
        <v>14</v>
      </c>
      <c r="C45" s="10" t="inlineStr">
        <is>
          <t>tirar o relógio da parede</t>
        </is>
      </c>
      <c r="D45" s="10" t="inlineStr">
        <is>
          <t>roteiro</t>
        </is>
      </c>
      <c r="E45" s="10" t="inlineStr">
        <is>
          <t>herdeira</t>
        </is>
      </c>
      <c r="F45" s="10" t="inlineStr">
        <is>
          <t>grupo</t>
        </is>
      </c>
      <c r="G45" s="10" t="n"/>
      <c r="H45" s="10" t="inlineStr">
        <is>
          <t>tirar da parede</t>
        </is>
      </c>
      <c r="I45" s="10" t="n"/>
      <c r="J45" s="10" t="n"/>
      <c r="K45" s="10" t="n"/>
      <c r="L45" s="10" t="n"/>
      <c r="M45" s="10" t="n"/>
      <c r="N45" s="10" t="n"/>
      <c r="O45" s="10" t="n"/>
      <c r="P45" s="10" t="n"/>
      <c r="Q45" s="10" t="n"/>
      <c r="R45" s="10" t="inlineStr">
        <is>
          <t>Agora é tirar da parede</t>
        </is>
      </c>
      <c r="S45" s="13" t="inlineStr">
        <is>
          <t>Agora é tirar da parede!</t>
        </is>
      </c>
      <c r="T45" s="13" t="inlineStr">
        <is>
          <t>Agora… é tirar da parede</t>
        </is>
      </c>
      <c r="U45" s="13" t="inlineStr">
        <is>
          <t>Agora é tirar da parede, não é?</t>
        </is>
      </c>
      <c r="V45" s="13" t="inlineStr">
        <is>
          <t>Agora é tirar da parede</t>
        </is>
      </c>
      <c r="W45" s="13" t="inlineStr">
        <is>
          <t>Bom… agora é tirar da parede</t>
        </is>
      </c>
      <c r="X45" s="13" t="inlineStr">
        <is>
          <t>Próximo passo: tirar da parede</t>
        </is>
      </c>
      <c r="Y45" s="10">
        <f>SUMPRODUCT(($H45:$Q45&lt;&gt;"")*ISERROR(SEARCH($H45:$Q45,S45)))+SUMPRODUCT(($H45:$Q45&lt;&gt;"")*ISERROR(SEARCH($H45:$Q45,T45)))+SUMPRODUCT(($H45:$Q45&lt;&gt;"")*ISERROR(SEARCH($H45:$Q45,U45)))+SUMPRODUCT(($H45:$Q45&lt;&gt;"")*ISERROR(SEARCH($H45:$Q45,V45)))+SUMPRODUCT(($H45:$Q45&lt;&gt;"")*ISERROR(SEARCH($H45:$Q45,W45)))+SUMPRODUCT(($H45:$Q45&lt;&gt;"")*ISERROR(SEARCH($H45:$Q45,X45)))</f>
        <v/>
      </c>
      <c r="Z45" s="10" t="inlineStr">
        <is>
          <t>Enquadre: &lt;i&gt;"…"&lt;/i&gt;, disse {her}. Sem ponto final.</t>
        </is>
      </c>
    </row>
    <row r="46" ht="15" customHeight="1" s="8">
      <c r="A46" s="10" t="inlineStr">
        <is>
          <t>c3-p14-02</t>
        </is>
      </c>
      <c r="B46" s="10" t="n">
        <v>14</v>
      </c>
      <c r="C46" s="10" t="inlineStr">
        <is>
          <t>tirar o relógio da parede</t>
        </is>
      </c>
      <c r="D46" s="10" t="inlineStr">
        <is>
          <t>roteiro</t>
        </is>
      </c>
      <c r="E46" s="10" t="inlineStr">
        <is>
          <t>advogado</t>
        </is>
      </c>
      <c r="F46" s="10" t="inlineStr">
        <is>
          <t>herdeira</t>
        </is>
      </c>
      <c r="G46" s="10" t="n"/>
      <c r="H46" s="10" t="inlineStr">
        <is>
          <t>tirar</t>
        </is>
      </c>
      <c r="I46" s="10" t="n"/>
      <c r="J46" s="10" t="n"/>
      <c r="K46" s="10" t="n"/>
      <c r="L46" s="10" t="n"/>
      <c r="M46" s="10" t="n"/>
      <c r="N46" s="10" t="n"/>
      <c r="O46" s="10" t="n"/>
      <c r="P46" s="10" t="n"/>
      <c r="Q46" s="10" t="n"/>
      <c r="R46" s="10" t="inlineStr">
        <is>
          <t>Tirar?</t>
        </is>
      </c>
      <c r="S46" s="13" t="inlineStr">
        <is>
          <t>Tirar?!</t>
        </is>
      </c>
      <c r="T46" s="13" t="inlineStr">
        <is>
          <t>…tirar?</t>
        </is>
      </c>
      <c r="U46" s="13" t="inlineStr">
        <is>
          <t>Tirar…?</t>
        </is>
      </c>
      <c r="V46" s="13" t="inlineStr">
        <is>
          <t>Tirar?</t>
        </is>
      </c>
      <c r="W46" s="13" t="inlineStr">
        <is>
          <t>Tirar?</t>
        </is>
      </c>
      <c r="X46" s="13" t="inlineStr">
        <is>
          <t>Tirar?</t>
        </is>
      </c>
      <c r="Y46" s="10">
        <f>SUMPRODUCT(($H46:$Q46&lt;&gt;"")*ISERROR(SEARCH($H46:$Q46,S46)))+SUMPRODUCT(($H46:$Q46&lt;&gt;"")*ISERROR(SEARCH($H46:$Q46,T46)))+SUMPRODUCT(($H46:$Q46&lt;&gt;"")*ISERROR(SEARCH($H46:$Q46,U46)))+SUMPRODUCT(($H46:$Q46&lt;&gt;"")*ISERROR(SEARCH($H46:$Q46,V46)))+SUMPRODUCT(($H46:$Q46&lt;&gt;"")*ISERROR(SEARCH($H46:$Q46,W46)))+SUMPRODUCT(($H46:$Q46&lt;&gt;"")*ISERROR(SEARCH($H46:$Q46,X46)))</f>
        <v/>
      </c>
      <c r="Z46" s="10" t="inlineStr">
        <is>
          <t>Enquadre: &lt;i&gt;"…"&lt;/i&gt;, perguntou {adv}.</t>
        </is>
      </c>
    </row>
    <row r="47" ht="35.05" customHeight="1" s="8">
      <c r="A47" s="10" t="inlineStr">
        <is>
          <t>c3-p14-03</t>
        </is>
      </c>
      <c r="B47" s="10" t="n">
        <v>14</v>
      </c>
      <c r="C47" s="10" t="inlineStr">
        <is>
          <t>tirar o relógio da parede</t>
        </is>
      </c>
      <c r="D47" s="10" t="inlineStr">
        <is>
          <t>roteiro</t>
        </is>
      </c>
      <c r="E47" s="10" t="inlineStr">
        <is>
          <t>herdeira (implícito)</t>
        </is>
      </c>
      <c r="F47" s="10" t="inlineStr">
        <is>
          <t>advogado</t>
        </is>
      </c>
      <c r="G47" s="10" t="n"/>
      <c r="H47" s="10" t="inlineStr">
        <is>
          <t>relógio que não anda</t>
        </is>
      </c>
      <c r="I47" s="10" t="inlineStr">
        <is>
          <t>conserto</t>
        </is>
      </c>
      <c r="J47" s="10" t="n"/>
      <c r="K47" s="10" t="n"/>
      <c r="L47" s="10" t="n"/>
      <c r="M47" s="10" t="n"/>
      <c r="N47" s="10" t="n"/>
      <c r="O47" s="10" t="n"/>
      <c r="P47" s="10" t="n"/>
      <c r="Q47" s="10" t="n"/>
      <c r="R47" s="10" t="inlineStr">
        <is>
          <t>É o que se faz com relógio que não anda. Leva para o conserto.</t>
        </is>
      </c>
      <c r="S47" s="13" t="inlineStr">
        <is>
          <t>É o que se faz com relógio que não anda! Leva para o conserto!</t>
        </is>
      </c>
      <c r="T47" s="13" t="inlineStr">
        <is>
          <t>É o que se faz… com relógio que não anda. Leva para o conserto.</t>
        </is>
      </c>
      <c r="U47" s="13" t="inlineStr">
        <is>
          <t>É o que se faz com relógio que não anda, não é? Leva para o conserto…</t>
        </is>
      </c>
      <c r="V47" s="13" t="inlineStr">
        <is>
          <t>É o que se faz com relógio que não anda: leva para o conserto. Nada de mais.</t>
        </is>
      </c>
      <c r="W47" s="13" t="inlineStr">
        <is>
          <t>Coisa antiga, sabe como é… é o que se faz com relógio que não anda. Leva para o conserto.</t>
        </is>
      </c>
      <c r="X47" s="13" t="inlineStr">
        <is>
          <t>Procedimento usual com relógio que não anda: leva para o conserto.</t>
        </is>
      </c>
      <c r="Y47" s="10">
        <f>SUMPRODUCT(($H47:$Q47&lt;&gt;"")*ISERROR(SEARCH($H47:$Q47,S47)))+SUMPRODUCT(($H47:$Q47&lt;&gt;"")*ISERROR(SEARCH($H47:$Q47,T47)))+SUMPRODUCT(($H47:$Q47&lt;&gt;"")*ISERROR(SEARCH($H47:$Q47,U47)))+SUMPRODUCT(($H47:$Q47&lt;&gt;"")*ISERROR(SEARCH($H47:$Q47,V47)))+SUMPRODUCT(($H47:$Q47&lt;&gt;"")*ISERROR(SEARCH($H47:$Q47,W47)))+SUMPRODUCT(($H47:$Q47&lt;&gt;"")*ISERROR(SEARCH($H47:$Q47,X47)))</f>
        <v/>
      </c>
      <c r="Z47" s="10" t="inlineStr">
        <is>
          <t>No código, esta fala e a do Investigador estão no mesmo &lt;i&gt;. Separadas aqui.</t>
        </is>
      </c>
    </row>
    <row r="48" ht="23.85" customHeight="1" s="8">
      <c r="A48" s="10" t="inlineStr">
        <is>
          <t>c3-p14-04</t>
        </is>
      </c>
      <c r="B48" s="10" t="n">
        <v>14</v>
      </c>
      <c r="C48" s="10" t="inlineStr">
        <is>
          <t>tirar o relógio da parede</t>
        </is>
      </c>
      <c r="D48" s="10" t="inlineStr">
        <is>
          <t>roteiro</t>
        </is>
      </c>
      <c r="E48" s="10" t="inlineStr">
        <is>
          <t>investigador</t>
        </is>
      </c>
      <c r="F48" s="10" t="inlineStr">
        <is>
          <t>herdeira</t>
        </is>
      </c>
      <c r="G48" s="10" t="n"/>
      <c r="H48" s="10" t="inlineStr">
        <is>
          <t>mas ele anda</t>
        </is>
      </c>
      <c r="I48" s="10" t="n"/>
      <c r="J48" s="10" t="n"/>
      <c r="K48" s="10" t="n"/>
      <c r="L48" s="10" t="n"/>
      <c r="M48" s="10" t="n"/>
      <c r="N48" s="10" t="n"/>
      <c r="O48" s="10" t="n"/>
      <c r="P48" s="10" t="n"/>
      <c r="Q48" s="10" t="n"/>
      <c r="R48" s="10" t="inlineStr">
        <is>
          <t>Mas ele anda</t>
        </is>
      </c>
      <c r="S48" s="13" t="inlineStr">
        <is>
          <t>Mas ele anda!</t>
        </is>
      </c>
      <c r="T48" s="13" t="inlineStr">
        <is>
          <t>… Mas ele anda</t>
        </is>
      </c>
      <c r="U48" s="13" t="inlineStr">
        <is>
          <t>Mas ele anda…</t>
        </is>
      </c>
      <c r="V48" s="13" t="inlineStr">
        <is>
          <t>Mas ele anda.</t>
        </is>
      </c>
      <c r="W48" s="13" t="inlineStr">
        <is>
          <t>Hum… mas ele anda</t>
        </is>
      </c>
      <c r="X48" s="13" t="inlineStr">
        <is>
          <t>Mas ele anda.</t>
        </is>
      </c>
      <c r="Y48" s="10">
        <f>SUMPRODUCT(($H48:$Q48&lt;&gt;"")*ISERROR(SEARCH($H48:$Q48,S48)))+SUMPRODUCT(($H48:$Q48&lt;&gt;"")*ISERROR(SEARCH($H48:$Q48,T48)))+SUMPRODUCT(($H48:$Q48&lt;&gt;"")*ISERROR(SEARCH($H48:$Q48,U48)))+SUMPRODUCT(($H48:$Q48&lt;&gt;"")*ISERROR(SEARCH($H48:$Q48,V48)))+SUMPRODUCT(($H48:$Q48&lt;&gt;"")*ISERROR(SEARCH($H48:$Q48,W48)))+SUMPRODUCT(($H48:$Q48&lt;&gt;"")*ISERROR(SEARCH($H48:$Q48,X48)))</f>
        <v/>
      </c>
      <c r="Z48" s="10" t="inlineStr">
        <is>
          <t>Enquadre: …&lt;i&gt;"…"&lt;/i&gt;, disse {inv}. Sem ponto final.</t>
        </is>
      </c>
    </row>
    <row r="49" ht="35.05" customHeight="1" s="8">
      <c r="A49" s="10" t="inlineStr">
        <is>
          <t>c3-p2-01</t>
        </is>
      </c>
      <c r="B49" s="10" t="n">
        <v>2</v>
      </c>
      <c r="C49" s="10" t="inlineStr">
        <is>
          <t>a gaveta da ata</t>
        </is>
      </c>
      <c r="D49" s="10" t="inlineStr">
        <is>
          <t>roteiro</t>
        </is>
      </c>
      <c r="E49" s="10" t="inlineStr">
        <is>
          <t>governanta</t>
        </is>
      </c>
      <c r="F49" s="10" t="inlineStr">
        <is>
          <t>tabelião</t>
        </is>
      </c>
      <c r="G49" s="10" t="inlineStr">
        <is>
          <t>M.fala==="p2"</t>
        </is>
      </c>
      <c r="H49" s="10" t="inlineStr">
        <is>
          <t>gaveta</t>
        </is>
      </c>
      <c r="I49" s="10" t="n"/>
      <c r="J49" s="10" t="n"/>
      <c r="K49" s="10" t="n"/>
      <c r="L49" s="10" t="n"/>
      <c r="M49" s="10" t="n"/>
      <c r="N49" s="10" t="n"/>
      <c r="O49" s="10" t="n"/>
      <c r="P49" s="10" t="n"/>
      <c r="Q49" s="10" t="n"/>
      <c r="R49" s="10" t="inlineStr">
        <is>
          <t>Gaveta?</t>
        </is>
      </c>
      <c r="S49" s="13" t="inlineStr">
        <is>
          <t>Gaveta?!</t>
        </is>
      </c>
      <c r="T49" s="13" t="inlineStr">
        <is>
          <t>…gaveta?</t>
        </is>
      </c>
      <c r="U49" s="13" t="inlineStr">
        <is>
          <t>Gaveta…?</t>
        </is>
      </c>
      <c r="V49" s="13" t="inlineStr">
        <is>
          <t>Gaveta?</t>
        </is>
      </c>
      <c r="W49" s="13" t="inlineStr">
        <is>
          <t>Bem… gaveta?</t>
        </is>
      </c>
      <c r="X49" s="13" t="inlineStr">
        <is>
          <t>Gaveta?</t>
        </is>
      </c>
      <c r="Y49" s="10">
        <f>SUMPRODUCT(($H49:$Q49&lt;&gt;"")*ISERROR(SEARCH($H49:$Q49,S49)))+SUMPRODUCT(($H49:$Q49&lt;&gt;"")*ISERROR(SEARCH($H49:$Q49,T49)))+SUMPRODUCT(($H49:$Q49&lt;&gt;"")*ISERROR(SEARCH($H49:$Q49,U49)))+SUMPRODUCT(($H49:$Q49&lt;&gt;"")*ISERROR(SEARCH($H49:$Q49,V49)))+SUMPRODUCT(($H49:$Q49&lt;&gt;"")*ISERROR(SEARCH($H49:$Q49,W49)))+SUMPRODUCT(($H49:$Q49&lt;&gt;"")*ISERROR(SEARCH($H49:$Q49,X49)))</f>
        <v/>
      </c>
      <c r="Z49" s="10" t="inlineStr">
        <is>
          <t>Enquadre: &lt;i&gt;"Móvel de relógio…"&lt;/i&gt;, leu {tab} na ata (leitura de documento, não entra). &lt;i&gt;"…"&lt;/i&gt;, disse {gov}.</t>
        </is>
      </c>
    </row>
    <row r="50" ht="35.05" customHeight="1" s="8">
      <c r="A50" s="10" t="inlineStr">
        <is>
          <t>c3-p2-02</t>
        </is>
      </c>
      <c r="B50" s="10" t="n">
        <v>2</v>
      </c>
      <c r="C50" s="10" t="inlineStr">
        <is>
          <t>a gaveta da ata</t>
        </is>
      </c>
      <c r="D50" s="10" t="inlineStr">
        <is>
          <t>roteiro</t>
        </is>
      </c>
      <c r="E50" s="10" t="inlineStr">
        <is>
          <t>governanta</t>
        </is>
      </c>
      <c r="F50" s="10" t="inlineStr">
        <is>
          <t>grupo</t>
        </is>
      </c>
      <c r="G50" s="10" t="inlineStr">
        <is>
          <t>M.fala==="p2"</t>
        </is>
      </c>
      <c r="H50" s="10" t="inlineStr">
        <is>
          <t>limpei</t>
        </is>
      </c>
      <c r="I50" s="10" t="inlineStr">
        <is>
          <t>trinta anos</t>
        </is>
      </c>
      <c r="J50" s="10" t="inlineStr">
        <is>
          <t>nunca vi gaveta</t>
        </is>
      </c>
      <c r="K50" s="10" t="n"/>
      <c r="L50" s="10" t="n"/>
      <c r="M50" s="10" t="n"/>
      <c r="N50" s="10" t="n"/>
      <c r="O50" s="10" t="n"/>
      <c r="P50" s="10" t="n"/>
      <c r="Q50" s="10" t="n"/>
      <c r="R50" s="10" t="inlineStr">
        <is>
          <t>Limpei esse móvel trinta anos e nunca vi gaveta.</t>
        </is>
      </c>
      <c r="S50" s="13" t="inlineStr">
        <is>
          <t>Limpei esse móvel trinta anos e nunca vi gaveta! Nunca!</t>
        </is>
      </c>
      <c r="T50" s="13" t="inlineStr">
        <is>
          <t>Limpei esse móvel… trinta anos. Nunca vi gaveta.</t>
        </is>
      </c>
      <c r="U50" s="13" t="inlineStr">
        <is>
          <t>Limpei esse móvel trinta anos e nunca vi gaveta, juro.</t>
        </is>
      </c>
      <c r="V50" s="13" t="inlineStr">
        <is>
          <t>Trinta anos. Limpei esse móvel trinta anos e nunca vi gaveta.</t>
        </is>
      </c>
      <c r="W50" s="13" t="inlineStr">
        <is>
          <t>Trinta anos passam rápido, o cansaço… Limpei esse móvel trinta anos e nunca vi gaveta.</t>
        </is>
      </c>
      <c r="X50" s="13" t="inlineStr">
        <is>
          <t>Declaro: limpei esse móvel trinta anos e nunca vi gaveta.</t>
        </is>
      </c>
      <c r="Y50" s="10">
        <f>SUMPRODUCT(($H50:$Q50&lt;&gt;"")*ISERROR(SEARCH($H50:$Q50,S50)))+SUMPRODUCT(($H50:$Q50&lt;&gt;"")*ISERROR(SEARCH($H50:$Q50,T50)))+SUMPRODUCT(($H50:$Q50&lt;&gt;"")*ISERROR(SEARCH($H50:$Q50,U50)))+SUMPRODUCT(($H50:$Q50&lt;&gt;"")*ISERROR(SEARCH($H50:$Q50,V50)))+SUMPRODUCT(($H50:$Q50&lt;&gt;"")*ISERROR(SEARCH($H50:$Q50,W50)))+SUMPRODUCT(($H50:$Q50&lt;&gt;"")*ISERROR(SEARCH($H50:$Q50,X50)))</f>
        <v/>
      </c>
      <c r="Z50" s="10" t="inlineStr">
        <is>
          <t>Continua a fala da Governanta, em &lt;i&gt; separado.</t>
        </is>
      </c>
    </row>
    <row r="51" ht="57.45" customHeight="1" s="8">
      <c r="A51" s="10" t="inlineStr">
        <is>
          <t>c3-p2-03</t>
        </is>
      </c>
      <c r="B51" s="10" t="n">
        <v>2</v>
      </c>
      <c r="C51" s="10" t="inlineStr">
        <is>
          <t>a gaveta da ata</t>
        </is>
      </c>
      <c r="D51" s="10" t="inlineStr">
        <is>
          <t>roteiro</t>
        </is>
      </c>
      <c r="E51" s="10" t="inlineStr">
        <is>
          <t>investigador</t>
        </is>
      </c>
      <c r="F51" s="10" t="inlineStr">
        <is>
          <t>grupo</t>
        </is>
      </c>
      <c r="G51" s="10" t="inlineStr">
        <is>
          <t>M.fala==="p2"</t>
        </is>
      </c>
      <c r="H51" s="10" t="inlineStr">
        <is>
          <t>aqui diz</t>
        </is>
      </c>
      <c r="I51" s="10" t="inlineStr">
        <is>
          <t>móvel de relógio</t>
        </is>
      </c>
      <c r="J51" s="10" t="inlineStr">
        <is>
          <t>caixa alta</t>
        </is>
      </c>
      <c r="K51" s="10" t="inlineStr">
        <is>
          <t>nogueira</t>
        </is>
      </c>
      <c r="L51" s="10" t="inlineStr">
        <is>
          <t>onde está a gaveta</t>
        </is>
      </c>
      <c r="M51" s="10" t="n"/>
      <c r="N51" s="10" t="n"/>
      <c r="O51" s="10" t="n"/>
      <c r="P51" s="10" t="n"/>
      <c r="Q51" s="10" t="n"/>
      <c r="R51" s="10" t="inlineStr">
        <is>
          <t>Aqui diz 'móvel de relógio, caixa alta, nogueira'. Onde está a gaveta?</t>
        </is>
      </c>
      <c r="S51" s="13" t="inlineStr">
        <is>
          <t>Aqui diz 'móvel de relógio, caixa alta, nogueira'! Onde está a gaveta?</t>
        </is>
      </c>
      <c r="T51" s="13" t="inlineStr">
        <is>
          <t>Aqui diz… 'móvel de relógio, caixa alta, nogueira'. Onde está a gaveta?</t>
        </is>
      </c>
      <c r="U51" s="13" t="inlineStr">
        <is>
          <t>Aqui diz 'móvel de relógio, caixa alta, nogueira', não é? Onde está a gaveta?</t>
        </is>
      </c>
      <c r="V51" s="13" t="inlineStr">
        <is>
          <t>Aqui diz 'móvel de relógio, caixa alta, nogueira'. Onde está a gaveta? Quero ver.</t>
        </is>
      </c>
      <c r="W51" s="13" t="inlineStr">
        <is>
          <t>Lendo devagar… aqui diz 'móvel de relógio, caixa alta, nogueira'. Onde está a gaveta?</t>
        </is>
      </c>
      <c r="X51" s="13" t="inlineStr">
        <is>
          <t>Confronto: aqui diz 'móvel de relógio, caixa alta, nogueira'. Onde está a gaveta?</t>
        </is>
      </c>
      <c r="Y51" s="10">
        <f>SUMPRODUCT(($H51:$Q51&lt;&gt;"")*ISERROR(SEARCH($H51:$Q51,S51)))+SUMPRODUCT(($H51:$Q51&lt;&gt;"")*ISERROR(SEARCH($H51:$Q51,T51)))+SUMPRODUCT(($H51:$Q51&lt;&gt;"")*ISERROR(SEARCH($H51:$Q51,U51)))+SUMPRODUCT(($H51:$Q51&lt;&gt;"")*ISERROR(SEARCH($H51:$Q51,V51)))+SUMPRODUCT(($H51:$Q51&lt;&gt;"")*ISERROR(SEARCH($H51:$Q51,W51)))+SUMPRODUCT(($H51:$Q51&lt;&gt;"")*ISERROR(SEARCH($H51:$Q51,X51)))</f>
        <v/>
      </c>
      <c r="Z51" s="10" t="inlineStr">
        <is>
          <t>Enquadre: {Obs} a achou, rente à base: uma gaveta rasa, vazia. {Inv} pegou a lista impressa: &lt;i&gt;"…"&lt;/i&gt;. No código, as aspas simples internas são \'. A citação da lista fica literal em todas as versões.</t>
        </is>
      </c>
    </row>
    <row r="52" ht="35.05" customHeight="1" s="8">
      <c r="A52" s="10" t="inlineStr">
        <is>
          <t>c3-p2-04</t>
        </is>
      </c>
      <c r="B52" s="10" t="n">
        <v>2</v>
      </c>
      <c r="C52" s="10" t="inlineStr">
        <is>
          <t>a gaveta da ata</t>
        </is>
      </c>
      <c r="D52" s="10" t="inlineStr">
        <is>
          <t>roteiro</t>
        </is>
      </c>
      <c r="E52" s="10" t="inlineStr">
        <is>
          <t>não atribuído (provavelmente o Tabelião)</t>
        </is>
      </c>
      <c r="F52" s="10" t="inlineStr">
        <is>
          <t>investigador</t>
        </is>
      </c>
      <c r="G52" s="10" t="inlineStr">
        <is>
          <t>M.fala==="p2"</t>
        </is>
      </c>
      <c r="H52" s="10" t="inlineStr">
        <is>
          <t>original</t>
        </is>
      </c>
      <c r="I52" s="10" t="inlineStr">
        <is>
          <t>cartório</t>
        </is>
      </c>
      <c r="J52" s="10" t="n"/>
      <c r="K52" s="10" t="n"/>
      <c r="L52" s="10" t="n"/>
      <c r="M52" s="10" t="n"/>
      <c r="N52" s="10" t="n"/>
      <c r="O52" s="10" t="n"/>
      <c r="P52" s="10" t="n"/>
      <c r="Q52" s="10" t="n"/>
      <c r="R52" s="10" t="inlineStr">
        <is>
          <t>No original. No cartório.</t>
        </is>
      </c>
      <c r="S52" s="13" t="inlineStr">
        <is>
          <t>No original! No cartório!</t>
        </is>
      </c>
      <c r="T52" s="13" t="inlineStr">
        <is>
          <t>No original… No cartório.</t>
        </is>
      </c>
      <c r="U52" s="13" t="inlineStr">
        <is>
          <t>No original, acho. No cartório.</t>
        </is>
      </c>
      <c r="V52" s="13" t="inlineStr">
        <is>
          <t>No original. No cartório.</t>
        </is>
      </c>
      <c r="W52" s="13" t="inlineStr">
        <is>
          <t>Ah… no original. No cartório.</t>
        </is>
      </c>
      <c r="X52" s="13" t="inlineStr">
        <is>
          <t>Consta no original. No cartório.</t>
        </is>
      </c>
      <c r="Y52" s="10">
        <f>SUMPRODUCT(($H52:$Q52&lt;&gt;"")*ISERROR(SEARCH($H52:$Q52,S52)))+SUMPRODUCT(($H52:$Q52&lt;&gt;"")*ISERROR(SEARCH($H52:$Q52,T52)))+SUMPRODUCT(($H52:$Q52&lt;&gt;"")*ISERROR(SEARCH($H52:$Q52,U52)))+SUMPRODUCT(($H52:$Q52&lt;&gt;"")*ISERROR(SEARCH($H52:$Q52,V52)))+SUMPRODUCT(($H52:$Q52&lt;&gt;"")*ISERROR(SEARCH($H52:$Q52,W52)))+SUMPRODUCT(($H52:$Q52&lt;&gt;"")*ISERROR(SEARCH($H52:$Q52,X52)))</f>
        <v/>
      </c>
      <c r="Z52" s="10" t="inlineStr">
        <is>
          <t>No código, pergunta e resposta estão no mesmo &lt;i&gt;, sem falante nomeado. Falante variável: sem adjetivo de gênero.</t>
        </is>
      </c>
    </row>
    <row r="53" ht="35.05" customHeight="1" s="8">
      <c r="A53" s="10" t="inlineStr">
        <is>
          <t>c4-p12-01</t>
        </is>
      </c>
      <c r="B53" s="10" t="n">
        <v>12</v>
      </c>
      <c r="C53" s="10" t="inlineStr">
        <is>
          <t>a trilha fresca: a Observadora discorda</t>
        </is>
      </c>
      <c r="D53" s="10" t="inlineStr">
        <is>
          <t>roteiro</t>
        </is>
      </c>
      <c r="E53" s="10" t="inlineStr">
        <is>
          <t>observadora</t>
        </is>
      </c>
      <c r="F53" s="10" t="inlineStr">
        <is>
          <t>grupo</t>
        </is>
      </c>
      <c r="G53" s="10" t="inlineStr">
        <is>
          <t>P===12</t>
        </is>
      </c>
      <c r="H53" s="10" t="inlineStr">
        <is>
          <t>essa outra</t>
        </is>
      </c>
      <c r="I53" s="10" t="inlineStr">
        <is>
          <t>não é de hoje</t>
        </is>
      </c>
      <c r="J53" s="10" t="n"/>
      <c r="K53" s="10" t="n"/>
      <c r="L53" s="10" t="n"/>
      <c r="M53" s="10" t="n"/>
      <c r="N53" s="10" t="n"/>
      <c r="O53" s="10" t="n"/>
      <c r="P53" s="10" t="n"/>
      <c r="Q53" s="10" t="n"/>
      <c r="R53" s="10" t="inlineStr">
        <is>
          <t>Essa outra não é de hoje</t>
        </is>
      </c>
      <c r="S53" s="13" t="inlineStr">
        <is>
          <t>Essa outra não é de hoje!</t>
        </is>
      </c>
      <c r="T53" s="13" t="inlineStr">
        <is>
          <t>Essa outra… não é de hoje</t>
        </is>
      </c>
      <c r="U53" s="13" t="inlineStr">
        <is>
          <t>Essa outra não é de hoje, sabia?</t>
        </is>
      </c>
      <c r="V53" s="13" t="inlineStr">
        <is>
          <t>Essa outra não é de hoje</t>
        </is>
      </c>
      <c r="W53" s="13" t="inlineStr">
        <is>
          <t>Bem… essa outra não é de hoje</t>
        </is>
      </c>
      <c r="X53" s="13" t="inlineStr">
        <is>
          <t>Para a ata: essa outra não é de hoje</t>
        </is>
      </c>
      <c r="Y53" s="10">
        <f>SUMPRODUCT(($H53:$Q53&lt;&gt;"")*ISERROR(SEARCH($H53:$Q53,S53)))+SUMPRODUCT(($H53:$Q53&lt;&gt;"")*ISERROR(SEARCH($H53:$Q53,T53)))+SUMPRODUCT(($H53:$Q53&lt;&gt;"")*ISERROR(SEARCH($H53:$Q53,U53)))+SUMPRODUCT(($H53:$Q53&lt;&gt;"")*ISERROR(SEARCH($H53:$Q53,V53)))+SUMPRODUCT(($H53:$Q53&lt;&gt;"")*ISERROR(SEARCH($H53:$Q53,W53)))+SUMPRODUCT(($H53:$Q53&lt;&gt;"")*ISERROR(SEARCH($H53:$Q53,X53)))</f>
        <v/>
      </c>
      <c r="Z53" s="10" t="inlineStr">
        <is>
          <t>Enquadre: &lt;i&gt;"…"&lt;/i&gt;, disse {obs}, abaixando-se com a saia recolhida. Sem ponto final.</t>
        </is>
      </c>
    </row>
    <row r="54" ht="46.25" customHeight="1" s="8">
      <c r="A54" s="10" t="inlineStr">
        <is>
          <t>c4-p12-02</t>
        </is>
      </c>
      <c r="B54" s="10" t="n">
        <v>12</v>
      </c>
      <c r="C54" s="10" t="inlineStr">
        <is>
          <t>a trilha fresca: a Observadora discorda</t>
        </is>
      </c>
      <c r="D54" s="10" t="inlineStr">
        <is>
          <t>roteiro</t>
        </is>
      </c>
      <c r="E54" s="10" t="inlineStr">
        <is>
          <t>observadora</t>
        </is>
      </c>
      <c r="F54" s="10" t="inlineStr">
        <is>
          <t>grupo</t>
        </is>
      </c>
      <c r="G54" s="10" t="inlineStr">
        <is>
          <t>P===12</t>
        </is>
      </c>
      <c r="H54" s="10" t="inlineStr">
        <is>
          <t>borda</t>
        </is>
      </c>
      <c r="I54" s="10" t="inlineStr">
        <is>
          <t>gasta</t>
        </is>
      </c>
      <c r="J54" s="10" t="inlineStr">
        <is>
          <t>ontem</t>
        </is>
      </c>
      <c r="K54" s="10" t="inlineStr">
        <is>
          <t>talvez anteontem</t>
        </is>
      </c>
      <c r="L54" s="10" t="n"/>
      <c r="M54" s="10" t="n"/>
      <c r="N54" s="10" t="n"/>
      <c r="O54" s="10" t="n"/>
      <c r="P54" s="10" t="n"/>
      <c r="Q54" s="10" t="n"/>
      <c r="R54" s="10" t="inlineStr">
        <is>
          <t>Olhe a borda. Está gasta. Ontem, talvez anteontem.</t>
        </is>
      </c>
      <c r="S54" s="13" t="inlineStr">
        <is>
          <t>Olhe a borda! Está gasta! Ontem, talvez anteontem!</t>
        </is>
      </c>
      <c r="T54" s="13" t="inlineStr">
        <is>
          <t>Olhe a borda… gasta. Ontem… talvez anteontem.</t>
        </is>
      </c>
      <c r="U54" s="13" t="inlineStr">
        <is>
          <t>Olhe a borda, está gasta, não está? Ontem, talvez anteontem…</t>
        </is>
      </c>
      <c r="V54" s="13" t="inlineStr">
        <is>
          <t>Olhe a borda. Está gasta. Ontem, talvez anteontem.</t>
        </is>
      </c>
      <c r="W54" s="13" t="inlineStr">
        <is>
          <t>Que umidade… Olhe a borda. Está gasta. Ontem, talvez anteontem.</t>
        </is>
      </c>
      <c r="X54" s="13" t="inlineStr">
        <is>
          <t>Borda: gasta. Data estimada: ontem, talvez anteontem.</t>
        </is>
      </c>
      <c r="Y54" s="10">
        <f>SUMPRODUCT(($H54:$Q54&lt;&gt;"")*ISERROR(SEARCH($H54:$Q54,S54)))+SUMPRODUCT(($H54:$Q54&lt;&gt;"")*ISERROR(SEARCH($H54:$Q54,T54)))+SUMPRODUCT(($H54:$Q54&lt;&gt;"")*ISERROR(SEARCH($H54:$Q54,U54)))+SUMPRODUCT(($H54:$Q54&lt;&gt;"")*ISERROR(SEARCH($H54:$Q54,V54)))+SUMPRODUCT(($H54:$Q54&lt;&gt;"")*ISERROR(SEARCH($H54:$Q54,W54)))+SUMPRODUCT(($H54:$Q54&lt;&gt;"")*ISERROR(SEARCH($H54:$Q54,X54)))</f>
        <v/>
      </c>
      <c r="Z54" s="10" t="inlineStr">
        <is>
          <t>Continua a fala, em &lt;i&gt; separado. Depois: {Jar} apontou a lanterna para dentro de uma das pegadas… (narração).</t>
        </is>
      </c>
    </row>
    <row r="55" ht="46.25" customHeight="1" s="8">
      <c r="A55" s="10" t="inlineStr">
        <is>
          <t>c4-p12-03</t>
        </is>
      </c>
      <c r="B55" s="10" t="n">
        <v>12</v>
      </c>
      <c r="C55" s="10" t="inlineStr">
        <is>
          <t>a trilha fresca: o Jardineiro rebate</t>
        </is>
      </c>
      <c r="D55" s="10" t="inlineStr">
        <is>
          <t>roteiro</t>
        </is>
      </c>
      <c r="E55" s="10" t="inlineStr">
        <is>
          <t>jardineiro</t>
        </is>
      </c>
      <c r="F55" s="10" t="inlineStr">
        <is>
          <t>observadora</t>
        </is>
      </c>
      <c r="G55" s="10" t="inlineStr">
        <is>
          <t>P===12</t>
        </is>
      </c>
      <c r="H55" s="10" t="inlineStr">
        <is>
          <t>pegada de anteontem</t>
        </is>
      </c>
      <c r="I55" s="10" t="inlineStr">
        <is>
          <t>chuva</t>
        </is>
      </c>
      <c r="J55" s="10" t="inlineStr">
        <is>
          <t>virado poça</t>
        </is>
      </c>
      <c r="K55" s="10" t="inlineStr">
        <is>
          <t>desenho de sola</t>
        </is>
      </c>
      <c r="L55" s="10" t="n"/>
      <c r="M55" s="10" t="n"/>
      <c r="N55" s="10" t="n"/>
      <c r="O55" s="10" t="n"/>
      <c r="P55" s="10" t="n"/>
      <c r="Q55" s="10" t="n"/>
      <c r="R55" s="10" t="inlineStr">
        <is>
          <t>Com todo respeito. Pegada de anteontem, com essa chuva, já tinha virado poça. Esta aqui ainda tem desenho de sola.</t>
        </is>
      </c>
      <c r="S55" s="13" t="inlineStr">
        <is>
          <t>Pegada de anteontem, com essa chuva, já tinha virado poça! Esta aqui ainda tem desenho de sola!</t>
        </is>
      </c>
      <c r="T55" s="13" t="inlineStr">
        <is>
          <t>Com respeito… Pegada de anteontem, com essa chuva… já tinha virado poça. Esta… ainda tem desenho de sola.</t>
        </is>
      </c>
      <c r="U55" s="13" t="inlineStr">
        <is>
          <t>Desculpe, mas pegada de anteontem, com essa chuva, já tinha virado poça, não é? Esta aqui ainda tem desenho de sola.</t>
        </is>
      </c>
      <c r="V55" s="13" t="inlineStr">
        <is>
          <t>Com todo respeito. Pegada de anteontem, com essa chuva, já tinha virado poça. Esta aqui ainda tem desenho de sola.</t>
        </is>
      </c>
      <c r="W55" s="13" t="inlineStr">
        <is>
          <t>Com todo respeito… terra é teimosa. Pegada de anteontem, com essa chuva, já tinha virado poça. Esta aqui ainda tem desenho de sola.</t>
        </is>
      </c>
      <c r="X55" s="13" t="inlineStr">
        <is>
          <t>Com todo respeito: pegada de anteontem, com essa chuva, já tinha virado poça. Esta aqui ainda tem desenho de sola.</t>
        </is>
      </c>
      <c r="Y55" s="10">
        <f>SUMPRODUCT(($H55:$Q55&lt;&gt;"")*ISERROR(SEARCH($H55:$Q55,S55)))+SUMPRODUCT(($H55:$Q55&lt;&gt;"")*ISERROR(SEARCH($H55:$Q55,T55)))+SUMPRODUCT(($H55:$Q55&lt;&gt;"")*ISERROR(SEARCH($H55:$Q55,U55)))+SUMPRODUCT(($H55:$Q55&lt;&gt;"")*ISERROR(SEARCH($H55:$Q55,V55)))+SUMPRODUCT(($H55:$Q55&lt;&gt;"")*ISERROR(SEARCH($H55:$Q55,W55)))+SUMPRODUCT(($H55:$Q55&lt;&gt;"")*ISERROR(SEARCH($H55:$Q55,X55)))</f>
        <v/>
      </c>
      <c r="Z55" s="10" t="inlineStr">
        <is>
          <t>Sem verbo de dizer; fala do Jardineiro (vem logo depois dele, na cena).</t>
        </is>
      </c>
    </row>
    <row r="56" ht="23.85" customHeight="1" s="8">
      <c r="A56" s="10" t="inlineStr">
        <is>
          <t>c4-p12-04</t>
        </is>
      </c>
      <c r="B56" s="10" t="n">
        <v>12</v>
      </c>
      <c r="C56" s="10" t="inlineStr">
        <is>
          <t>a trilha fresca: o Jardineiro rebate</t>
        </is>
      </c>
      <c r="D56" s="10" t="inlineStr">
        <is>
          <t>roteiro</t>
        </is>
      </c>
      <c r="E56" s="10" t="inlineStr">
        <is>
          <t>observadora</t>
        </is>
      </c>
      <c r="F56" s="10" t="inlineStr">
        <is>
          <t>jardineiro</t>
        </is>
      </c>
      <c r="G56" s="10" t="inlineStr">
        <is>
          <t>P===12</t>
        </is>
      </c>
      <c r="H56" s="10" t="inlineStr">
        <is>
          <t>você</t>
        </is>
      </c>
      <c r="I56" s="10" t="inlineStr">
        <is>
          <t>terra</t>
        </is>
      </c>
      <c r="J56" s="10" t="inlineStr">
        <is>
          <t>madeira</t>
        </is>
      </c>
      <c r="K56" s="10" t="n"/>
      <c r="L56" s="10" t="n"/>
      <c r="M56" s="10" t="n"/>
      <c r="N56" s="10" t="n"/>
      <c r="O56" s="10" t="n"/>
      <c r="P56" s="10" t="n"/>
      <c r="Q56" s="10" t="n"/>
      <c r="R56" s="10" t="inlineStr">
        <is>
          <t>Você entende de terra. Eu entendo de madeira.</t>
        </is>
      </c>
      <c r="S56" s="13" t="inlineStr">
        <is>
          <t>Você entende de terra! Eu entendo de madeira!</t>
        </is>
      </c>
      <c r="T56" s="13" t="inlineStr">
        <is>
          <t>Você… de terra. Eu… de madeira.</t>
        </is>
      </c>
      <c r="U56" s="13" t="inlineStr">
        <is>
          <t>Você entende de terra, não é? Eu entendo de madeira…</t>
        </is>
      </c>
      <c r="V56" s="13" t="inlineStr">
        <is>
          <t>Você entende de terra. Eu entendo de madeira.</t>
        </is>
      </c>
      <c r="W56" s="13" t="inlineStr">
        <is>
          <t>Cada um com seu ofício… Você entende de terra. Eu entendo de madeira.</t>
        </is>
      </c>
      <c r="X56" s="13" t="inlineStr">
        <is>
          <t>Divisão de competências: você entende de terra. Eu entendo de madeira.</t>
        </is>
      </c>
      <c r="Y56" s="10">
        <f>SUMPRODUCT(($H56:$Q56&lt;&gt;"")*ISERROR(SEARCH($H56:$Q56,S56)))+SUMPRODUCT(($H56:$Q56&lt;&gt;"")*ISERROR(SEARCH($H56:$Q56,T56)))+SUMPRODUCT(($H56:$Q56&lt;&gt;"")*ISERROR(SEARCH($H56:$Q56,U56)))+SUMPRODUCT(($H56:$Q56&lt;&gt;"")*ISERROR(SEARCH($H56:$Q56,V56)))+SUMPRODUCT(($H56:$Q56&lt;&gt;"")*ISERROR(SEARCH($H56:$Q56,W56)))+SUMPRODUCT(($H56:$Q56&lt;&gt;"")*ISERROR(SEARCH($H56:$Q56,X56)))</f>
        <v/>
      </c>
      <c r="Z56" s="10" t="inlineStr">
        <is>
          <t>Enquadre: {Obs} se levantou devagar. &lt;i&gt;"…"&lt;/i&gt;</t>
        </is>
      </c>
    </row>
    <row r="57" ht="23.85" customHeight="1" s="8">
      <c r="A57" s="10" t="inlineStr">
        <is>
          <t>c4-p12-05</t>
        </is>
      </c>
      <c r="B57" s="10" t="n">
        <v>12</v>
      </c>
      <c r="C57" s="10" t="inlineStr">
        <is>
          <t>a trilha fresca: o Jardineiro rebate</t>
        </is>
      </c>
      <c r="D57" s="10" t="inlineStr">
        <is>
          <t>roteiro</t>
        </is>
      </c>
      <c r="E57" s="10" t="inlineStr">
        <is>
          <t>jardineiro (implícito)</t>
        </is>
      </c>
      <c r="F57" s="10" t="inlineStr">
        <is>
          <t>observadora</t>
        </is>
      </c>
      <c r="G57" s="10" t="inlineStr">
        <is>
          <t>P===12</t>
        </is>
      </c>
      <c r="H57" s="10" t="inlineStr">
        <is>
          <t>fique</t>
        </is>
      </c>
      <c r="I57" s="10" t="inlineStr">
        <is>
          <t>madeira</t>
        </is>
      </c>
      <c r="J57" s="10" t="n"/>
      <c r="K57" s="10" t="n"/>
      <c r="L57" s="10" t="n"/>
      <c r="M57" s="10" t="n"/>
      <c r="N57" s="10" t="n"/>
      <c r="O57" s="10" t="n"/>
      <c r="P57" s="10" t="n"/>
      <c r="Q57" s="10" t="n"/>
      <c r="R57" s="10" t="inlineStr">
        <is>
          <t>Então fique com a madeira.</t>
        </is>
      </c>
      <c r="S57" s="13" t="inlineStr">
        <is>
          <t>Então fique com a madeira!</t>
        </is>
      </c>
      <c r="T57" s="13" t="inlineStr">
        <is>
          <t>Então… fique com a madeira.</t>
        </is>
      </c>
      <c r="U57" s="13" t="inlineStr">
        <is>
          <t>Então fique com a madeira, tá?</t>
        </is>
      </c>
      <c r="V57" s="13" t="inlineStr">
        <is>
          <t>Então fique com a madeira, senhora.</t>
        </is>
      </c>
      <c r="W57" s="13" t="inlineStr">
        <is>
          <t>Pois é… então fique com a madeira.</t>
        </is>
      </c>
      <c r="X57" s="13" t="inlineStr">
        <is>
          <t>Então fique com a madeira. Encerrado.</t>
        </is>
      </c>
      <c r="Y57" s="10">
        <f>SUMPRODUCT(($H57:$Q57&lt;&gt;"")*ISERROR(SEARCH($H57:$Q57,S57)))+SUMPRODUCT(($H57:$Q57&lt;&gt;"")*ISERROR(SEARCH($H57:$Q57,T57)))+SUMPRODUCT(($H57:$Q57&lt;&gt;"")*ISERROR(SEARCH($H57:$Q57,U57)))+SUMPRODUCT(($H57:$Q57&lt;&gt;"")*ISERROR(SEARCH($H57:$Q57,V57)))+SUMPRODUCT(($H57:$Q57&lt;&gt;"")*ISERROR(SEARCH($H57:$Q57,W57)))+SUMPRODUCT(($H57:$Q57&lt;&gt;"")*ISERROR(SEARCH($H57:$Q57,X57)))</f>
        <v/>
      </c>
      <c r="Z57" s="10" t="inlineStr">
        <is>
          <t>Sem verbo de dizer; réplica do Jardineiro.</t>
        </is>
      </c>
    </row>
    <row r="58" ht="46.25" customHeight="1" s="8">
      <c r="A58" s="10" t="inlineStr">
        <is>
          <t>c4-p11-01</t>
        </is>
      </c>
      <c r="B58" s="10" t="n">
        <v>11</v>
      </c>
      <c r="C58" s="10" t="inlineStr">
        <is>
          <t>a passagem na P11: o Residente começa</t>
        </is>
      </c>
      <c r="D58" s="10" t="inlineStr">
        <is>
          <t>roteiro</t>
        </is>
      </c>
      <c r="E58" s="10" t="inlineStr">
        <is>
          <t>residente</t>
        </is>
      </c>
      <c r="F58" s="10" t="inlineStr">
        <is>
          <t>grupo</t>
        </is>
      </c>
      <c r="G58" s="10" t="inlineStr">
        <is>
          <t>P===11</t>
        </is>
      </c>
      <c r="H58" s="10" t="inlineStr">
        <is>
          <t>ala de serviço</t>
        </is>
      </c>
      <c r="I58" s="10" t="inlineStr">
        <is>
          <t>corredorzinho</t>
        </is>
      </c>
      <c r="J58" s="10" t="n"/>
      <c r="K58" s="10" t="n"/>
      <c r="L58" s="10" t="n"/>
      <c r="M58" s="10" t="n"/>
      <c r="N58" s="10" t="n"/>
      <c r="O58" s="10" t="n"/>
      <c r="P58" s="10" t="n"/>
      <c r="Q58" s="10" t="n"/>
      <c r="R58" s="10" t="inlineStr">
        <is>
          <t>A ala de serviço tem um corredorzinho que...</t>
        </is>
      </c>
      <c r="S58" s="13" t="inlineStr">
        <is>
          <t>A ala de serviço tem um corredorzinho, olha, que...</t>
        </is>
      </c>
      <c r="T58" s="13" t="inlineStr">
        <is>
          <t>A ala de serviço… tem um corredorzinho que...</t>
        </is>
      </c>
      <c r="U58" s="13" t="inlineStr">
        <is>
          <t>A ala de serviço tem um corredorzinho, sabe, que...</t>
        </is>
      </c>
      <c r="V58" s="13" t="inlineStr">
        <is>
          <t>A ala de serviço tem um corredorzinho que...</t>
        </is>
      </c>
      <c r="W58" s="13" t="inlineStr">
        <is>
          <t>Bom, essas casas antigas… a ala de serviço tem um corredorzinho que...</t>
        </is>
      </c>
      <c r="X58" s="13" t="inlineStr">
        <is>
          <t>Consta que a ala de serviço tem um corredorzinho que...</t>
        </is>
      </c>
      <c r="Y58" s="10">
        <f>SUMPRODUCT(($H58:$Q58&lt;&gt;"")*ISERROR(SEARCH($H58:$Q58,S58)))+SUMPRODUCT(($H58:$Q58&lt;&gt;"")*ISERROR(SEARCH($H58:$Q58,T58)))+SUMPRODUCT(($H58:$Q58&lt;&gt;"")*ISERROR(SEARCH($H58:$Q58,U58)))+SUMPRODUCT(($H58:$Q58&lt;&gt;"")*ISERROR(SEARCH($H58:$Q58,V58)))+SUMPRODUCT(($H58:$Q58&lt;&gt;"")*ISERROR(SEARCH($H58:$Q58,W58)))+SUMPRODUCT(($H58:$Q58&lt;&gt;"")*ISERROR(SEARCH($H58:$Q58,X58)))</f>
        <v/>
      </c>
      <c r="Z58" s="10" t="inlineStr">
        <is>
          <t>Enquadre: &lt;i&gt;"…"&lt;/i&gt;, começou {res}. Fala interrompida (termina em reticências). Roda desde 02/10, com a P11 como casa de 6.</t>
        </is>
      </c>
    </row>
    <row r="59" ht="23.85" customHeight="1" s="8">
      <c r="A59" s="10" t="inlineStr">
        <is>
          <t>c4-p11-02</t>
        </is>
      </c>
      <c r="B59" s="10" t="n">
        <v>11</v>
      </c>
      <c r="C59" s="10" t="inlineStr">
        <is>
          <t>a passagem na P11: o Policial corta</t>
        </is>
      </c>
      <c r="D59" s="10" t="inlineStr">
        <is>
          <t>roteiro</t>
        </is>
      </c>
      <c r="E59" s="10" t="inlineStr">
        <is>
          <t>policial</t>
        </is>
      </c>
      <c r="F59" s="10" t="inlineStr">
        <is>
          <t>residente</t>
        </is>
      </c>
      <c r="G59" s="10" t="inlineStr">
        <is>
          <t>P===11</t>
        </is>
      </c>
      <c r="H59" s="10" t="inlineStr">
        <is>
          <t>portinhola</t>
        </is>
      </c>
      <c r="I59" s="10" t="inlineStr">
        <is>
          <t>atrás do painel</t>
        </is>
      </c>
      <c r="J59" s="10" t="n"/>
      <c r="K59" s="10" t="n"/>
      <c r="L59" s="10" t="n"/>
      <c r="M59" s="10" t="n"/>
      <c r="N59" s="10" t="n"/>
      <c r="O59" s="10" t="n"/>
      <c r="P59" s="10" t="n"/>
      <c r="Q59" s="10" t="n"/>
      <c r="R59" s="10" t="inlineStr">
        <is>
          <t>E a portinhola atrás do painel?</t>
        </is>
      </c>
      <c r="S59" s="13" t="inlineStr">
        <is>
          <t>E a portinhola atrás do painel? Fala!</t>
        </is>
      </c>
      <c r="T59" s="13" t="inlineStr">
        <is>
          <t>E a portinhola… atrás do painel?</t>
        </is>
      </c>
      <c r="U59" s="13" t="inlineStr">
        <is>
          <t>E a portinhola atrás do painel? Desculpa perguntar…</t>
        </is>
      </c>
      <c r="V59" s="13" t="inlineStr">
        <is>
          <t>E a portinhola atrás do painel? Responda.</t>
        </is>
      </c>
      <c r="W59" s="13" t="inlineStr">
        <is>
          <t>Corredor, sei… e a portinhola atrás do painel?</t>
        </is>
      </c>
      <c r="X59" s="13" t="inlineStr">
        <is>
          <t>E a portinhola atrás do painel? Para registro.</t>
        </is>
      </c>
      <c r="Y59" s="10">
        <f>SUMPRODUCT(($H59:$Q59&lt;&gt;"")*ISERROR(SEARCH($H59:$Q59,S59)))+SUMPRODUCT(($H59:$Q59&lt;&gt;"")*ISERROR(SEARCH($H59:$Q59,T59)))+SUMPRODUCT(($H59:$Q59&lt;&gt;"")*ISERROR(SEARCH($H59:$Q59,U59)))+SUMPRODUCT(($H59:$Q59&lt;&gt;"")*ISERROR(SEARCH($H59:$Q59,V59)))+SUMPRODUCT(($H59:$Q59&lt;&gt;"")*ISERROR(SEARCH($H59:$Q59,W59)))+SUMPRODUCT(($H59:$Q59&lt;&gt;"")*ISERROR(SEARCH($H59:$Q59,X59)))</f>
        <v/>
      </c>
      <c r="Z59" s="10" t="inlineStr">
        <is>
          <t>Enquadre: &lt;i&gt;"…"&lt;/i&gt;, perguntou {pol}. {Res} empalideceu.</t>
        </is>
      </c>
    </row>
    <row r="60" ht="35.05" customHeight="1" s="8">
      <c r="A60" s="10" t="inlineStr">
        <is>
          <t>c4-p11-03</t>
        </is>
      </c>
      <c r="B60" s="10" t="n">
        <v>11</v>
      </c>
      <c r="C60" s="10" t="inlineStr">
        <is>
          <t>a passagem na P11: o Residente se trai</t>
        </is>
      </c>
      <c r="D60" s="10" t="inlineStr">
        <is>
          <t>roteiro</t>
        </is>
      </c>
      <c r="E60" s="10" t="inlineStr">
        <is>
          <t>residente</t>
        </is>
      </c>
      <c r="F60" s="10" t="inlineStr">
        <is>
          <t>policial</t>
        </is>
      </c>
      <c r="G60" s="10" t="inlineStr">
        <is>
          <t>P===11</t>
        </is>
      </c>
      <c r="H60" s="10" t="inlineStr">
        <is>
          <t>quem falou</t>
        </is>
      </c>
      <c r="I60" s="10" t="inlineStr">
        <is>
          <t>portinhola</t>
        </is>
      </c>
      <c r="J60" s="10" t="n"/>
      <c r="K60" s="10" t="n"/>
      <c r="L60" s="10" t="n"/>
      <c r="M60" s="10" t="n"/>
      <c r="N60" s="10" t="n"/>
      <c r="O60" s="10" t="n"/>
      <c r="P60" s="10" t="n"/>
      <c r="Q60" s="10" t="n"/>
      <c r="R60" s="10" t="inlineStr">
        <is>
          <t>Quem falou em portinhola?</t>
        </is>
      </c>
      <c r="S60" s="13" t="inlineStr">
        <is>
          <t>Quem falou em portinhola?!</t>
        </is>
      </c>
      <c r="T60" s="13" t="inlineStr">
        <is>
          <t>Quem falou… em portinhola?</t>
        </is>
      </c>
      <c r="U60" s="13" t="inlineStr">
        <is>
          <t>Quem falou em portinhola? Como assim?</t>
        </is>
      </c>
      <c r="V60" s="13" t="inlineStr">
        <is>
          <t>Quem falou em portinhola? Diga quem.</t>
        </is>
      </c>
      <c r="W60" s="13" t="inlineStr">
        <is>
          <t>Portinhola… quem falou em portinhola?</t>
        </is>
      </c>
      <c r="X60" s="13" t="inlineStr">
        <is>
          <t>Quem falou em portinhola? Indique a fonte.</t>
        </is>
      </c>
      <c r="Y60" s="10">
        <f>SUMPRODUCT(($H60:$Q60&lt;&gt;"")*ISERROR(SEARCH($H60:$Q60,S60)))+SUMPRODUCT(($H60:$Q60&lt;&gt;"")*ISERROR(SEARCH($H60:$Q60,T60)))+SUMPRODUCT(($H60:$Q60&lt;&gt;"")*ISERROR(SEARCH($H60:$Q60,U60)))+SUMPRODUCT(($H60:$Q60&lt;&gt;"")*ISERROR(SEARCH($H60:$Q60,V60)))+SUMPRODUCT(($H60:$Q60&lt;&gt;"")*ISERROR(SEARCH($H60:$Q60,W60)))+SUMPRODUCT(($H60:$Q60&lt;&gt;"")*ISERROR(SEARCH($H60:$Q60,X60)))</f>
        <v/>
      </c>
      <c r="Z60" s="10" t="inlineStr">
        <is>
          <t>Enquadre: &lt;i&gt;"…"&lt;/i&gt; {Inv} lacrou a portinhola com a fita da seguradora, na frente de todos.</t>
        </is>
      </c>
    </row>
    <row r="61" ht="46.25" customHeight="1" s="8">
      <c r="A61" s="10" t="inlineStr">
        <is>
          <t>c4-p12-06</t>
        </is>
      </c>
      <c r="B61" s="10" t="n">
        <v>12</v>
      </c>
      <c r="C61" s="10" t="inlineStr">
        <is>
          <t>a fotografia: o Investigador lembra</t>
        </is>
      </c>
      <c r="D61" s="10" t="inlineStr">
        <is>
          <t>roteiro</t>
        </is>
      </c>
      <c r="E61" s="10" t="inlineStr">
        <is>
          <t>investigador</t>
        </is>
      </c>
      <c r="F61" s="10" t="inlineStr">
        <is>
          <t>observadora</t>
        </is>
      </c>
      <c r="G61" s="10" t="inlineStr">
        <is>
          <t>P===12</t>
        </is>
      </c>
      <c r="H61" s="10" t="inlineStr">
        <is>
          <t>você disse</t>
        </is>
      </c>
      <c r="I61" s="10" t="inlineStr">
        <is>
          <t>só conhecia</t>
        </is>
      </c>
      <c r="J61" s="10" t="inlineStr">
        <is>
          <t>relógio</t>
        </is>
      </c>
      <c r="K61" s="10" t="inlineStr">
        <is>
          <t>fotografia</t>
        </is>
      </c>
      <c r="L61" s="10" t="n"/>
      <c r="M61" s="10" t="n"/>
      <c r="N61" s="10" t="n"/>
      <c r="O61" s="10" t="n"/>
      <c r="P61" s="10" t="n"/>
      <c r="Q61" s="10" t="n"/>
      <c r="R61" s="10" t="inlineStr">
        <is>
          <t>Você disse que só conhecia o relógio por fotografia</t>
        </is>
      </c>
      <c r="S61" s="13" t="inlineStr">
        <is>
          <t>Você disse que só conhecia o relógio por fotografia!</t>
        </is>
      </c>
      <c r="T61" s="13" t="inlineStr">
        <is>
          <t>Você disse… que só conhecia o relógio por fotografia</t>
        </is>
      </c>
      <c r="U61" s="13" t="inlineStr">
        <is>
          <t>Você disse que só conhecia o relógio por fotografia, não disse?</t>
        </is>
      </c>
      <c r="V61" s="13" t="inlineStr">
        <is>
          <t>Você disse que só conhecia o relógio por fotografia. Só lembro</t>
        </is>
      </c>
      <c r="W61" s="13" t="inlineStr">
        <is>
          <t>Engraçado, lembrei agora… você disse que só conhecia o relógio por fotografia</t>
        </is>
      </c>
      <c r="X61" s="13" t="inlineStr">
        <is>
          <t>Registro anterior: você disse que só conhecia o relógio por fotografia</t>
        </is>
      </c>
      <c r="Y61" s="10">
        <f>SUMPRODUCT(($H61:$Q61&lt;&gt;"")*ISERROR(SEARCH($H61:$Q61,S61)))+SUMPRODUCT(($H61:$Q61&lt;&gt;"")*ISERROR(SEARCH($H61:$Q61,T61)))+SUMPRODUCT(($H61:$Q61&lt;&gt;"")*ISERROR(SEARCH($H61:$Q61,U61)))+SUMPRODUCT(($H61:$Q61&lt;&gt;"")*ISERROR(SEARCH($H61:$Q61,V61)))+SUMPRODUCT(($H61:$Q61&lt;&gt;"")*ISERROR(SEARCH($H61:$Q61,W61)))+SUMPRODUCT(($H61:$Q61&lt;&gt;"")*ISERROR(SEARCH($H61:$Q61,X61)))</f>
        <v/>
      </c>
      <c r="Z61" s="10" t="inlineStr">
        <is>
          <t>Enquadre: &lt;i&gt;"…"&lt;/i&gt;, lembrou {inv}. Se o jogador é o Investigador: Você lembrou: &lt;i&gt;"…."&lt;/i&gt; (fala do próprio jogador; manter o texto base).</t>
        </is>
      </c>
    </row>
    <row r="62" ht="35.05" customHeight="1" s="8">
      <c r="A62" s="10" t="inlineStr">
        <is>
          <t>c4-p12-07</t>
        </is>
      </c>
      <c r="B62" s="10" t="n">
        <v>12</v>
      </c>
      <c r="C62" s="10" t="inlineStr">
        <is>
          <t>a fotografia: a Observadora responde</t>
        </is>
      </c>
      <c r="D62" s="10" t="inlineStr">
        <is>
          <t>roteiro</t>
        </is>
      </c>
      <c r="E62" s="10" t="inlineStr">
        <is>
          <t>observadora</t>
        </is>
      </c>
      <c r="F62" s="10" t="inlineStr">
        <is>
          <t>investigador</t>
        </is>
      </c>
      <c r="G62" s="10" t="inlineStr">
        <is>
          <t>P===12</t>
        </is>
      </c>
      <c r="H62" s="10" t="inlineStr">
        <is>
          <t>nunca o tinha visto de perto</t>
        </is>
      </c>
      <c r="I62" s="10" t="inlineStr">
        <is>
          <t>criança</t>
        </is>
      </c>
      <c r="J62" s="10" t="inlineStr">
        <is>
          <t>relógio do patrão</t>
        </is>
      </c>
      <c r="K62" s="10" t="n"/>
      <c r="L62" s="10" t="n"/>
      <c r="M62" s="10" t="n"/>
      <c r="N62" s="10" t="n"/>
      <c r="O62" s="10" t="n"/>
      <c r="P62" s="10" t="n"/>
      <c r="Q62" s="10" t="n"/>
      <c r="R62" s="10" t="inlineStr">
        <is>
          <t>Eu disse que nunca o tinha visto de perto. Criança não chegava perto do relógio do patrão.</t>
        </is>
      </c>
      <c r="S62" s="13" t="inlineStr">
        <is>
          <t>Eu disse que nunca o tinha visto de perto! Criança não chegava perto do relógio do patrão!</t>
        </is>
      </c>
      <c r="T62" s="13" t="inlineStr">
        <is>
          <t>Eu disse… que nunca o tinha visto de perto. Criança não chegava… perto do relógio do patrão.</t>
        </is>
      </c>
      <c r="U62" s="13" t="inlineStr">
        <is>
          <t>Eu disse que nunca o tinha visto de perto, não foi? Criança não chegava perto do relógio do patrão…</t>
        </is>
      </c>
      <c r="V62" s="13" t="inlineStr">
        <is>
          <t>Eu disse que nunca o tinha visto de perto. Criança não chegava perto do relógio do patrão. Era assim.</t>
        </is>
      </c>
      <c r="W62" s="13" t="inlineStr">
        <is>
          <t>As palavras se perdem… Eu disse que nunca o tinha visto de perto. Criança não chegava perto do relógio do patrão.</t>
        </is>
      </c>
      <c r="X62" s="13" t="inlineStr">
        <is>
          <t>Retifico: eu disse que nunca o tinha visto de perto. Criança não chegava perto do relógio do patrão.</t>
        </is>
      </c>
      <c r="Y62" s="10">
        <f>SUMPRODUCT(($H62:$Q62&lt;&gt;"")*ISERROR(SEARCH($H62:$Q62,S62)))+SUMPRODUCT(($H62:$Q62&lt;&gt;"")*ISERROR(SEARCH($H62:$Q62,T62)))+SUMPRODUCT(($H62:$Q62&lt;&gt;"")*ISERROR(SEARCH($H62:$Q62,U62)))+SUMPRODUCT(($H62:$Q62&lt;&gt;"")*ISERROR(SEARCH($H62:$Q62,V62)))+SUMPRODUCT(($H62:$Q62&lt;&gt;"")*ISERROR(SEARCH($H62:$Q62,W62)))+SUMPRODUCT(($H62:$Q62&lt;&gt;"")*ISERROR(SEARCH($H62:$Q62,X62)))</f>
        <v/>
      </c>
      <c r="Z62" s="10" t="inlineStr">
        <is>
          <t>Sem verbo de dizer. Depois: Era uma boa resposta. Boa demais, {inv} pensou, e não disse.</t>
        </is>
      </c>
    </row>
    <row r="63" ht="46.25" customHeight="1" s="8">
      <c r="A63" s="10" t="inlineStr">
        <is>
          <t>c4-p2-lembra</t>
        </is>
      </c>
      <c r="B63" s="10" t="n">
        <v>2</v>
      </c>
      <c r="C63" s="10" t="inlineStr">
        <is>
          <t>lembrança dele que o caderno vai checar</t>
        </is>
      </c>
      <c r="D63" s="10" t="inlineStr">
        <is>
          <t>roteiro</t>
        </is>
      </c>
      <c r="E63" s="10" t="inlineStr">
        <is>
          <t>tabeliao</t>
        </is>
      </c>
      <c r="F63" s="10" t="inlineStr">
        <is>
          <t>grupo</t>
        </is>
      </c>
      <c r="G63" s="10" t="inlineStr">
        <is>
          <t>P===2</t>
        </is>
      </c>
      <c r="H63" s="10" t="inlineStr">
        <is>
          <t>colheu a assinatura</t>
        </is>
      </c>
      <c r="I63" s="10" t="inlineStr">
        <is>
          <t>leito</t>
        </is>
      </c>
      <c r="J63" s="10" t="inlineStr">
        <is>
          <t>última semana</t>
        </is>
      </c>
      <c r="K63" s="10" t="inlineStr">
        <is>
          <t>assinou guiado</t>
        </is>
      </c>
      <c r="L63" s="10" t="n"/>
      <c r="M63" s="10" t="n"/>
      <c r="N63" s="10" t="n"/>
      <c r="O63" s="10" t="n"/>
      <c r="P63" s="10" t="n"/>
      <c r="Q63" s="10" t="n"/>
      <c r="R63" s="10" t="inlineStr">
        <is>
          <t>Fui eu quem colheu a assinatura dele no leito, na última semana. Assinou guiado</t>
        </is>
      </c>
      <c r="S63" s="13" t="inlineStr">
        <is>
          <t>Fui eu quem colheu a assinatura dele no leito, na última semana! Assinou guiado, e daí?</t>
        </is>
      </c>
      <c r="T63" s="13" t="inlineStr">
        <is>
          <t>Fui eu… quem colheu a assinatura dele. No leito, na última semana. Assinou guiado</t>
        </is>
      </c>
      <c r="U63" s="13" t="inlineStr">
        <is>
          <t>Fui eu quem colheu a assinatura dele no leito, na última semana, sabe? Assinou guiado… não sei se devia contar</t>
        </is>
      </c>
      <c r="V63" s="13" t="inlineStr">
        <is>
          <t>Fui eu quem colheu a assinatura dele no leito, na última semana. Assinou guiado. Digo isso por ele</t>
        </is>
      </c>
      <c r="W63" s="13" t="inlineStr">
        <is>
          <t>Aquela semana, a estrada até aqui… Fui eu quem colheu a assinatura dele no leito, na última semana. Assinou guiado</t>
        </is>
      </c>
      <c r="X63" s="13" t="inlineStr">
        <is>
          <t>Consta: fui eu quem colheu a assinatura dele no leito, na última semana. Assinou guiado</t>
        </is>
      </c>
      <c r="Y63" s="10">
        <f>SUMPRODUCT(($H63:$Q63&lt;&gt;"")*ISERROR(SEARCH($H63:$Q63,S63)))+SUMPRODUCT(($H63:$Q63&lt;&gt;"")*ISERROR(SEARCH($H63:$Q63,T63)))+SUMPRODUCT(($H63:$Q63&lt;&gt;"")*ISERROR(SEARCH($H63:$Q63,U63)))+SUMPRODUCT(($H63:$Q63&lt;&gt;"")*ISERROR(SEARCH($H63:$Q63,V63)))+SUMPRODUCT(($H63:$Q63&lt;&gt;"")*ISERROR(SEARCH($H63:$Q63,W63)))+SUMPRODUCT(($H63:$Q63&lt;&gt;"")*ISERROR(SEARCH($H63:$Q63,X63)))</f>
        <v/>
      </c>
      <c r="Z63" s="10" t="inlineStr">
        <is>
          <t>Enquadre: Na volta para dentro, falaram dele. &lt;i&gt;"…"&lt;/i&gt;, disse {tab}. O código tira o ponto final (replace(/\.$/,'')); as versões vêm sem ponto final.</t>
        </is>
      </c>
    </row>
    <row r="64" ht="46.25" customHeight="1" s="8">
      <c r="A64" s="10" t="inlineStr">
        <is>
          <t>c4-p5-lembra</t>
        </is>
      </c>
      <c r="B64" s="10" t="n">
        <v>5</v>
      </c>
      <c r="C64" s="10" t="inlineStr">
        <is>
          <t>lembrança dele que o caderno vai checar</t>
        </is>
      </c>
      <c r="D64" s="10" t="inlineStr">
        <is>
          <t>roteiro</t>
        </is>
      </c>
      <c r="E64" s="10" t="inlineStr">
        <is>
          <t>advogado</t>
        </is>
      </c>
      <c r="F64" s="10" t="inlineStr">
        <is>
          <t>grupo</t>
        </is>
      </c>
      <c r="G64" s="10" t="inlineStr">
        <is>
          <t>P===5</t>
        </is>
      </c>
      <c r="H64" s="10" t="inlineStr">
        <is>
          <t>último domingo</t>
        </is>
      </c>
      <c r="I64" s="10" t="inlineStr">
        <is>
          <t>ele mesmo deu corda</t>
        </is>
      </c>
      <c r="J64" s="10" t="inlineStr">
        <is>
          <t>todo domingo</t>
        </is>
      </c>
      <c r="K64" s="10" t="n"/>
      <c r="L64" s="10" t="n"/>
      <c r="M64" s="10" t="n"/>
      <c r="N64" s="10" t="n"/>
      <c r="O64" s="10" t="n"/>
      <c r="P64" s="10" t="n"/>
      <c r="Q64" s="10" t="n"/>
      <c r="R64" s="10" t="inlineStr">
        <is>
          <t>Estive com ele no último domingo. Ele mesmo deu corda, como fazia todo domingo</t>
        </is>
      </c>
      <c r="S64" s="13" t="inlineStr">
        <is>
          <t>Estive com ele no último domingo! Ele mesmo deu corda, como fazia todo domingo!</t>
        </is>
      </c>
      <c r="T64" s="13" t="inlineStr">
        <is>
          <t>Estive com ele… no último domingo. Ele mesmo deu corda. Como fazia todo domingo</t>
        </is>
      </c>
      <c r="U64" s="13" t="inlineStr">
        <is>
          <t>Estive com ele no último domingo, sabe? Ele mesmo deu corda, como fazia todo domingo</t>
        </is>
      </c>
      <c r="V64" s="13" t="inlineStr">
        <is>
          <t>Estive com ele no último domingo. Ele mesmo deu corda, como fazia todo domingo. Ele mesmo</t>
        </is>
      </c>
      <c r="W64" s="13" t="inlineStr">
        <is>
          <t>Domingos… tão parecidos. Estive com ele no último domingo. Ele mesmo deu corda, como fazia todo domingo</t>
        </is>
      </c>
      <c r="X64" s="13" t="inlineStr">
        <is>
          <t>Último domingo: estive com ele. Ele mesmo deu corda, como fazia todo domingo</t>
        </is>
      </c>
      <c r="Y64" s="10">
        <f>SUMPRODUCT(($H64:$Q64&lt;&gt;"")*ISERROR(SEARCH($H64:$Q64,S64)))+SUMPRODUCT(($H64:$Q64&lt;&gt;"")*ISERROR(SEARCH($H64:$Q64,T64)))+SUMPRODUCT(($H64:$Q64&lt;&gt;"")*ISERROR(SEARCH($H64:$Q64,U64)))+SUMPRODUCT(($H64:$Q64&lt;&gt;"")*ISERROR(SEARCH($H64:$Q64,V64)))+SUMPRODUCT(($H64:$Q64&lt;&gt;"")*ISERROR(SEARCH($H64:$Q64,W64)))+SUMPRODUCT(($H64:$Q64&lt;&gt;"")*ISERROR(SEARCH($H64:$Q64,X64)))</f>
        <v/>
      </c>
      <c r="Z64" s="10" t="inlineStr">
        <is>
          <t>Enquadre: Na volta para dentro, falaram dele. &lt;i&gt;"…"&lt;/i&gt;, disse {adv}. O código tira o ponto final (replace(/\.$/,'')); as versões vêm sem ponto final.</t>
        </is>
      </c>
    </row>
    <row r="65" ht="46.25" customHeight="1" s="8">
      <c r="A65" s="10" t="inlineStr">
        <is>
          <t>c4-p9-lembra</t>
        </is>
      </c>
      <c r="B65" s="10" t="n">
        <v>9</v>
      </c>
      <c r="C65" s="10" t="inlineStr">
        <is>
          <t>lembrança dele que o caderno vai checar</t>
        </is>
      </c>
      <c r="D65" s="10" t="inlineStr">
        <is>
          <t>roteiro</t>
        </is>
      </c>
      <c r="E65" s="10" t="inlineStr">
        <is>
          <t>jornalista</t>
        </is>
      </c>
      <c r="F65" s="10" t="inlineStr">
        <is>
          <t>grupo</t>
        </is>
      </c>
      <c r="G65" s="10" t="inlineStr">
        <is>
          <t>P===9</t>
        </is>
      </c>
      <c r="H65" s="10" t="inlineStr">
        <is>
          <t>entrevistei</t>
        </is>
      </c>
      <c r="I65" s="10" t="inlineStr">
        <is>
          <t>última semana</t>
        </is>
      </c>
      <c r="J65" s="10" t="inlineStr">
        <is>
          <t>falava pouco</t>
        </is>
      </c>
      <c r="K65" s="10" t="inlineStr">
        <is>
          <t>mar</t>
        </is>
      </c>
      <c r="L65" s="10" t="n"/>
      <c r="M65" s="10" t="n"/>
      <c r="N65" s="10" t="n"/>
      <c r="O65" s="10" t="n"/>
      <c r="P65" s="10" t="n"/>
      <c r="Q65" s="10" t="n"/>
      <c r="R65" s="10" t="inlineStr">
        <is>
          <t>Entrevistei ele na última semana. Falava pouco, mas falou do mar</t>
        </is>
      </c>
      <c r="S65" s="13" t="inlineStr">
        <is>
          <t>Entrevistei ele na última semana! Falava pouco, mas falou do mar!</t>
        </is>
      </c>
      <c r="T65" s="13" t="inlineStr">
        <is>
          <t>Entrevistei ele… na última semana. Falava pouco. Mas falou do mar</t>
        </is>
      </c>
      <c r="U65" s="13" t="inlineStr">
        <is>
          <t>Entrevistei ele na última semana, acredita? Falava pouco, mas falou do mar</t>
        </is>
      </c>
      <c r="V65" s="13" t="inlineStr">
        <is>
          <t>Entrevistei ele na última semana. Falava pouco, mas falou do mar. Merecia ser ouvido</t>
        </is>
      </c>
      <c r="W65" s="13" t="inlineStr">
        <is>
          <t>Essa chuva lembra coisas… Entrevistei ele na última semana. Falava pouco, mas falou do mar</t>
        </is>
      </c>
      <c r="X65" s="13" t="inlineStr">
        <is>
          <t>Consta: entrevistei ele na última semana. Falava pouco, mas falou do mar</t>
        </is>
      </c>
      <c r="Y65" s="10">
        <f>SUMPRODUCT(($H65:$Q65&lt;&gt;"")*ISERROR(SEARCH($H65:$Q65,S65)))+SUMPRODUCT(($H65:$Q65&lt;&gt;"")*ISERROR(SEARCH($H65:$Q65,T65)))+SUMPRODUCT(($H65:$Q65&lt;&gt;"")*ISERROR(SEARCH($H65:$Q65,U65)))+SUMPRODUCT(($H65:$Q65&lt;&gt;"")*ISERROR(SEARCH($H65:$Q65,V65)))+SUMPRODUCT(($H65:$Q65&lt;&gt;"")*ISERROR(SEARCH($H65:$Q65,W65)))+SUMPRODUCT(($H65:$Q65&lt;&gt;"")*ISERROR(SEARCH($H65:$Q65,X65)))</f>
        <v/>
      </c>
      <c r="Z65" s="10" t="inlineStr">
        <is>
          <t>Enquadre: Na volta para dentro, falaram dele. &lt;i&gt;"…"&lt;/i&gt;, disse {jor}. O código tira o ponto final (replace(/\.$/,'')); as versões vêm sem ponto final.</t>
        </is>
      </c>
    </row>
    <row r="66" ht="46.25" customHeight="1" s="8">
      <c r="A66" s="10" t="inlineStr">
        <is>
          <t>c4-p13-lembra</t>
        </is>
      </c>
      <c r="B66" s="10" t="n">
        <v>13</v>
      </c>
      <c r="C66" s="10" t="inlineStr">
        <is>
          <t>lembrança dele que o caderno vai checar</t>
        </is>
      </c>
      <c r="D66" s="10" t="inlineStr">
        <is>
          <t>roteiro</t>
        </is>
      </c>
      <c r="E66" s="10" t="inlineStr">
        <is>
          <t>investigador</t>
        </is>
      </c>
      <c r="F66" s="10" t="inlineStr">
        <is>
          <t>grupo</t>
        </is>
      </c>
      <c r="G66" s="10" t="inlineStr">
        <is>
          <t>P===13</t>
        </is>
      </c>
      <c r="H66" s="10" t="inlineStr">
        <is>
          <t>três semanas antes</t>
        </is>
      </c>
      <c r="I66" s="10" t="inlineStr">
        <is>
          <t>voltei</t>
        </is>
      </c>
      <c r="J66" s="10" t="inlineStr">
        <is>
          <t>último dia</t>
        </is>
      </c>
      <c r="K66" s="10" t="inlineStr">
        <is>
          <t>lúcido</t>
        </is>
      </c>
      <c r="L66" s="10" t="inlineStr">
        <is>
          <t>conferir o relógio</t>
        </is>
      </c>
      <c r="M66" s="10" t="n"/>
      <c r="N66" s="10" t="n"/>
      <c r="O66" s="10" t="n"/>
      <c r="P66" s="10" t="n"/>
      <c r="Q66" s="10" t="n"/>
      <c r="R66" s="10" t="inlineStr">
        <is>
          <t>Estive aqui três semanas antes. E voltei no último dia; ele estava lúcido, me pediu para conferir o relógio</t>
        </is>
      </c>
      <c r="S66" s="13" t="inlineStr">
        <is>
          <t>Estive aqui três semanas antes! E voltei no último dia; ele estava lúcido, me pediu para conferir o relógio!</t>
        </is>
      </c>
      <c r="T66" s="13" t="inlineStr">
        <is>
          <t>Estive aqui… três semanas antes. E voltei no último dia. Ele estava lúcido… me pediu para conferir o relógio</t>
        </is>
      </c>
      <c r="U66" s="13" t="inlineStr">
        <is>
          <t>Estive aqui três semanas antes, sabe? E voltei no último dia, viu? Ele estava lúcido, me pediu para conferir o relógio</t>
        </is>
      </c>
      <c r="V66" s="13" t="inlineStr">
        <is>
          <t>Estive aqui três semanas antes. E voltei no último dia; ele estava lúcido, me pediu para conferir o relógio. Lúcido, eu garanto</t>
        </is>
      </c>
      <c r="W66" s="13" t="inlineStr">
        <is>
          <t>Tanta estrada… Estive aqui três semanas antes. E voltei no último dia; ele estava lúcido, me pediu para conferir o relógio</t>
        </is>
      </c>
      <c r="X66" s="13" t="inlineStr">
        <is>
          <t>Três semanas antes: estive aqui. Último dia: voltei; ele estava lúcido, me pediu para conferir o relógio</t>
        </is>
      </c>
      <c r="Y66" s="10">
        <f>SUMPRODUCT(($H66:$Q66&lt;&gt;"")*ISERROR(SEARCH($H66:$Q66,S66)))+SUMPRODUCT(($H66:$Q66&lt;&gt;"")*ISERROR(SEARCH($H66:$Q66,T66)))+SUMPRODUCT(($H66:$Q66&lt;&gt;"")*ISERROR(SEARCH($H66:$Q66,U66)))+SUMPRODUCT(($H66:$Q66&lt;&gt;"")*ISERROR(SEARCH($H66:$Q66,V66)))+SUMPRODUCT(($H66:$Q66&lt;&gt;"")*ISERROR(SEARCH($H66:$Q66,W66)))+SUMPRODUCT(($H66:$Q66&lt;&gt;"")*ISERROR(SEARCH($H66:$Q66,X66)))</f>
        <v/>
      </c>
      <c r="Z66" s="10" t="inlineStr">
        <is>
          <t>Enquadre: Na volta para dentro, falaram dele. &lt;i&gt;"…"&lt;/i&gt;, disse {inv}. O código tira o ponto final (replace(/\.$/,'')); as versões vêm sem ponto final.</t>
        </is>
      </c>
    </row>
    <row r="67" ht="23.85" customHeight="1" s="8">
      <c r="A67" s="10" t="inlineStr">
        <is>
          <t>c4-p2-radio</t>
        </is>
      </c>
      <c r="B67" s="10" t="n">
        <v>2</v>
      </c>
      <c r="C67" s="10" t="inlineStr">
        <is>
          <t>o Tabelião manda o Policial para o rádio</t>
        </is>
      </c>
      <c r="D67" s="10" t="inlineStr">
        <is>
          <t>roteiro</t>
        </is>
      </c>
      <c r="E67" s="10" t="inlineStr">
        <is>
          <t>tabeliao</t>
        </is>
      </c>
      <c r="F67" s="10" t="inlineStr">
        <is>
          <t>policial</t>
        </is>
      </c>
      <c r="G67" s="10" t="inlineStr">
        <is>
          <t>P===2</t>
        </is>
      </c>
      <c r="H67" s="10" t="inlineStr">
        <is>
          <t>o senhor</t>
        </is>
      </c>
      <c r="I67" s="10" t="inlineStr">
        <is>
          <t>único</t>
        </is>
      </c>
      <c r="J67" s="10" t="inlineStr">
        <is>
          <t>farol</t>
        </is>
      </c>
      <c r="K67" s="10" t="inlineStr">
        <is>
          <t>autoridade</t>
        </is>
      </c>
      <c r="L67" s="10" t="n"/>
      <c r="M67" s="10" t="n"/>
      <c r="N67" s="10" t="n"/>
      <c r="O67" s="10" t="n"/>
      <c r="P67" s="10" t="n"/>
      <c r="Q67" s="10" t="n"/>
      <c r="R67" s="10" t="inlineStr">
        <is>
          <t>Você é quem fala com o farol como autoridade.</t>
        </is>
      </c>
      <c r="S67" s="13" t="inlineStr">
        <is>
          <t>Você é quem fala com o farol como autoridade! Não tem outro!</t>
        </is>
      </c>
      <c r="T67" s="13" t="inlineStr">
        <is>
          <t>Você… é quem fala com o farol. Como autoridade.</t>
        </is>
      </c>
      <c r="U67" s="13" t="inlineStr">
        <is>
          <t>Você é quem fala com o farol como autoridade, não é?</t>
        </is>
      </c>
      <c r="V67" s="13" t="inlineStr">
        <is>
          <t>Você é quem fala com o farol como autoridade. Conto com você.</t>
        </is>
      </c>
      <c r="W67" s="13" t="inlineStr">
        <is>
          <t>Com essa demora toda… você é quem fala com o farol como autoridade.</t>
        </is>
      </c>
      <c r="X67" s="13" t="inlineStr">
        <is>
          <t>Designação: você é quem fala com o farol como autoridade.</t>
        </is>
      </c>
      <c r="Y67" s="10">
        <f>SUMPRODUCT(($H67:$Q67&lt;&gt;"")*ISERROR(SEARCH($H67:$Q67,S67)))+SUMPRODUCT(($H67:$Q67&lt;&gt;"")*ISERROR(SEARCH($H67:$Q67,T67)))+SUMPRODUCT(($H67:$Q67&lt;&gt;"")*ISERROR(SEARCH($H67:$Q67,U67)))+SUMPRODUCT(($H67:$Q67&lt;&gt;"")*ISERROR(SEARCH($H67:$Q67,V67)))+SUMPRODUCT(($H67:$Q67&lt;&gt;"")*ISERROR(SEARCH($H67:$Q67,W67)))+SUMPRODUCT(($H67:$Q67&lt;&gt;"")*ISERROR(SEARCH($H67:$Q67,X67)))</f>
        <v/>
      </c>
      <c r="Z67" s="10" t="inlineStr">
        <is>
          <t>Enquadre: {Tab} mandou {pol} para o rádio: &lt;i&gt;"…"&lt;/i&gt; {Pol} foi.</t>
        </is>
      </c>
    </row>
    <row r="68" ht="57.45" customHeight="1" s="8">
      <c r="A68" s="10" t="inlineStr">
        <is>
          <t>c4-pv-q-senhor</t>
        </is>
      </c>
      <c r="B68" s="10" t="inlineStr">
        <is>
          <t>1, 2, 5, 6, 7, 10, 12, 13</t>
        </is>
      </c>
      <c r="C68" s="10" t="inlineStr">
        <is>
          <t>distribuição dos postos: pergunta a quem escolheu</t>
        </is>
      </c>
      <c r="D68" s="10" t="inlineStr">
        <is>
          <t>roteiro</t>
        </is>
      </c>
      <c r="E68" s="10" t="inlineStr">
        <is>
          <t>cond (tabeliao|policial)</t>
        </is>
      </c>
      <c r="F68" s="10" t="inlineStr">
        <is>
          <t>quem escolheu o posto (homem)</t>
        </is>
      </c>
      <c r="G68" s="10" t="inlineStr">
        <is>
          <t>ch!==EU_PAPEL &amp;&amp; NOMES[ch][0]==="o"</t>
        </is>
      </c>
      <c r="H68" s="10" t="inlineStr">
        <is>
          <t>e o senhor</t>
        </is>
      </c>
      <c r="I68" s="10" t="n"/>
      <c r="J68" s="10" t="n"/>
      <c r="K68" s="10" t="n"/>
      <c r="L68" s="10" t="n"/>
      <c r="M68" s="10" t="n"/>
      <c r="N68" s="10" t="n"/>
      <c r="O68" s="10" t="n"/>
      <c r="P68" s="10" t="n"/>
      <c r="Q68" s="10" t="n"/>
      <c r="R68" s="10" t="inlineStr">
        <is>
          <t>E o senhor?</t>
        </is>
      </c>
      <c r="S68" s="13" t="inlineStr">
        <is>
          <t>E o senhor?!</t>
        </is>
      </c>
      <c r="T68" s="13" t="inlineStr">
        <is>
          <t>… E o senhor?</t>
        </is>
      </c>
      <c r="U68" s="13" t="inlineStr">
        <is>
          <t>E o senhor…?</t>
        </is>
      </c>
      <c r="V68" s="13" t="inlineStr">
        <is>
          <t>E o senhor?</t>
        </is>
      </c>
      <c r="W68" s="13" t="inlineStr">
        <is>
          <t>Ah… e o senhor?</t>
        </is>
      </c>
      <c r="X68" s="13" t="inlineStr">
        <is>
          <t>E o senhor?</t>
        </is>
      </c>
      <c r="Y68" s="10">
        <f>SUMPRODUCT(($H68:$Q68&lt;&gt;"")*ISERROR(SEARCH($H68:$Q68,S68)))+SUMPRODUCT(($H68:$Q68&lt;&gt;"")*ISERROR(SEARCH($H68:$Q68,T68)))+SUMPRODUCT(($H68:$Q68&lt;&gt;"")*ISERROR(SEARCH($H68:$Q68,U68)))+SUMPRODUCT(($H68:$Q68&lt;&gt;"")*ISERROR(SEARCH($H68:$Q68,V68)))+SUMPRODUCT(($H68:$Q68&lt;&gt;"")*ISERROR(SEARCH($H68:$Q68,W68)))+SUMPRODUCT(($H68:$Q68&lt;&gt;"")*ISERROR(SEARCH($H68:$Q68,X68)))</f>
        <v/>
      </c>
      <c r="Z68" s="10" t="inlineStr">
        <is>
          <t>Enquadre: &lt;i&gt;"…"&lt;/i&gt;, perguntou {cond} (Tabelião, ou Policial se não houver Tabelião). Depois vem a resposta de quem escolheu o posto. O código monta 'E '+trat+'?'.</t>
        </is>
      </c>
    </row>
    <row r="69" ht="57.45" customHeight="1" s="8">
      <c r="A69" s="10" t="inlineStr">
        <is>
          <t>c4-pv-q-senhora</t>
        </is>
      </c>
      <c r="B69" s="10" t="inlineStr">
        <is>
          <t>4, 8, 9, 14, 15</t>
        </is>
      </c>
      <c r="C69" s="10" t="inlineStr">
        <is>
          <t>distribuição dos postos: pergunta a quem escolheu</t>
        </is>
      </c>
      <c r="D69" s="10" t="inlineStr">
        <is>
          <t>roteiro</t>
        </is>
      </c>
      <c r="E69" s="10" t="inlineStr">
        <is>
          <t>cond (tabeliao|policial)</t>
        </is>
      </c>
      <c r="F69" s="10" t="inlineStr">
        <is>
          <t>quem escolheu o posto (mulher)</t>
        </is>
      </c>
      <c r="G69" s="10" t="inlineStr">
        <is>
          <t>ch!==EU_PAPEL &amp;&amp; NOMES[ch][0]==="a"</t>
        </is>
      </c>
      <c r="H69" s="10" t="inlineStr">
        <is>
          <t>e a senhora</t>
        </is>
      </c>
      <c r="I69" s="10" t="n"/>
      <c r="J69" s="10" t="n"/>
      <c r="K69" s="10" t="n"/>
      <c r="L69" s="10" t="n"/>
      <c r="M69" s="10" t="n"/>
      <c r="N69" s="10" t="n"/>
      <c r="O69" s="10" t="n"/>
      <c r="P69" s="10" t="n"/>
      <c r="Q69" s="10" t="n"/>
      <c r="R69" s="10" t="inlineStr">
        <is>
          <t>E a senhora?</t>
        </is>
      </c>
      <c r="S69" s="13" t="inlineStr">
        <is>
          <t>E a senhora?!</t>
        </is>
      </c>
      <c r="T69" s="13" t="inlineStr">
        <is>
          <t>… E a senhora?</t>
        </is>
      </c>
      <c r="U69" s="13" t="inlineStr">
        <is>
          <t>E a senhora…?</t>
        </is>
      </c>
      <c r="V69" s="13" t="inlineStr">
        <is>
          <t>E a senhora?</t>
        </is>
      </c>
      <c r="W69" s="13" t="inlineStr">
        <is>
          <t>E a senhora?</t>
        </is>
      </c>
      <c r="X69" s="13" t="inlineStr">
        <is>
          <t>E a senhora?</t>
        </is>
      </c>
      <c r="Y69" s="10">
        <f>SUMPRODUCT(($H69:$Q69&lt;&gt;"")*ISERROR(SEARCH($H69:$Q69,S69)))+SUMPRODUCT(($H69:$Q69&lt;&gt;"")*ISERROR(SEARCH($H69:$Q69,T69)))+SUMPRODUCT(($H69:$Q69&lt;&gt;"")*ISERROR(SEARCH($H69:$Q69,U69)))+SUMPRODUCT(($H69:$Q69&lt;&gt;"")*ISERROR(SEARCH($H69:$Q69,V69)))+SUMPRODUCT(($H69:$Q69&lt;&gt;"")*ISERROR(SEARCH($H69:$Q69,W69)))+SUMPRODUCT(($H69:$Q69&lt;&gt;"")*ISERROR(SEARCH($H69:$Q69,X69)))</f>
        <v/>
      </c>
      <c r="Z69" s="10" t="inlineStr">
        <is>
          <t>Enquadre: &lt;i&gt;"…"&lt;/i&gt;, perguntou {cond} (Tabelião, ou Policial se não houver Tabelião). Depois vem a resposta de quem escolheu o posto. O código monta 'E '+trat+'?'.</t>
        </is>
      </c>
    </row>
    <row r="70" ht="68.65000000000001" customHeight="1" s="8">
      <c r="A70" s="10" t="inlineStr">
        <is>
          <t>c4-pv-q-voce</t>
        </is>
      </c>
      <c r="B70" s="10" t="inlineStr">
        <is>
          <t>1, 2, 4, 5, 6, 7, 8, 9, 10, 12, 13, 14, 15</t>
        </is>
      </c>
      <c r="C70" s="10" t="inlineStr">
        <is>
          <t>distribuição dos postos: pergunta ao jogador, que escolheu</t>
        </is>
      </c>
      <c r="D70" s="10" t="inlineStr">
        <is>
          <t>roteiro</t>
        </is>
      </c>
      <c r="E70" s="10" t="inlineStr">
        <is>
          <t>cond (tabeliao|policial)</t>
        </is>
      </c>
      <c r="F70" s="10" t="inlineStr">
        <is>
          <t>jogador</t>
        </is>
      </c>
      <c r="G70" s="10" t="inlineStr">
        <is>
          <t>ch===EU_PAPEL</t>
        </is>
      </c>
      <c r="H70" s="10" t="inlineStr">
        <is>
          <t>e você</t>
        </is>
      </c>
      <c r="I70" s="10" t="n"/>
      <c r="J70" s="10" t="n"/>
      <c r="K70" s="10" t="n"/>
      <c r="L70" s="10" t="n"/>
      <c r="M70" s="10" t="n"/>
      <c r="N70" s="10" t="n"/>
      <c r="O70" s="10" t="n"/>
      <c r="P70" s="10" t="n"/>
      <c r="Q70" s="10" t="n"/>
      <c r="R70" s="10" t="inlineStr">
        <is>
          <t>E você?</t>
        </is>
      </c>
      <c r="S70" s="13" t="inlineStr">
        <is>
          <t>E você?!</t>
        </is>
      </c>
      <c r="T70" s="13" t="inlineStr">
        <is>
          <t>… E você?</t>
        </is>
      </c>
      <c r="U70" s="13" t="inlineStr">
        <is>
          <t>E você…?</t>
        </is>
      </c>
      <c r="V70" s="13" t="inlineStr">
        <is>
          <t>E você?</t>
        </is>
      </c>
      <c r="W70" s="13" t="inlineStr">
        <is>
          <t>Hum… e você?</t>
        </is>
      </c>
      <c r="X70" s="13" t="inlineStr">
        <is>
          <t>E você?</t>
        </is>
      </c>
      <c r="Y70" s="10">
        <f>SUMPRODUCT(($H70:$Q70&lt;&gt;"")*ISERROR(SEARCH($H70:$Q70,S70)))+SUMPRODUCT(($H70:$Q70&lt;&gt;"")*ISERROR(SEARCH($H70:$Q70,T70)))+SUMPRODUCT(($H70:$Q70&lt;&gt;"")*ISERROR(SEARCH($H70:$Q70,U70)))+SUMPRODUCT(($H70:$Q70&lt;&gt;"")*ISERROR(SEARCH($H70:$Q70,V70)))+SUMPRODUCT(($H70:$Q70&lt;&gt;"")*ISERROR(SEARCH($H70:$Q70,W70)))+SUMPRODUCT(($H70:$Q70&lt;&gt;"")*ISERROR(SEARCH($H70:$Q70,X70)))</f>
        <v/>
      </c>
      <c r="Z70" s="10" t="inlineStr">
        <is>
          <t>Enquadre: &lt;i&gt;"…"&lt;/i&gt;, perguntou {cond} (Tabelião, ou Policial se não houver Tabelião). Depois vem a resposta de quem escolheu o posto. O código monta 'E '+trat+'?'. Aqui pergunta {a:pol}… a você (o jogador é quem escolheu).</t>
        </is>
      </c>
    </row>
    <row r="71" ht="91" customHeight="1" s="8">
      <c r="A71" s="10" t="inlineStr">
        <is>
          <t>c4-p1-posto</t>
        </is>
      </c>
      <c r="B71" s="10" t="inlineStr">
        <is>
          <t>1, 12</t>
        </is>
      </c>
      <c r="C71" s="10" t="inlineStr">
        <is>
          <t>distribuição dos postos: quem escolheu responde</t>
        </is>
      </c>
      <c r="D71" s="10" t="inlineStr">
        <is>
          <t>roteiro</t>
        </is>
      </c>
      <c r="E71" s="10" t="inlineStr">
        <is>
          <t>residente (ch)</t>
        </is>
      </c>
      <c r="F71" s="10" t="inlineStr">
        <is>
          <t>condutor (tabeliao|policial)</t>
        </is>
      </c>
      <c r="G71" s="10" t="inlineStr">
        <is>
          <t>P===1||P===12</t>
        </is>
      </c>
      <c r="H71" s="10" t="inlineStr">
        <is>
          <t>porta do quarto de serviço</t>
        </is>
      </c>
      <c r="I71" s="10" t="inlineStr">
        <is>
          <t>barulhos</t>
        </is>
      </c>
      <c r="J71" s="10" t="inlineStr">
        <is>
          <t>daquela ala</t>
        </is>
      </c>
      <c r="K71" s="10" t="n"/>
      <c r="L71" s="10" t="n"/>
      <c r="M71" s="10" t="n"/>
      <c r="N71" s="10" t="n"/>
      <c r="O71" s="10" t="n"/>
      <c r="P71" s="10" t="n"/>
      <c r="Q71" s="10" t="n"/>
      <c r="R71" s="10" t="inlineStr">
        <is>
          <t>Eu fico na porta do quarto de serviço. Conheço os barulhos daquela ala</t>
        </is>
      </c>
      <c r="S71" s="13" t="inlineStr">
        <is>
          <t>Eu fico na porta do quarto de serviço! Conheço os barulhos daquela ala</t>
        </is>
      </c>
      <c r="T71" s="13" t="inlineStr">
        <is>
          <t>Eu fico… na porta do quarto de serviço. Conheço os barulhos… daquela ala</t>
        </is>
      </c>
      <c r="U71" s="13" t="inlineStr">
        <is>
          <t>Eu fico na porta do quarto de serviço, pode ser? Conheço os barulhos daquela ala</t>
        </is>
      </c>
      <c r="V71" s="13" t="inlineStr">
        <is>
          <t>Eu fico na porta do quarto de serviço. Conheço os barulhos daquela ala</t>
        </is>
      </c>
      <c r="W71" s="13" t="inlineStr">
        <is>
          <t>Bom… eu fico na porta do quarto de serviço. Conheço os barulhos daquela ala</t>
        </is>
      </c>
      <c r="X71" s="13" t="inlineStr">
        <is>
          <t>Eu fico na porta do quarto de serviço. Motivo: conheço os barulhos daquela ala</t>
        </is>
      </c>
      <c r="Y71" s="10">
        <f>SUMPRODUCT(($H71:$Q71&lt;&gt;"")*ISERROR(SEARCH($H71:$Q71,S71)))+SUMPRODUCT(($H71:$Q71&lt;&gt;"")*ISERROR(SEARCH($H71:$Q71,T71)))+SUMPRODUCT(($H71:$Q71&lt;&gt;"")*ISERROR(SEARCH($H71:$Q71,U71)))+SUMPRODUCT(($H71:$Q71&lt;&gt;"")*ISERROR(SEARCH($H71:$Q71,V71)))+SUMPRODUCT(($H71:$Q71&lt;&gt;"")*ISERROR(SEARCH($H71:$Q71,W71)))+SUMPRODUCT(($H71:$Q71&lt;&gt;"")*ISERROR(SEARCH($H71:$Q71,X71)))</f>
        <v/>
      </c>
      <c r="Z71"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2" ht="91" customHeight="1" s="8">
      <c r="A72" s="10" t="inlineStr">
        <is>
          <t>c4-p2-posto</t>
        </is>
      </c>
      <c r="B72" s="10" t="inlineStr">
        <is>
          <t>2, 7</t>
        </is>
      </c>
      <c r="C72" s="10" t="inlineStr">
        <is>
          <t>distribuição dos postos: quem escolheu responde</t>
        </is>
      </c>
      <c r="D72" s="10" t="inlineStr">
        <is>
          <t>roteiro</t>
        </is>
      </c>
      <c r="E72" s="10" t="inlineStr">
        <is>
          <t>residente (ch)</t>
        </is>
      </c>
      <c r="F72" s="10" t="inlineStr">
        <is>
          <t>condutor (tabeliao|policial)</t>
        </is>
      </c>
      <c r="G72" s="10" t="inlineStr">
        <is>
          <t>P===2||P===7</t>
        </is>
      </c>
      <c r="H72" s="10" t="inlineStr">
        <is>
          <t>despensa</t>
        </is>
      </c>
      <c r="I72" s="10" t="n"/>
      <c r="J72" s="10" t="n"/>
      <c r="K72" s="10" t="n"/>
      <c r="L72" s="10" t="n"/>
      <c r="M72" s="10" t="n"/>
      <c r="N72" s="10" t="n"/>
      <c r="O72" s="10" t="n"/>
      <c r="P72" s="10" t="n"/>
      <c r="Q72" s="10" t="n"/>
      <c r="R72" s="10" t="inlineStr">
        <is>
          <t>Eu fico na despensa</t>
        </is>
      </c>
      <c r="S72" s="13" t="inlineStr">
        <is>
          <t>Eu fico na despensa!</t>
        </is>
      </c>
      <c r="T72" s="13" t="inlineStr">
        <is>
          <t>Eu… fico na despensa.</t>
        </is>
      </c>
      <c r="U72" s="13" t="inlineStr">
        <is>
          <t>Eu fico na despensa…</t>
        </is>
      </c>
      <c r="V72" s="13" t="inlineStr">
        <is>
          <t>Eu fico na despensa.</t>
        </is>
      </c>
      <c r="W72" s="13" t="inlineStr">
        <is>
          <t>Bem… eu fico na despensa</t>
        </is>
      </c>
      <c r="X72" s="13" t="inlineStr">
        <is>
          <t>Eu fico na despensa.</t>
        </is>
      </c>
      <c r="Y72" s="10">
        <f>SUMPRODUCT(($H72:$Q72&lt;&gt;"")*ISERROR(SEARCH($H72:$Q72,S72)))+SUMPRODUCT(($H72:$Q72&lt;&gt;"")*ISERROR(SEARCH($H72:$Q72,T72)))+SUMPRODUCT(($H72:$Q72&lt;&gt;"")*ISERROR(SEARCH($H72:$Q72,U72)))+SUMPRODUCT(($H72:$Q72&lt;&gt;"")*ISERROR(SEARCH($H72:$Q72,V72)))+SUMPRODUCT(($H72:$Q72&lt;&gt;"")*ISERROR(SEARCH($H72:$Q72,W72)))+SUMPRODUCT(($H72:$Q72&lt;&gt;"")*ISERROR(SEARCH($H72:$Q72,X72)))</f>
        <v/>
      </c>
      <c r="Z72"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3" ht="91" customHeight="1" s="8">
      <c r="A73" s="10" t="inlineStr">
        <is>
          <t>c4-p4-posto</t>
        </is>
      </c>
      <c r="B73" s="10" t="n">
        <v>4</v>
      </c>
      <c r="C73" s="10" t="inlineStr">
        <is>
          <t>distribuição dos postos: quem escolheu responde</t>
        </is>
      </c>
      <c r="D73" s="10" t="inlineStr">
        <is>
          <t>roteiro</t>
        </is>
      </c>
      <c r="E73" s="10" t="inlineStr">
        <is>
          <t>herdeira (ch)</t>
        </is>
      </c>
      <c r="F73" s="10" t="inlineStr">
        <is>
          <t>condutor (tabeliao|policial)</t>
        </is>
      </c>
      <c r="G73" s="10" t="inlineStr">
        <is>
          <t>P===4</t>
        </is>
      </c>
      <c r="H73" s="10" t="inlineStr">
        <is>
          <t>varanda</t>
        </is>
      </c>
      <c r="I73" s="10" t="inlineStr">
        <is>
          <t>preciso de ar</t>
        </is>
      </c>
      <c r="J73" s="10" t="n"/>
      <c r="K73" s="10" t="n"/>
      <c r="L73" s="10" t="n"/>
      <c r="M73" s="10" t="n"/>
      <c r="N73" s="10" t="n"/>
      <c r="O73" s="10" t="n"/>
      <c r="P73" s="10" t="n"/>
      <c r="Q73" s="10" t="n"/>
      <c r="R73" s="10" t="inlineStr">
        <is>
          <t>Eu fico na varanda. Preciso de ar</t>
        </is>
      </c>
      <c r="S73" s="13" t="inlineStr">
        <is>
          <t>Eu fico na varanda! Preciso de ar</t>
        </is>
      </c>
      <c r="T73" s="13" t="inlineStr">
        <is>
          <t>Eu fico… na varanda. Preciso de ar</t>
        </is>
      </c>
      <c r="U73" s="13" t="inlineStr">
        <is>
          <t>Eu fico na varanda… preciso de ar, desculpa</t>
        </is>
      </c>
      <c r="V73" s="13" t="inlineStr">
        <is>
          <t>Eu fico na varanda. Preciso de ar</t>
        </is>
      </c>
      <c r="W73" s="13" t="inlineStr">
        <is>
          <t>Que cansaço… eu fico na varanda. Preciso de ar</t>
        </is>
      </c>
      <c r="X73" s="13" t="inlineStr">
        <is>
          <t>Eu fico na varanda. Motivo: preciso de ar</t>
        </is>
      </c>
      <c r="Y73" s="10">
        <f>SUMPRODUCT(($H73:$Q73&lt;&gt;"")*ISERROR(SEARCH($H73:$Q73,S73)))+SUMPRODUCT(($H73:$Q73&lt;&gt;"")*ISERROR(SEARCH($H73:$Q73,T73)))+SUMPRODUCT(($H73:$Q73&lt;&gt;"")*ISERROR(SEARCH($H73:$Q73,U73)))+SUMPRODUCT(($H73:$Q73&lt;&gt;"")*ISERROR(SEARCH($H73:$Q73,V73)))+SUMPRODUCT(($H73:$Q73&lt;&gt;"")*ISERROR(SEARCH($H73:$Q73,W73)))+SUMPRODUCT(($H73:$Q73&lt;&gt;"")*ISERROR(SEARCH($H73:$Q73,X73)))</f>
        <v/>
      </c>
      <c r="Z73"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4" ht="91" customHeight="1" s="8">
      <c r="A74" s="10" t="inlineStr">
        <is>
          <t>c4-p5-posto</t>
        </is>
      </c>
      <c r="B74" s="10" t="inlineStr">
        <is>
          <t>5, 6, 15</t>
        </is>
      </c>
      <c r="C74" s="10" t="inlineStr">
        <is>
          <t>distribuição dos postos: quem escolheu responde</t>
        </is>
      </c>
      <c r="D74" s="10" t="inlineStr">
        <is>
          <t>roteiro</t>
        </is>
      </c>
      <c r="E74" s="10" t="inlineStr">
        <is>
          <t>advogado (P5) | jornalista (P6) | observadora (P15)</t>
        </is>
      </c>
      <c r="F74" s="10" t="inlineStr">
        <is>
          <t>condutor (tabeliao|policial)</t>
        </is>
      </c>
      <c r="G74" s="10" t="inlineStr">
        <is>
          <t>P===5||P===6||P===15</t>
        </is>
      </c>
      <c r="H74" s="10" t="inlineStr">
        <is>
          <t>janela dos retratos</t>
        </is>
      </c>
      <c r="I74" s="10" t="n"/>
      <c r="J74" s="10" t="n"/>
      <c r="K74" s="10" t="n"/>
      <c r="L74" s="10" t="n"/>
      <c r="M74" s="10" t="n"/>
      <c r="N74" s="10" t="n"/>
      <c r="O74" s="10" t="n"/>
      <c r="P74" s="10" t="n"/>
      <c r="Q74" s="10" t="n"/>
      <c r="R74" s="10" t="inlineStr">
        <is>
          <t>Eu fico na janela dos retratos</t>
        </is>
      </c>
      <c r="S74" s="13" t="inlineStr">
        <is>
          <t>Eu fico na janela dos retratos, e pronto</t>
        </is>
      </c>
      <c r="T74" s="13" t="inlineStr">
        <is>
          <t>Eu fico… na janela dos retratos</t>
        </is>
      </c>
      <c r="U74" s="13" t="inlineStr">
        <is>
          <t>Eu fico na janela dos retratos, pode ser?</t>
        </is>
      </c>
      <c r="V74" s="13" t="inlineStr">
        <is>
          <t>Eu fico na janela dos retratos. Daqui não saio</t>
        </is>
      </c>
      <c r="W74" s="13" t="inlineStr">
        <is>
          <t>Que demora isso tudo… eu fico na janela dos retratos</t>
        </is>
      </c>
      <c r="X74" s="13" t="inlineStr">
        <is>
          <t>Eu fico na janela dos retratos. Anote</t>
        </is>
      </c>
      <c r="Y74" s="10">
        <f>SUMPRODUCT(($H74:$Q74&lt;&gt;"")*ISERROR(SEARCH($H74:$Q74,S74)))+SUMPRODUCT(($H74:$Q74&lt;&gt;"")*ISERROR(SEARCH($H74:$Q74,T74)))+SUMPRODUCT(($H74:$Q74&lt;&gt;"")*ISERROR(SEARCH($H74:$Q74,U74)))+SUMPRODUCT(($H74:$Q74&lt;&gt;"")*ISERROR(SEARCH($H74:$Q74,V74)))+SUMPRODUCT(($H74:$Q74&lt;&gt;"")*ISERROR(SEARCH($H74:$Q74,W74)))+SUMPRODUCT(($H74:$Q74&lt;&gt;"")*ISERROR(SEARCH($H74:$Q74,X74)))</f>
        <v/>
      </c>
      <c r="Z74"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5" ht="91" customHeight="1" s="8">
      <c r="A75" s="10" t="inlineStr">
        <is>
          <t>c4-p8-posto</t>
        </is>
      </c>
      <c r="B75" s="10" t="n">
        <v>8</v>
      </c>
      <c r="C75" s="10" t="inlineStr">
        <is>
          <t>distribuição dos postos: quem escolheu responde</t>
        </is>
      </c>
      <c r="D75" s="10" t="inlineStr">
        <is>
          <t>roteiro</t>
        </is>
      </c>
      <c r="E75" s="10" t="inlineStr">
        <is>
          <t>governanta (ch)</t>
        </is>
      </c>
      <c r="F75" s="10" t="inlineStr">
        <is>
          <t>condutor (tabeliao|policial)</t>
        </is>
      </c>
      <c r="G75" s="10" t="inlineStr">
        <is>
          <t>P===8</t>
        </is>
      </c>
      <c r="H75" s="10" t="inlineStr">
        <is>
          <t>despensa</t>
        </is>
      </c>
      <c r="I75" s="10" t="inlineStr">
        <is>
          <t>escadinha</t>
        </is>
      </c>
      <c r="J75" s="10" t="n"/>
      <c r="K75" s="10" t="n"/>
      <c r="L75" s="10" t="n"/>
      <c r="M75" s="10" t="n"/>
      <c r="N75" s="10" t="n"/>
      <c r="O75" s="10" t="n"/>
      <c r="P75" s="10" t="n"/>
      <c r="Q75" s="10" t="n"/>
      <c r="R75" s="10" t="inlineStr">
        <is>
          <t>Eu fico na despensa. Conheço a escadinha</t>
        </is>
      </c>
      <c r="S75" s="13" t="inlineStr">
        <is>
          <t>Eu fico na despensa! Conheço a escadinha</t>
        </is>
      </c>
      <c r="T75" s="13" t="inlineStr">
        <is>
          <t>Eu fico… na despensa. Conheço a escadinha</t>
        </is>
      </c>
      <c r="U75" s="13" t="inlineStr">
        <is>
          <t>Eu fico na despensa, pode ser? Conheço a escadinha</t>
        </is>
      </c>
      <c r="V75" s="13" t="inlineStr">
        <is>
          <t>Eu fico na despensa. Conheço a escadinha</t>
        </is>
      </c>
      <c r="W75" s="13" t="inlineStr">
        <is>
          <t>Com essa umidade… eu fico na despensa. Conheço a escadinha</t>
        </is>
      </c>
      <c r="X75" s="13" t="inlineStr">
        <is>
          <t>Eu fico na despensa. Motivo: conheço a escadinha</t>
        </is>
      </c>
      <c r="Y75" s="10">
        <f>SUMPRODUCT(($H75:$Q75&lt;&gt;"")*ISERROR(SEARCH($H75:$Q75,S75)))+SUMPRODUCT(($H75:$Q75&lt;&gt;"")*ISERROR(SEARCH($H75:$Q75,T75)))+SUMPRODUCT(($H75:$Q75&lt;&gt;"")*ISERROR(SEARCH($H75:$Q75,U75)))+SUMPRODUCT(($H75:$Q75&lt;&gt;"")*ISERROR(SEARCH($H75:$Q75,V75)))+SUMPRODUCT(($H75:$Q75&lt;&gt;"")*ISERROR(SEARCH($H75:$Q75,W75)))+SUMPRODUCT(($H75:$Q75&lt;&gt;"")*ISERROR(SEARCH($H75:$Q75,X75)))</f>
        <v/>
      </c>
      <c r="Z75"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6" ht="91" customHeight="1" s="8">
      <c r="A76" s="10" t="inlineStr">
        <is>
          <t>c4-p9-posto</t>
        </is>
      </c>
      <c r="B76" s="10" t="n">
        <v>9</v>
      </c>
      <c r="C76" s="10" t="inlineStr">
        <is>
          <t>distribuição dos postos: quem escolheu responde</t>
        </is>
      </c>
      <c r="D76" s="10" t="inlineStr">
        <is>
          <t>roteiro</t>
        </is>
      </c>
      <c r="E76" s="10" t="inlineStr">
        <is>
          <t>herdeira (ch)</t>
        </is>
      </c>
      <c r="F76" s="10" t="inlineStr">
        <is>
          <t>condutor (tabeliao|policial)</t>
        </is>
      </c>
      <c r="G76" s="10" t="inlineStr">
        <is>
          <t>P===9</t>
        </is>
      </c>
      <c r="H76" s="10" t="inlineStr">
        <is>
          <t>biblioteca</t>
        </is>
      </c>
      <c r="I76" s="10" t="inlineStr">
        <is>
          <t>vela</t>
        </is>
      </c>
      <c r="J76" s="10" t="n"/>
      <c r="K76" s="10" t="n"/>
      <c r="L76" s="10" t="n"/>
      <c r="M76" s="10" t="n"/>
      <c r="N76" s="10" t="n"/>
      <c r="O76" s="10" t="n"/>
      <c r="P76" s="10" t="n"/>
      <c r="Q76" s="10" t="n"/>
      <c r="R76" s="10" t="inlineStr">
        <is>
          <t>Eu fico na biblioteca. Levo uma vela</t>
        </is>
      </c>
      <c r="S76" s="13" t="inlineStr">
        <is>
          <t>Eu fico na biblioteca! Levo uma vela</t>
        </is>
      </c>
      <c r="T76" s="13" t="inlineStr">
        <is>
          <t>Eu fico… na biblioteca. Levo uma vela</t>
        </is>
      </c>
      <c r="U76" s="13" t="inlineStr">
        <is>
          <t>Eu fico na biblioteca. Levo uma vela, tá bom?</t>
        </is>
      </c>
      <c r="V76" s="13" t="inlineStr">
        <is>
          <t>Eu fico na biblioteca. Levo uma vela</t>
        </is>
      </c>
      <c r="W76" s="13" t="inlineStr">
        <is>
          <t>Com esse frio… eu fico na biblioteca. Levo uma vela</t>
        </is>
      </c>
      <c r="X76" s="13" t="inlineStr">
        <is>
          <t>Eu fico na biblioteca. Material: levo uma vela</t>
        </is>
      </c>
      <c r="Y76" s="10">
        <f>SUMPRODUCT(($H76:$Q76&lt;&gt;"")*ISERROR(SEARCH($H76:$Q76,S76)))+SUMPRODUCT(($H76:$Q76&lt;&gt;"")*ISERROR(SEARCH($H76:$Q76,T76)))+SUMPRODUCT(($H76:$Q76&lt;&gt;"")*ISERROR(SEARCH($H76:$Q76,U76)))+SUMPRODUCT(($H76:$Q76&lt;&gt;"")*ISERROR(SEARCH($H76:$Q76,V76)))+SUMPRODUCT(($H76:$Q76&lt;&gt;"")*ISERROR(SEARCH($H76:$Q76,W76)))+SUMPRODUCT(($H76:$Q76&lt;&gt;"")*ISERROR(SEARCH($H76:$Q76,X76)))</f>
        <v/>
      </c>
      <c r="Z76"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7" ht="91" customHeight="1" s="8">
      <c r="A77" s="10" t="inlineStr">
        <is>
          <t>c4-p10-posto</t>
        </is>
      </c>
      <c r="B77" s="10" t="n">
        <v>10</v>
      </c>
      <c r="C77" s="10" t="inlineStr">
        <is>
          <t>distribuição dos postos: quem escolheu responde</t>
        </is>
      </c>
      <c r="D77" s="10" t="inlineStr">
        <is>
          <t>roteiro</t>
        </is>
      </c>
      <c r="E77" s="10" t="inlineStr">
        <is>
          <t>policial (ch)</t>
        </is>
      </c>
      <c r="F77" s="10" t="inlineStr">
        <is>
          <t>condutor (tabeliao|policial)</t>
        </is>
      </c>
      <c r="G77" s="10" t="inlineStr">
        <is>
          <t>P===10</t>
        </is>
      </c>
      <c r="H77" s="10" t="inlineStr">
        <is>
          <t>vestíbulo</t>
        </is>
      </c>
      <c r="I77" s="10" t="inlineStr">
        <is>
          <t>rádio</t>
        </is>
      </c>
      <c r="J77" s="10" t="n"/>
      <c r="K77" s="10" t="n"/>
      <c r="L77" s="10" t="n"/>
      <c r="M77" s="10" t="n"/>
      <c r="N77" s="10" t="n"/>
      <c r="O77" s="10" t="n"/>
      <c r="P77" s="10" t="n"/>
      <c r="Q77" s="10" t="n"/>
      <c r="R77" s="10" t="inlineStr">
        <is>
          <t>Eu fico no vestíbulo, no rádio</t>
        </is>
      </c>
      <c r="S77" s="13" t="inlineStr">
        <is>
          <t>Eu fico no vestíbulo, no rádio, e pronto</t>
        </is>
      </c>
      <c r="T77" s="13" t="inlineStr">
        <is>
          <t>Eu fico… no vestíbulo. No rádio</t>
        </is>
      </c>
      <c r="U77" s="13" t="inlineStr">
        <is>
          <t>Eu fico no vestíbulo, no rádio, pode ser?</t>
        </is>
      </c>
      <c r="V77" s="13" t="inlineStr">
        <is>
          <t>Eu fico no vestíbulo, no rádio. É o meu lugar</t>
        </is>
      </c>
      <c r="W77" s="13" t="inlineStr">
        <is>
          <t>Com essa demora toda… eu fico no vestíbulo, no rádio</t>
        </is>
      </c>
      <c r="X77" s="13" t="inlineStr">
        <is>
          <t>Eu fico no vestíbulo, no rádio. Anote</t>
        </is>
      </c>
      <c r="Y77" s="10">
        <f>SUMPRODUCT(($H77:$Q77&lt;&gt;"")*ISERROR(SEARCH($H77:$Q77,S77)))+SUMPRODUCT(($H77:$Q77&lt;&gt;"")*ISERROR(SEARCH($H77:$Q77,T77)))+SUMPRODUCT(($H77:$Q77&lt;&gt;"")*ISERROR(SEARCH($H77:$Q77,U77)))+SUMPRODUCT(($H77:$Q77&lt;&gt;"")*ISERROR(SEARCH($H77:$Q77,V77)))+SUMPRODUCT(($H77:$Q77&lt;&gt;"")*ISERROR(SEARCH($H77:$Q77,W77)))+SUMPRODUCT(($H77:$Q77&lt;&gt;"")*ISERROR(SEARCH($H77:$Q77,X77)))</f>
        <v/>
      </c>
      <c r="Z77"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8" ht="91" customHeight="1" s="8">
      <c r="A78" s="10" t="inlineStr">
        <is>
          <t>c4-p13-posto</t>
        </is>
      </c>
      <c r="B78" s="10" t="n">
        <v>13</v>
      </c>
      <c r="C78" s="10" t="inlineStr">
        <is>
          <t>distribuição dos postos: quem escolheu responde</t>
        </is>
      </c>
      <c r="D78" s="10" t="inlineStr">
        <is>
          <t>roteiro</t>
        </is>
      </c>
      <c r="E78" s="10" t="inlineStr">
        <is>
          <t>jornalista (ch)</t>
        </is>
      </c>
      <c r="F78" s="10" t="inlineStr">
        <is>
          <t>condutor (tabeliao|policial)</t>
        </is>
      </c>
      <c r="G78" s="10" t="inlineStr">
        <is>
          <t>P===13</t>
        </is>
      </c>
      <c r="H78" s="10" t="inlineStr">
        <is>
          <t>patamar</t>
        </is>
      </c>
      <c r="I78" s="10" t="n"/>
      <c r="J78" s="10" t="n"/>
      <c r="K78" s="10" t="n"/>
      <c r="L78" s="10" t="n"/>
      <c r="M78" s="10" t="n"/>
      <c r="N78" s="10" t="n"/>
      <c r="O78" s="10" t="n"/>
      <c r="P78" s="10" t="n"/>
      <c r="Q78" s="10" t="n"/>
      <c r="R78" s="10" t="inlineStr">
        <is>
          <t>Eu fico no patamar</t>
        </is>
      </c>
      <c r="S78" s="13" t="inlineStr">
        <is>
          <t>Eu fico no patamar!</t>
        </is>
      </c>
      <c r="T78" s="13" t="inlineStr">
        <is>
          <t>Eu… fico no patamar.</t>
        </is>
      </c>
      <c r="U78" s="13" t="inlineStr">
        <is>
          <t>Eu fico no patamar…</t>
        </is>
      </c>
      <c r="V78" s="13" t="inlineStr">
        <is>
          <t>Eu fico no patamar.</t>
        </is>
      </c>
      <c r="W78" s="13" t="inlineStr">
        <is>
          <t>Ah… eu fico no patamar</t>
        </is>
      </c>
      <c r="X78" s="13" t="inlineStr">
        <is>
          <t>Eu fico no patamar.</t>
        </is>
      </c>
      <c r="Y78" s="10">
        <f>SUMPRODUCT(($H78:$Q78&lt;&gt;"")*ISERROR(SEARCH($H78:$Q78,S78)))+SUMPRODUCT(($H78:$Q78&lt;&gt;"")*ISERROR(SEARCH($H78:$Q78,T78)))+SUMPRODUCT(($H78:$Q78&lt;&gt;"")*ISERROR(SEARCH($H78:$Q78,U78)))+SUMPRODUCT(($H78:$Q78&lt;&gt;"")*ISERROR(SEARCH($H78:$Q78,V78)))+SUMPRODUCT(($H78:$Q78&lt;&gt;"")*ISERROR(SEARCH($H78:$Q78,W78)))+SUMPRODUCT(($H78:$Q78&lt;&gt;"")*ISERROR(SEARCH($H78:$Q78,X78)))</f>
        <v/>
      </c>
      <c r="Z78"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79" ht="91" customHeight="1" s="8">
      <c r="A79" s="10" t="inlineStr">
        <is>
          <t>c4-p14-posto</t>
        </is>
      </c>
      <c r="B79" s="10" t="n">
        <v>14</v>
      </c>
      <c r="C79" s="10" t="inlineStr">
        <is>
          <t>distribuição dos postos: quem escolheu responde</t>
        </is>
      </c>
      <c r="D79" s="10" t="inlineStr">
        <is>
          <t>roteiro</t>
        </is>
      </c>
      <c r="E79" s="10" t="inlineStr">
        <is>
          <t>herdeira (ch)</t>
        </is>
      </c>
      <c r="F79" s="10" t="inlineStr">
        <is>
          <t>condutor (tabeliao|policial)</t>
        </is>
      </c>
      <c r="G79" s="10" t="inlineStr">
        <is>
          <t>P===14</t>
        </is>
      </c>
      <c r="H79" s="10" t="inlineStr">
        <is>
          <t>varanda</t>
        </is>
      </c>
      <c r="I79" s="10" t="n"/>
      <c r="J79" s="10" t="n"/>
      <c r="K79" s="10" t="n"/>
      <c r="L79" s="10" t="n"/>
      <c r="M79" s="10" t="n"/>
      <c r="N79" s="10" t="n"/>
      <c r="O79" s="10" t="n"/>
      <c r="P79" s="10" t="n"/>
      <c r="Q79" s="10" t="n"/>
      <c r="R79" s="10" t="inlineStr">
        <is>
          <t>Eu fico na varanda</t>
        </is>
      </c>
      <c r="S79" s="13" t="inlineStr">
        <is>
          <t>Eu fico na varanda!</t>
        </is>
      </c>
      <c r="T79" s="13" t="inlineStr">
        <is>
          <t>Eu… fico na varanda.</t>
        </is>
      </c>
      <c r="U79" s="13" t="inlineStr">
        <is>
          <t>Eu fico na varanda…</t>
        </is>
      </c>
      <c r="V79" s="13" t="inlineStr">
        <is>
          <t>Eu fico na varanda.</t>
        </is>
      </c>
      <c r="W79" s="13" t="inlineStr">
        <is>
          <t>Eu fico na varanda</t>
        </is>
      </c>
      <c r="X79" s="13" t="inlineStr">
        <is>
          <t>Eu fico na varanda.</t>
        </is>
      </c>
      <c r="Y79" s="10">
        <f>SUMPRODUCT(($H79:$Q79&lt;&gt;"")*ISERROR(SEARCH($H79:$Q79,S79)))+SUMPRODUCT(($H79:$Q79&lt;&gt;"")*ISERROR(SEARCH($H79:$Q79,T79)))+SUMPRODUCT(($H79:$Q79&lt;&gt;"")*ISERROR(SEARCH($H79:$Q79,U79)))+SUMPRODUCT(($H79:$Q79&lt;&gt;"")*ISERROR(SEARCH($H79:$Q79,V79)))+SUMPRODUCT(($H79:$Q79&lt;&gt;"")*ISERROR(SEARCH($H79:$Q79,W79)))+SUMPRODUCT(($H79:$Q79&lt;&gt;"")*ISERROR(SEARCH($H79:$Q79,X79)))</f>
        <v/>
      </c>
      <c r="Z79" s="10" t="inlineStr">
        <is>
          <t>Enquadre: &lt;i&gt;"…"&lt;/i&gt;, respondeu {ch} (ou: você respondeu). {Cond} hesitou, depois anotou. O código monta 'Eu fico '+POSTOS_R2[...].curto+EXTRA, sem ponto final; as versões também vêm sem ponto final. Quando o jogador é quem escolheu, a fala é dele: manter o texto base.</t>
        </is>
      </c>
    </row>
    <row r="80" ht="57.45" customHeight="1" s="8">
      <c r="A80" s="10" t="inlineStr">
        <is>
          <t>c4-p1-saida</t>
        </is>
      </c>
      <c r="B80" s="10" t="inlineStr">
        <is>
          <t>1, 7, 12</t>
        </is>
      </c>
      <c r="C80" s="10" t="inlineStr">
        <is>
          <t>a saída aberta: a Herdeira abre a porta da varanda</t>
        </is>
      </c>
      <c r="D80" s="10" t="inlineStr">
        <is>
          <t>roteiro</t>
        </is>
      </c>
      <c r="E80" s="10" t="inlineStr">
        <is>
          <t>herdeira</t>
        </is>
      </c>
      <c r="F80" s="10" t="inlineStr">
        <is>
          <t>ninguém em especial</t>
        </is>
      </c>
      <c r="G80" s="10" t="inlineStr">
        <is>
          <t>SAIDA_R2 P1, P7, P12</t>
        </is>
      </c>
      <c r="H80" s="10" t="inlineStr">
        <is>
          <t>preciso de ar</t>
        </is>
      </c>
      <c r="I80" s="10" t="n"/>
      <c r="J80" s="10" t="n"/>
      <c r="K80" s="10" t="n"/>
      <c r="L80" s="10" t="n"/>
      <c r="M80" s="10" t="n"/>
      <c r="N80" s="10" t="n"/>
      <c r="O80" s="10" t="n"/>
      <c r="P80" s="10" t="n"/>
      <c r="Q80" s="10" t="n"/>
      <c r="R80" s="10" t="inlineStr">
        <is>
          <t>Preciso de ar.</t>
        </is>
      </c>
      <c r="S80" s="13" t="inlineStr">
        <is>
          <t>Preciso de ar!</t>
        </is>
      </c>
      <c r="T80" s="13" t="inlineStr">
        <is>
          <t>… Preciso de ar.</t>
        </is>
      </c>
      <c r="U80" s="13" t="inlineStr">
        <is>
          <t>Preciso de ar…</t>
        </is>
      </c>
      <c r="V80" s="13" t="inlineStr">
        <is>
          <t>Preciso de ar.</t>
        </is>
      </c>
      <c r="W80" s="13" t="inlineStr">
        <is>
          <t>Hum… preciso de ar.</t>
        </is>
      </c>
      <c r="X80" s="13" t="inlineStr">
        <is>
          <t>Preciso de ar.</t>
        </is>
      </c>
      <c r="Y80" s="10">
        <f>SUMPRODUCT(($H80:$Q80&lt;&gt;"")*ISERROR(SEARCH($H80:$Q80,S80)))+SUMPRODUCT(($H80:$Q80&lt;&gt;"")*ISERROR(SEARCH($H80:$Q80,T80)))+SUMPRODUCT(($H80:$Q80&lt;&gt;"")*ISERROR(SEARCH($H80:$Q80,U80)))+SUMPRODUCT(($H80:$Q80&lt;&gt;"")*ISERROR(SEARCH($H80:$Q80,V80)))+SUMPRODUCT(($H80:$Q80&lt;&gt;"")*ISERROR(SEARCH($H80:$Q80,W80)))+SUMPRODUCT(($H80:$Q80&lt;&gt;"")*ISERROR(SEARCH($H80:$Q80,X80)))</f>
        <v/>
      </c>
      <c r="Z80" s="10" t="inlineStr">
        <is>
          <t>Enquadre: Antes de ir para o seu posto (P12: para a sala de jantar), {her} passou pela cozinha e abriu a porta da varanda. &lt;i&gt;"…"&lt;/i&gt; (P1/P7: Ninguém a fechou depois.)</t>
        </is>
      </c>
    </row>
    <row r="81" ht="23.85" customHeight="1" s="8">
      <c r="A81" s="10" t="inlineStr">
        <is>
          <t>c4-p12-saida-gov</t>
        </is>
      </c>
      <c r="B81" s="10" t="n">
        <v>12</v>
      </c>
      <c r="C81" s="10" t="inlineStr">
        <is>
          <t>a saída aberta: a Governanta reclama</t>
        </is>
      </c>
      <c r="D81" s="10" t="inlineStr">
        <is>
          <t>roteiro</t>
        </is>
      </c>
      <c r="E81" s="10" t="inlineStr">
        <is>
          <t>governanta</t>
        </is>
      </c>
      <c r="F81" s="10" t="inlineStr">
        <is>
          <t>herdeira</t>
        </is>
      </c>
      <c r="G81" s="10" t="inlineStr">
        <is>
          <t>P===12</t>
        </is>
      </c>
      <c r="H81" s="10" t="inlineStr">
        <is>
          <t>entrar frio</t>
        </is>
      </c>
      <c r="I81" s="10" t="n"/>
      <c r="J81" s="10" t="n"/>
      <c r="K81" s="10" t="n"/>
      <c r="L81" s="10" t="n"/>
      <c r="M81" s="10" t="n"/>
      <c r="N81" s="10" t="n"/>
      <c r="O81" s="10" t="n"/>
      <c r="P81" s="10" t="n"/>
      <c r="Q81" s="10" t="n"/>
      <c r="R81" s="10" t="inlineStr">
        <is>
          <t>Vai entrar frio</t>
        </is>
      </c>
      <c r="S81" s="13" t="inlineStr">
        <is>
          <t>Vai entrar frio!</t>
        </is>
      </c>
      <c r="T81" s="13" t="inlineStr">
        <is>
          <t>Vai… entrar frio.</t>
        </is>
      </c>
      <c r="U81" s="13" t="inlineStr">
        <is>
          <t>Vai entrar frio…</t>
        </is>
      </c>
      <c r="V81" s="13" t="inlineStr">
        <is>
          <t>Vai entrar frio.</t>
        </is>
      </c>
      <c r="W81" s="13" t="inlineStr">
        <is>
          <t>Bem… vai entrar frio</t>
        </is>
      </c>
      <c r="X81" s="13" t="inlineStr">
        <is>
          <t>Vai entrar frio.</t>
        </is>
      </c>
      <c r="Y81" s="10">
        <f>SUMPRODUCT(($H81:$Q81&lt;&gt;"")*ISERROR(SEARCH($H81:$Q81,S81)))+SUMPRODUCT(($H81:$Q81&lt;&gt;"")*ISERROR(SEARCH($H81:$Q81,T81)))+SUMPRODUCT(($H81:$Q81&lt;&gt;"")*ISERROR(SEARCH($H81:$Q81,U81)))+SUMPRODUCT(($H81:$Q81&lt;&gt;"")*ISERROR(SEARCH($H81:$Q81,V81)))+SUMPRODUCT(($H81:$Q81&lt;&gt;"")*ISERROR(SEARCH($H81:$Q81,W81)))+SUMPRODUCT(($H81:$Q81&lt;&gt;"")*ISERROR(SEARCH($H81:$Q81,X81)))</f>
        <v/>
      </c>
      <c r="Z81" s="10" t="inlineStr">
        <is>
          <t>Enquadre: &lt;i&gt;"…"&lt;/i&gt;, disse {gov}. Sem ponto final.</t>
        </is>
      </c>
    </row>
    <row r="82" ht="23.85" customHeight="1" s="8">
      <c r="A82" s="10" t="inlineStr">
        <is>
          <t>c4-p12-saida-her</t>
        </is>
      </c>
      <c r="B82" s="10" t="n">
        <v>12</v>
      </c>
      <c r="C82" s="10" t="inlineStr">
        <is>
          <t>a saída aberta: a Herdeira deixa aberta</t>
        </is>
      </c>
      <c r="D82" s="10" t="inlineStr">
        <is>
          <t>roteiro</t>
        </is>
      </c>
      <c r="E82" s="10" t="inlineStr">
        <is>
          <t>herdeira</t>
        </is>
      </c>
      <c r="F82" s="10" t="inlineStr">
        <is>
          <t>governanta</t>
        </is>
      </c>
      <c r="G82" s="10" t="inlineStr">
        <is>
          <t>P===12</t>
        </is>
      </c>
      <c r="H82" s="10" t="inlineStr">
        <is>
          <t>que entre</t>
        </is>
      </c>
      <c r="I82" s="10" t="n"/>
      <c r="J82" s="10" t="n"/>
      <c r="K82" s="10" t="n"/>
      <c r="L82" s="10" t="n"/>
      <c r="M82" s="10" t="n"/>
      <c r="N82" s="10" t="n"/>
      <c r="O82" s="10" t="n"/>
      <c r="P82" s="10" t="n"/>
      <c r="Q82" s="10" t="n"/>
      <c r="R82" s="10" t="inlineStr">
        <is>
          <t>Que entre.</t>
        </is>
      </c>
      <c r="S82" s="13" t="inlineStr">
        <is>
          <t>Que entre!</t>
        </is>
      </c>
      <c r="T82" s="13" t="inlineStr">
        <is>
          <t>… Que entre.</t>
        </is>
      </c>
      <c r="U82" s="13" t="inlineStr">
        <is>
          <t>Que entre…</t>
        </is>
      </c>
      <c r="V82" s="13" t="inlineStr">
        <is>
          <t>Que entre.</t>
        </is>
      </c>
      <c r="W82" s="13" t="inlineStr">
        <is>
          <t>Ah… que entre.</t>
        </is>
      </c>
      <c r="X82" s="13" t="inlineStr">
        <is>
          <t>Que entre.</t>
        </is>
      </c>
      <c r="Y82" s="10">
        <f>SUMPRODUCT(($H82:$Q82&lt;&gt;"")*ISERROR(SEARCH($H82:$Q82,S82)))+SUMPRODUCT(($H82:$Q82&lt;&gt;"")*ISERROR(SEARCH($H82:$Q82,T82)))+SUMPRODUCT(($H82:$Q82&lt;&gt;"")*ISERROR(SEARCH($H82:$Q82,U82)))+SUMPRODUCT(($H82:$Q82&lt;&gt;"")*ISERROR(SEARCH($H82:$Q82,V82)))+SUMPRODUCT(($H82:$Q82&lt;&gt;"")*ISERROR(SEARCH($H82:$Q82,W82)))+SUMPRODUCT(($H82:$Q82&lt;&gt;"")*ISERROR(SEARCH($H82:$Q82,X82)))</f>
        <v/>
      </c>
      <c r="Z82" s="10" t="inlineStr">
        <is>
          <t>Sem verbo de dizer.</t>
        </is>
      </c>
    </row>
    <row r="83" ht="23.85" customHeight="1" s="8">
      <c r="A83" s="10" t="inlineStr">
        <is>
          <t>c4-p8-saida</t>
        </is>
      </c>
      <c r="B83" s="10" t="n">
        <v>8</v>
      </c>
      <c r="C83" s="10" t="inlineStr">
        <is>
          <t>a saída aberta: o Jardineiro deixa uma fresta</t>
        </is>
      </c>
      <c r="D83" s="10" t="inlineStr">
        <is>
          <t>roteiro</t>
        </is>
      </c>
      <c r="E83" s="10" t="inlineStr">
        <is>
          <t>jardineiro</t>
        </is>
      </c>
      <c r="F83" s="10" t="inlineStr">
        <is>
          <t>ninguém em especial</t>
        </is>
      </c>
      <c r="G83" s="10" t="inlineStr">
        <is>
          <t>P===8</t>
        </is>
      </c>
      <c r="H83" s="10" t="inlineStr">
        <is>
          <t>gato</t>
        </is>
      </c>
      <c r="I83" s="10" t="inlineStr">
        <is>
          <t>para onde ir</t>
        </is>
      </c>
      <c r="J83" s="10" t="inlineStr">
        <is>
          <t>chuva</t>
        </is>
      </c>
      <c r="K83" s="10" t="n"/>
      <c r="L83" s="10" t="n"/>
      <c r="M83" s="10" t="n"/>
      <c r="N83" s="10" t="n"/>
      <c r="O83" s="10" t="n"/>
      <c r="P83" s="10" t="n"/>
      <c r="Q83" s="10" t="n"/>
      <c r="R83" s="10" t="inlineStr">
        <is>
          <t>O gato não tem para onde ir com essa chuva.</t>
        </is>
      </c>
      <c r="S83" s="13" t="inlineStr">
        <is>
          <t>O gato não tem para onde ir com essa chuva, ora!</t>
        </is>
      </c>
      <c r="T83" s="13" t="inlineStr">
        <is>
          <t>O gato… não tem para onde ir. Com essa chuva.</t>
        </is>
      </c>
      <c r="U83" s="13" t="inlineStr">
        <is>
          <t>O gato não tem para onde ir com essa chuva, coitado, não é?</t>
        </is>
      </c>
      <c r="V83" s="13" t="inlineStr">
        <is>
          <t>O gato não tem para onde ir com essa chuva.</t>
        </is>
      </c>
      <c r="W83" s="13" t="inlineStr">
        <is>
          <t>Bicho sofre nessas noites… O gato não tem para onde ir com essa chuva.</t>
        </is>
      </c>
      <c r="X83" s="13" t="inlineStr">
        <is>
          <t>Motivo: o gato não tem para onde ir com essa chuva.</t>
        </is>
      </c>
      <c r="Y83" s="10">
        <f>SUMPRODUCT(($H83:$Q83&lt;&gt;"")*ISERROR(SEARCH($H83:$Q83,S83)))+SUMPRODUCT(($H83:$Q83&lt;&gt;"")*ISERROR(SEARCH($H83:$Q83,T83)))+SUMPRODUCT(($H83:$Q83&lt;&gt;"")*ISERROR(SEARCH($H83:$Q83,U83)))+SUMPRODUCT(($H83:$Q83&lt;&gt;"")*ISERROR(SEARCH($H83:$Q83,V83)))+SUMPRODUCT(($H83:$Q83&lt;&gt;"")*ISERROR(SEARCH($H83:$Q83,W83)))+SUMPRODUCT(($H83:$Q83&lt;&gt;"")*ISERROR(SEARCH($H83:$Q83,X83)))</f>
        <v/>
      </c>
      <c r="Z83" s="10" t="inlineStr">
        <is>
          <t>Enquadre: {Jar} abriu a porta da varanda e deixou uma fresta. &lt;i&gt;"…"&lt;/i&gt;</t>
        </is>
      </c>
    </row>
    <row r="84" ht="46.25" customHeight="1" s="8">
      <c r="A84" s="10" t="inlineStr">
        <is>
          <t>c4-p9-saida</t>
        </is>
      </c>
      <c r="B84" s="10" t="n">
        <v>9</v>
      </c>
      <c r="C84" s="10" t="inlineStr">
        <is>
          <t>a saída aberta: o Residente desmonta a trava</t>
        </is>
      </c>
      <c r="D84" s="10" t="inlineStr">
        <is>
          <t>roteiro</t>
        </is>
      </c>
      <c r="E84" s="10" t="inlineStr">
        <is>
          <t>residente</t>
        </is>
      </c>
      <c r="F84" s="10" t="inlineStr">
        <is>
          <t>ninguém em especial</t>
        </is>
      </c>
      <c r="G84" s="10" t="inlineStr">
        <is>
          <t>P===9</t>
        </is>
      </c>
      <c r="H84" s="10" t="inlineStr">
        <is>
          <t>trava</t>
        </is>
      </c>
      <c r="I84" s="10" t="inlineStr">
        <is>
          <t>solta</t>
        </is>
      </c>
      <c r="J84" s="10" t="inlineStr">
        <is>
          <t>desde a reforma</t>
        </is>
      </c>
      <c r="K84" s="10" t="inlineStr">
        <is>
          <t>consertar agora</t>
        </is>
      </c>
      <c r="L84" s="10" t="n"/>
      <c r="M84" s="10" t="n"/>
      <c r="N84" s="10" t="n"/>
      <c r="O84" s="10" t="n"/>
      <c r="P84" s="10" t="n"/>
      <c r="Q84" s="10" t="n"/>
      <c r="R84" s="10" t="inlineStr">
        <is>
          <t>Essa trava está solta desde a reforma. Vou consertar agora.</t>
        </is>
      </c>
      <c r="S84" s="13" t="inlineStr">
        <is>
          <t>Essa trava está solta desde a reforma! Vou consertar agora!</t>
        </is>
      </c>
      <c r="T84" s="13" t="inlineStr">
        <is>
          <t>Essa trava… solta desde a reforma. Vou consertar agora.</t>
        </is>
      </c>
      <c r="U84" s="13" t="inlineStr">
        <is>
          <t>Essa trava está solta desde a reforma, sabe? Vou consertar agora, tá?</t>
        </is>
      </c>
      <c r="V84" s="13" t="inlineStr">
        <is>
          <t>Essa trava está solta desde a reforma. Vou consertar agora. É comigo.</t>
        </is>
      </c>
      <c r="W84" s="13" t="inlineStr">
        <is>
          <t>Essas coisas se acumulam… Essa trava está solta desde a reforma. Vou consertar agora.</t>
        </is>
      </c>
      <c r="X84" s="13" t="inlineStr">
        <is>
          <t>Constatação: essa trava está solta desde a reforma. Vou consertar agora.</t>
        </is>
      </c>
      <c r="Y84" s="10">
        <f>SUMPRODUCT(($H84:$Q84&lt;&gt;"")*ISERROR(SEARCH($H84:$Q84,S84)))+SUMPRODUCT(($H84:$Q84&lt;&gt;"")*ISERROR(SEARCH($H84:$Q84,T84)))+SUMPRODUCT(($H84:$Q84&lt;&gt;"")*ISERROR(SEARCH($H84:$Q84,U84)))+SUMPRODUCT(($H84:$Q84&lt;&gt;"")*ISERROR(SEARCH($H84:$Q84,V84)))+SUMPRODUCT(($H84:$Q84&lt;&gt;"")*ISERROR(SEARCH($H84:$Q84,W84)))+SUMPRODUCT(($H84:$Q84&lt;&gt;"")*ISERROR(SEARCH($H84:$Q84,X84)))</f>
        <v/>
      </c>
      <c r="Z84" s="10" t="inlineStr">
        <is>
          <t>Enquadre: {Res} se ajoelhou na porta de serviço com uma chave de fenda. &lt;i&gt;"…"&lt;/i&gt; Desmontou a trava e deixou as peças no chão.</t>
        </is>
      </c>
    </row>
    <row r="85" ht="46.25" customHeight="1" s="8">
      <c r="A85" s="10" t="inlineStr">
        <is>
          <t>c4-p10-saida</t>
        </is>
      </c>
      <c r="B85" s="10" t="n">
        <v>10</v>
      </c>
      <c r="C85" s="10" t="inlineStr">
        <is>
          <t>a saída aberta: a Observadora empurra a janela</t>
        </is>
      </c>
      <c r="D85" s="10" t="inlineStr">
        <is>
          <t>roteiro</t>
        </is>
      </c>
      <c r="E85" s="10" t="inlineStr">
        <is>
          <t>observadora</t>
        </is>
      </c>
      <c r="F85" s="10" t="inlineStr">
        <is>
          <t>ninguém em especial</t>
        </is>
      </c>
      <c r="G85" s="10" t="inlineStr">
        <is>
          <t>P===10</t>
        </is>
      </c>
      <c r="H85" s="10" t="inlineStr">
        <is>
          <t>esse cheiro</t>
        </is>
      </c>
      <c r="I85" s="10" t="n"/>
      <c r="J85" s="10" t="n"/>
      <c r="K85" s="10" t="n"/>
      <c r="L85" s="10" t="n"/>
      <c r="M85" s="10" t="n"/>
      <c r="N85" s="10" t="n"/>
      <c r="O85" s="10" t="n"/>
      <c r="P85" s="10" t="n"/>
      <c r="Q85" s="10" t="n"/>
      <c r="R85" s="10" t="inlineStr">
        <is>
          <t>Esse cheiro.</t>
        </is>
      </c>
      <c r="S85" s="13" t="inlineStr">
        <is>
          <t>Esse cheiro!</t>
        </is>
      </c>
      <c r="T85" s="13" t="inlineStr">
        <is>
          <t>… Esse cheiro.</t>
        </is>
      </c>
      <c r="U85" s="13" t="inlineStr">
        <is>
          <t>Esse cheiro…</t>
        </is>
      </c>
      <c r="V85" s="13" t="inlineStr">
        <is>
          <t>Esse cheiro.</t>
        </is>
      </c>
      <c r="W85" s="13" t="inlineStr">
        <is>
          <t>Esse cheiro.</t>
        </is>
      </c>
      <c r="X85" s="13" t="inlineStr">
        <is>
          <t>Esse cheiro.</t>
        </is>
      </c>
      <c r="Y85" s="10">
        <f>SUMPRODUCT(($H85:$Q85&lt;&gt;"")*ISERROR(SEARCH($H85:$Q85,S85)))+SUMPRODUCT(($H85:$Q85&lt;&gt;"")*ISERROR(SEARCH($H85:$Q85,T85)))+SUMPRODUCT(($H85:$Q85&lt;&gt;"")*ISERROR(SEARCH($H85:$Q85,U85)))+SUMPRODUCT(($H85:$Q85&lt;&gt;"")*ISERROR(SEARCH($H85:$Q85,V85)))+SUMPRODUCT(($H85:$Q85&lt;&gt;"")*ISERROR(SEARCH($H85:$Q85,W85)))+SUMPRODUCT(($H85:$Q85&lt;&gt;"")*ISERROR(SEARCH($H85:$Q85,X85)))</f>
        <v/>
      </c>
      <c r="Z85" s="10" t="inlineStr">
        <is>
          <t>Enquadre: Da varanda, {obs} empurrou por fora a janela do quarto dos fundos, que cedeu um palmo. &lt;i&gt;"…"&lt;/i&gt; Não fechou.</t>
        </is>
      </c>
    </row>
    <row r="86" ht="68.65000000000001" customHeight="1" s="8">
      <c r="A86" s="10" t="inlineStr">
        <is>
          <t>c3-p3-01</t>
        </is>
      </c>
      <c r="B86" s="10" t="n">
        <v>3</v>
      </c>
      <c r="C86" s="10" t="inlineStr">
        <is>
          <t>antes do estalo: a fala que sabe demais</t>
        </is>
      </c>
      <c r="D86" s="10" t="inlineStr">
        <is>
          <t>roteiro</t>
        </is>
      </c>
      <c r="E86" s="10" t="inlineStr">
        <is>
          <t>herdeira</t>
        </is>
      </c>
      <c r="F86" s="10" t="inlineStr">
        <is>
          <t>grupo</t>
        </is>
      </c>
      <c r="G86" s="10" t="n"/>
      <c r="H86" s="10" t="inlineStr">
        <is>
          <t>espera</t>
        </is>
      </c>
      <c r="I86" s="10" t="inlineStr">
        <is>
          <t>trinco</t>
        </is>
      </c>
      <c r="J86" s="10" t="n"/>
      <c r="K86" s="10" t="n"/>
      <c r="L86" s="10" t="n"/>
      <c r="M86" s="10" t="n"/>
      <c r="N86" s="10" t="n"/>
      <c r="O86" s="10" t="n"/>
      <c r="P86" s="10" t="n"/>
      <c r="Q86" s="10" t="n"/>
      <c r="R86" s="10" t="inlineStr">
        <is>
          <t>Espera o trinco.</t>
        </is>
      </c>
      <c r="S86" s="13" t="inlineStr">
        <is>
          <t>Espera o trinco!</t>
        </is>
      </c>
      <c r="T86" s="13" t="inlineStr">
        <is>
          <t>Espera… o trinco.</t>
        </is>
      </c>
      <c r="U86" s="13" t="inlineStr">
        <is>
          <t>Espera o trinco… não é assim?</t>
        </is>
      </c>
      <c r="V86" s="13" t="inlineStr">
        <is>
          <t>Espera o trinco.</t>
        </is>
      </c>
      <c r="W86" s="13" t="inlineStr">
        <is>
          <t>Espera… espera o trinco.</t>
        </is>
      </c>
      <c r="X86" s="13" t="inlineStr">
        <is>
          <t>Espera o trinco. Primeiro o trinco.</t>
        </is>
      </c>
      <c r="Y86" s="10">
        <f>SUMPRODUCT(($H86:$Q86&lt;&gt;"")*ISERROR(SEARCH($H86:$Q86,S86)))+SUMPRODUCT(($H86:$Q86&lt;&gt;"")*ISERROR(SEARCH($H86:$Q86,T86)))+SUMPRODUCT(($H86:$Q86&lt;&gt;"")*ISERROR(SEARCH($H86:$Q86,U86)))+SUMPRODUCT(($H86:$Q86&lt;&gt;"")*ISERROR(SEARCH($H86:$Q86,V86)))+SUMPRODUCT(($H86:$Q86&lt;&gt;"")*ISERROR(SEARCH($H86:$Q86,W86)))+SUMPRODUCT(($H86:$Q86&lt;&gt;"")*ISERROR(SEARCH($H86:$Q86,X86)))</f>
        <v/>
      </c>
      <c r="Z86" s="10" t="inlineStr">
        <is>
          <t>Enquadre: Na(her)+' estendeu a mão para o pêndulo e parou no ar: &lt;i&gt;"…"&lt;/i&gt;'. É o conhecimento indevido (C1): ninguém falou em trinco. Nenhuma versão explica o trinco. P3/P11 como casa de 6 (02/10). Falas do cânone.</t>
        </is>
      </c>
    </row>
    <row r="87" ht="46.25" customHeight="1" s="8">
      <c r="A87" s="10" t="inlineStr">
        <is>
          <t>c3-p3-02</t>
        </is>
      </c>
      <c r="B87" s="10" t="n">
        <v>3</v>
      </c>
      <c r="C87" s="10" t="inlineStr">
        <is>
          <t>antes do estalo: a fala que sabe demais</t>
        </is>
      </c>
      <c r="D87" s="10" t="inlineStr">
        <is>
          <t>roteiro</t>
        </is>
      </c>
      <c r="E87" s="10" t="inlineStr">
        <is>
          <t>investigador</t>
        </is>
      </c>
      <c r="F87" s="10" t="inlineStr">
        <is>
          <t>grupo</t>
        </is>
      </c>
      <c r="G87" s="10" t="n"/>
      <c r="H87" s="10" t="inlineStr">
        <is>
          <t>que trinco</t>
        </is>
      </c>
      <c r="I87" s="10" t="n"/>
      <c r="J87" s="10" t="n"/>
      <c r="K87" s="10" t="n"/>
      <c r="L87" s="10" t="n"/>
      <c r="M87" s="10" t="n"/>
      <c r="N87" s="10" t="n"/>
      <c r="O87" s="10" t="n"/>
      <c r="P87" s="10" t="n"/>
      <c r="Q87" s="10" t="n"/>
      <c r="R87" s="10" t="inlineStr">
        <is>
          <t>Que trinco?</t>
        </is>
      </c>
      <c r="S87" s="13" t="inlineStr">
        <is>
          <t>Que trinco?!</t>
        </is>
      </c>
      <c r="T87" s="13" t="inlineStr">
        <is>
          <t>Que trinco?</t>
        </is>
      </c>
      <c r="U87" s="13" t="inlineStr">
        <is>
          <t>Que trinco? Não entendi.</t>
        </is>
      </c>
      <c r="V87" s="13" t="inlineStr">
        <is>
          <t>Que trinco?</t>
        </is>
      </c>
      <c r="W87" s="13" t="inlineStr">
        <is>
          <t>Que trinco?</t>
        </is>
      </c>
      <c r="X87" s="13" t="inlineStr">
        <is>
          <t>Que trinco? Especifique.</t>
        </is>
      </c>
      <c r="Y87" s="10">
        <f>SUMPRODUCT(($H87:$Q87&lt;&gt;"")*ISERROR(SEARCH($H87:$Q87,S87)))+SUMPRODUCT(($H87:$Q87&lt;&gt;"")*ISERROR(SEARCH($H87:$Q87,T87)))+SUMPRODUCT(($H87:$Q87&lt;&gt;"")*ISERROR(SEARCH($H87:$Q87,U87)))+SUMPRODUCT(($H87:$Q87&lt;&gt;"")*ISERROR(SEARCH($H87:$Q87,V87)))+SUMPRODUCT(($H87:$Q87&lt;&gt;"")*ISERROR(SEARCH($H87:$Q87,W87)))+SUMPRODUCT(($H87:$Q87&lt;&gt;"")*ISERROR(SEARCH($H87:$Q87,X87)))</f>
        <v/>
      </c>
      <c r="Z87" s="10" t="inlineStr">
        <is>
          <t>Enquadre: &lt;i&gt;"…"&lt;/i&gt;, perguntou {inv}. Pergunta curta; o tipo quase só na pontuação. P3/P11 como casa de 6 (02/10). Falas do cânone.</t>
        </is>
      </c>
    </row>
    <row r="88" ht="57.45" customHeight="1" s="8">
      <c r="A88" s="10" t="inlineStr">
        <is>
          <t>c3-p3-03</t>
        </is>
      </c>
      <c r="B88" s="10" t="n">
        <v>3</v>
      </c>
      <c r="C88" s="10" t="inlineStr">
        <is>
          <t>antes do estalo: a fala que sabe demais</t>
        </is>
      </c>
      <c r="D88" s="10" t="inlineStr">
        <is>
          <t>roteiro</t>
        </is>
      </c>
      <c r="E88" s="10" t="inlineStr">
        <is>
          <t>herdeira</t>
        </is>
      </c>
      <c r="F88" s="10" t="inlineStr">
        <is>
          <t>grupo</t>
        </is>
      </c>
      <c r="G88" s="10" t="n"/>
      <c r="H88" s="10" t="inlineStr">
        <is>
          <t>modo de dizer</t>
        </is>
      </c>
      <c r="I88" s="10" t="n"/>
      <c r="J88" s="10" t="n"/>
      <c r="K88" s="10" t="n"/>
      <c r="L88" s="10" t="n"/>
      <c r="M88" s="10" t="n"/>
      <c r="N88" s="10" t="n"/>
      <c r="O88" s="10" t="n"/>
      <c r="P88" s="10" t="n"/>
      <c r="Q88" s="10" t="n"/>
      <c r="R88" s="10" t="inlineStr">
        <is>
          <t>Modo de dizer.</t>
        </is>
      </c>
      <c r="S88" s="13" t="inlineStr">
        <is>
          <t>Modo de dizer! Esquece.</t>
        </is>
      </c>
      <c r="T88" s="13" t="inlineStr">
        <is>
          <t>Modo de dizer. … Só.</t>
        </is>
      </c>
      <c r="U88" s="13" t="inlineStr">
        <is>
          <t>Modo de dizer… só isso.</t>
        </is>
      </c>
      <c r="V88" s="13" t="inlineStr">
        <is>
          <t>Modo de dizer.</t>
        </is>
      </c>
      <c r="W88" s="13" t="inlineStr">
        <is>
          <t>Ah, cansaço… modo de dizer.</t>
        </is>
      </c>
      <c r="X88" s="13" t="inlineStr">
        <is>
          <t>Modo de dizer. Sem mais.</t>
        </is>
      </c>
      <c r="Y88" s="10">
        <f>SUMPRODUCT(($H88:$Q88&lt;&gt;"")*ISERROR(SEARCH($H88:$Q88,S88)))+SUMPRODUCT(($H88:$Q88&lt;&gt;"")*ISERROR(SEARCH($H88:$Q88,T88)))+SUMPRODUCT(($H88:$Q88&lt;&gt;"")*ISERROR(SEARCH($H88:$Q88,U88)))+SUMPRODUCT(($H88:$Q88&lt;&gt;"")*ISERROR(SEARCH($H88:$Q88,V88)))+SUMPRODUCT(($H88:$Q88&lt;&gt;"")*ISERROR(SEARCH($H88:$Q88,W88)))+SUMPRODUCT(($H88:$Q88&lt;&gt;"")*ISERROR(SEARCH($H88:$Q88,X88)))</f>
        <v/>
      </c>
      <c r="Z88" s="10" t="inlineStr">
        <is>
          <t>Enquadre: &lt;i&gt;"…"&lt;/i&gt; (sem verbo de dizer). Herdeira desconversa; nenhuma versão acrescenta explicação. P3/P11 como casa de 6 (02/10). Falas do cânone.</t>
        </is>
      </c>
    </row>
    <row r="89" ht="68.65000000000001" customHeight="1" s="8">
      <c r="A89" s="10" t="inlineStr">
        <is>
          <t>c4-p3-posto</t>
        </is>
      </c>
      <c r="B89" s="10" t="n">
        <v>3</v>
      </c>
      <c r="C89" s="10" t="inlineStr">
        <is>
          <t>distribuição dos postos: quem escolheu responde</t>
        </is>
      </c>
      <c r="D89" s="10" t="inlineStr">
        <is>
          <t>roteiro</t>
        </is>
      </c>
      <c r="E89" s="10" t="inlineStr">
        <is>
          <t>residente (ch)</t>
        </is>
      </c>
      <c r="F89" s="10" t="inlineStr">
        <is>
          <t>condutor (policial)</t>
        </is>
      </c>
      <c r="G89" s="10" t="n"/>
      <c r="H89" s="10" t="inlineStr">
        <is>
          <t>varanda</t>
        </is>
      </c>
      <c r="I89" s="10" t="inlineStr">
        <is>
          <t>calha</t>
        </is>
      </c>
      <c r="J89" s="10" t="n"/>
      <c r="K89" s="10" t="n"/>
      <c r="L89" s="10" t="n"/>
      <c r="M89" s="10" t="n"/>
      <c r="N89" s="10" t="n"/>
      <c r="O89" s="10" t="n"/>
      <c r="P89" s="10" t="n"/>
      <c r="Q89" s="10" t="n"/>
      <c r="R89" s="10" t="inlineStr">
        <is>
          <t>Eu fico na varanda. Por causa da calha</t>
        </is>
      </c>
      <c r="S89" s="13" t="inlineStr">
        <is>
          <t>Eu fico na varanda! Por causa da calha</t>
        </is>
      </c>
      <c r="T89" s="13" t="inlineStr">
        <is>
          <t>Eu fico… na varanda. Por causa da calha</t>
        </is>
      </c>
      <c r="U89" s="13" t="inlineStr">
        <is>
          <t>Eu fico na varanda, pode ser? Por causa da calha</t>
        </is>
      </c>
      <c r="V89" s="13" t="inlineStr">
        <is>
          <t>Eu fico na varanda. Por causa da calha</t>
        </is>
      </c>
      <c r="W89" s="13" t="inlineStr">
        <is>
          <t>Com essa chuva toda… eu fico na varanda. Por causa da calha</t>
        </is>
      </c>
      <c r="X89" s="13" t="inlineStr">
        <is>
          <t>Posto: varanda. Motivo: a calha</t>
        </is>
      </c>
      <c r="Y89" s="10">
        <f>SUMPRODUCT(($H89:$Q89&lt;&gt;"")*ISERROR(SEARCH($H89:$Q89,S89)))+SUMPRODUCT(($H89:$Q89&lt;&gt;"")*ISERROR(SEARCH($H89:$Q89,T89)))+SUMPRODUCT(($H89:$Q89&lt;&gt;"")*ISERROR(SEARCH($H89:$Q89,U89)))+SUMPRODUCT(($H89:$Q89&lt;&gt;"")*ISERROR(SEARCH($H89:$Q89,V89)))+SUMPRODUCT(($H89:$Q89&lt;&gt;"")*ISERROR(SEARCH($H89:$Q89,W89)))+SUMPRODUCT(($H89:$Q89&lt;&gt;"")*ISERROR(SEARCH($H89:$Q89,X89)))</f>
        <v/>
      </c>
      <c r="Z89" s="10" t="inlineStr">
        <is>
          <t>Enquadre: &lt;i&gt;"…"&lt;/i&gt;, respondeu {ch}. O código monta 'Eu fico '+curto+EXTRA, sem ponto final. Quando o jogador é quem escolheu, manter o texto base. P3/P11 como casa de 6 (02/10). Falas do cânone.</t>
        </is>
      </c>
    </row>
    <row r="90" ht="57.45" customHeight="1" s="8">
      <c r="A90" s="10" t="inlineStr">
        <is>
          <t>c4-p11-posto</t>
        </is>
      </c>
      <c r="B90" s="10" t="n">
        <v>11</v>
      </c>
      <c r="C90" s="10" t="inlineStr">
        <is>
          <t>distribuição dos postos: quem escolheu responde</t>
        </is>
      </c>
      <c r="D90" s="10" t="inlineStr">
        <is>
          <t>roteiro</t>
        </is>
      </c>
      <c r="E90" s="10" t="inlineStr">
        <is>
          <t>investigador (ch)</t>
        </is>
      </c>
      <c r="F90" s="10" t="inlineStr">
        <is>
          <t>condutor (policial)</t>
        </is>
      </c>
      <c r="G90" s="10" t="n"/>
      <c r="H90" s="10" t="inlineStr">
        <is>
          <t>biblioteca</t>
        </is>
      </c>
      <c r="I90" s="10" t="n"/>
      <c r="J90" s="10" t="n"/>
      <c r="K90" s="10" t="n"/>
      <c r="L90" s="10" t="n"/>
      <c r="M90" s="10" t="n"/>
      <c r="N90" s="10" t="n"/>
      <c r="O90" s="10" t="n"/>
      <c r="P90" s="10" t="n"/>
      <c r="Q90" s="10" t="n"/>
      <c r="R90" s="10" t="inlineStr">
        <is>
          <t>Eu fico na biblioteca</t>
        </is>
      </c>
      <c r="S90" s="13" t="inlineStr">
        <is>
          <t>Eu fico na biblioteca, e pronto</t>
        </is>
      </c>
      <c r="T90" s="13" t="inlineStr">
        <is>
          <t>Eu fico… na biblioteca</t>
        </is>
      </c>
      <c r="U90" s="13" t="inlineStr">
        <is>
          <t>Eu fico na biblioteca, tudo bem?</t>
        </is>
      </c>
      <c r="V90" s="13" t="inlineStr">
        <is>
          <t>Eu fico na biblioteca</t>
        </is>
      </c>
      <c r="W90" s="13" t="inlineStr">
        <is>
          <t>Lá é menos úmido… eu fico na biblioteca</t>
        </is>
      </c>
      <c r="X90" s="13" t="inlineStr">
        <is>
          <t>Posto escolhido: biblioteca</t>
        </is>
      </c>
      <c r="Y90" s="10">
        <f>SUMPRODUCT(($H90:$Q90&lt;&gt;"")*ISERROR(SEARCH($H90:$Q90,S90)))+SUMPRODUCT(($H90:$Q90&lt;&gt;"")*ISERROR(SEARCH($H90:$Q90,T90)))+SUMPRODUCT(($H90:$Q90&lt;&gt;"")*ISERROR(SEARCH($H90:$Q90,U90)))+SUMPRODUCT(($H90:$Q90&lt;&gt;"")*ISERROR(SEARCH($H90:$Q90,V90)))+SUMPRODUCT(($H90:$Q90&lt;&gt;"")*ISERROR(SEARCH($H90:$Q90,W90)))+SUMPRODUCT(($H90:$Q90&lt;&gt;"")*ISERROR(SEARCH($H90:$Q90,X90)))</f>
        <v/>
      </c>
      <c r="Z90" s="10" t="inlineStr">
        <is>
          <t>Enquadre: &lt;i&gt;"…"&lt;/i&gt;, respondeu {ch}. Sem ponto final. Quando o jogador é quem escolheu, manter o texto base. P3/P11 como casa de 6 (02/10). Falas do cânone.</t>
        </is>
      </c>
    </row>
  </sheetData>
  <autoFilter ref="A1:Z90"/>
  <conditionalFormatting sqref="Y2:Y90">
    <cfRule type="expression" rank="0" priority="2" equalAverage="0" aboveAverage="0" dxfId="4" text="" percent="0" bottom="0">
      <formula>Y2&gt;0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Z39"/>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2"/>
    <col width="24" customWidth="1" style="7" min="3" max="3"/>
    <col width="12" customWidth="1" style="7" min="4" max="4"/>
    <col width="18" customWidth="1" style="7" min="5" max="5"/>
    <col width="12" customWidth="1" style="7" min="6" max="6"/>
    <col width="14" customWidth="1" style="7" min="7" max="7"/>
    <col width="12" customWidth="1" style="7" min="8" max="17"/>
    <col width="40" customWidth="1" style="7" min="18" max="18"/>
    <col width="38" customWidth="1" style="7" min="19" max="24"/>
    <col width="8" customWidth="1" style="7" min="25" max="25"/>
    <col width="34" customWidth="1" style="7" min="26" max="26"/>
  </cols>
  <sheetData>
    <row r="1" ht="15" customHeight="1" s="8">
      <c r="A1" s="12" t="inlineStr">
        <is>
          <t>ID</t>
        </is>
      </c>
      <c r="B1" s="12" t="inlineStr">
        <is>
          <t>Partida</t>
        </is>
      </c>
      <c r="C1" s="12" t="inlineStr">
        <is>
          <t>Cena</t>
        </is>
      </c>
      <c r="D1" s="12" t="inlineStr">
        <is>
          <t>Momento</t>
        </is>
      </c>
      <c r="E1" s="12" t="inlineStr">
        <is>
          <t>Quem fala</t>
        </is>
      </c>
      <c r="F1" s="12" t="inlineStr">
        <is>
          <t>Com quem</t>
        </is>
      </c>
      <c r="G1" s="12" t="inlineStr">
        <is>
          <t>Condição</t>
        </is>
      </c>
      <c r="H1" s="12" t="inlineStr">
        <is>
          <t>Item 1</t>
        </is>
      </c>
      <c r="I1" s="12" t="inlineStr">
        <is>
          <t>Item 2</t>
        </is>
      </c>
      <c r="J1" s="12" t="inlineStr">
        <is>
          <t>Item 3</t>
        </is>
      </c>
      <c r="K1" s="12" t="inlineStr">
        <is>
          <t>Item 4</t>
        </is>
      </c>
      <c r="L1" s="12" t="inlineStr">
        <is>
          <t>Item 5</t>
        </is>
      </c>
      <c r="M1" s="12" t="inlineStr">
        <is>
          <t>Item 6</t>
        </is>
      </c>
      <c r="N1" s="12" t="inlineStr">
        <is>
          <t>Item 7</t>
        </is>
      </c>
      <c r="O1" s="12" t="inlineStr">
        <is>
          <t>Item 8</t>
        </is>
      </c>
      <c r="P1" s="12" t="inlineStr">
        <is>
          <t>Item 9</t>
        </is>
      </c>
      <c r="Q1" s="12" t="inlineStr">
        <is>
          <t>Item 10</t>
        </is>
      </c>
      <c r="R1" s="12" t="inlineStr">
        <is>
          <t>Fala original</t>
        </is>
      </c>
      <c r="S1" s="12" t="inlineStr">
        <is>
          <t>Explosivo</t>
        </is>
      </c>
      <c r="T1" s="12" t="inlineStr">
        <is>
          <t>Calmo opaco</t>
        </is>
      </c>
      <c r="U1" s="12" t="inlineStr">
        <is>
          <t>Ingênuo</t>
        </is>
      </c>
      <c r="V1" s="12" t="inlineStr">
        <is>
          <t>Leal cego</t>
        </is>
      </c>
      <c r="W1" s="12" t="inlineStr">
        <is>
          <t>Evasivo</t>
        </is>
      </c>
      <c r="X1" s="12" t="inlineStr">
        <is>
          <t>Burocrata</t>
        </is>
      </c>
      <c r="Y1" s="12" t="inlineStr">
        <is>
          <t>Faltam</t>
        </is>
      </c>
      <c r="Z1" s="12" t="inlineStr">
        <is>
          <t>Nota</t>
        </is>
      </c>
    </row>
    <row r="2" ht="57.45" customHeight="1" s="8">
      <c r="A2" s="10" t="inlineStr">
        <is>
          <t>c5-p4p8p12-01</t>
        </is>
      </c>
      <c r="B2" s="10" t="inlineStr">
        <is>
          <t>4, 8, 12</t>
        </is>
      </c>
      <c r="C2" s="10" t="inlineStr">
        <is>
          <t>o apagão: o Eletricista anuncia que vai ao quadro</t>
        </is>
      </c>
      <c r="D2" s="10" t="inlineStr">
        <is>
          <t>roteiro</t>
        </is>
      </c>
      <c r="E2" s="10" t="inlineStr">
        <is>
          <t>eletricista ({ele})</t>
        </is>
      </c>
      <c r="F2" s="10" t="inlineStr">
        <is>
          <t>grupo</t>
        </is>
      </c>
      <c r="G2" s="10" t="n"/>
      <c r="H2" s="10" t="inlineStr">
        <is>
          <t>vou</t>
        </is>
      </c>
      <c r="I2" s="10" t="inlineStr">
        <is>
          <t>quadro</t>
        </is>
      </c>
      <c r="J2" s="10" t="n"/>
      <c r="K2" s="10" t="n"/>
      <c r="L2" s="10" t="n"/>
      <c r="M2" s="10" t="n"/>
      <c r="N2" s="10" t="n"/>
      <c r="O2" s="10" t="n"/>
      <c r="P2" s="10" t="n"/>
      <c r="Q2" s="10" t="n"/>
      <c r="R2" s="10" t="inlineStr">
        <is>
          <t>Vou ao quadro!</t>
        </is>
      </c>
      <c r="S2" s="13" t="inlineStr">
        <is>
          <t>Vou ao quadro!</t>
        </is>
      </c>
      <c r="T2" s="13" t="inlineStr">
        <is>
          <t>Vou… ao quadro.</t>
        </is>
      </c>
      <c r="U2" s="13" t="inlineStr">
        <is>
          <t>Vou ao quadro…</t>
        </is>
      </c>
      <c r="V2" s="13" t="inlineStr">
        <is>
          <t>Vou ao quadro!</t>
        </is>
      </c>
      <c r="W2" s="13" t="inlineStr">
        <is>
          <t>Hum… vou ao quadro!</t>
        </is>
      </c>
      <c r="X2" s="13" t="inlineStr">
        <is>
          <t>Vou ao quadro!</t>
        </is>
      </c>
      <c r="Y2" s="10">
        <f>SUMPRODUCT(($H2:$Q2&lt;&gt;"")*ISERROR(SEARCH($H2:$Q2,S2)))+SUMPRODUCT(($H2:$Q2&lt;&gt;"")*ISERROR(SEARCH($H2:$Q2,T2)))+SUMPRODUCT(($H2:$Q2&lt;&gt;"")*ISERROR(SEARCH($H2:$Q2,U2)))+SUMPRODUCT(($H2:$Q2&lt;&gt;"")*ISERROR(SEARCH($H2:$Q2,V2)))+SUMPRODUCT(($H2:$Q2&lt;&gt;"")*ISERROR(SEARCH($H2:$Q2,W2)))+SUMPRODUCT(($H2:$Q2&lt;&gt;"")*ISERROR(SEARCH($H2:$Q2,X2)))</f>
        <v/>
      </c>
      <c r="Z2" s="10" t="inlineStr">
        <is>
          <t>Enquadre varia: P4 "…", gritou {ele}, do patamar, e se mexeu. | P8 "…", gritou {ele}, da porta do quarto de serviço. | P12 "…", gritou {ele}, e se mexeu. Mesmo texto nas três partidas.</t>
        </is>
      </c>
    </row>
    <row r="3" ht="91" customHeight="1" s="8">
      <c r="A3" s="10" t="inlineStr">
        <is>
          <t>c5-p1p4p12-02</t>
        </is>
      </c>
      <c r="B3" s="10" t="inlineStr">
        <is>
          <t>1, 4, 12</t>
        </is>
      </c>
      <c r="C3" s="10" t="inlineStr">
        <is>
          <t>quarto clarão: um vulto junto ao pêndulo e o grito da porta</t>
        </is>
      </c>
      <c r="D3" s="10" t="inlineStr">
        <is>
          <t>roteiro</t>
        </is>
      </c>
      <c r="E3" s="10" t="inlineStr">
        <is>
          <t>policial ({pol}) em P1 e P12 | jardineiro ({jar}) em P4</t>
        </is>
      </c>
      <c r="F3" s="10" t="inlineStr">
        <is>
          <t>o escuro / grupo</t>
        </is>
      </c>
      <c r="G3" s="10" t="n"/>
      <c r="H3" s="10" t="inlineStr">
        <is>
          <t>quem</t>
        </is>
      </c>
      <c r="I3" s="10" t="inlineStr">
        <is>
          <t>está aí</t>
        </is>
      </c>
      <c r="J3" s="10" t="n"/>
      <c r="K3" s="10" t="n"/>
      <c r="L3" s="10" t="n"/>
      <c r="M3" s="10" t="n"/>
      <c r="N3" s="10" t="n"/>
      <c r="O3" s="10" t="n"/>
      <c r="P3" s="10" t="n"/>
      <c r="Q3" s="10" t="n"/>
      <c r="R3" s="10" t="inlineStr">
        <is>
          <t>Quem está aí?</t>
        </is>
      </c>
      <c r="S3" s="13" t="inlineStr">
        <is>
          <t>Quem está aí?!</t>
        </is>
      </c>
      <c r="T3" s="13" t="inlineStr">
        <is>
          <t>Quem… está aí?</t>
        </is>
      </c>
      <c r="U3" s="13" t="inlineStr">
        <is>
          <t>Quem está aí…?</t>
        </is>
      </c>
      <c r="V3" s="13" t="inlineStr">
        <is>
          <t>Quem está aí?</t>
        </is>
      </c>
      <c r="W3" s="13" t="inlineStr">
        <is>
          <t>Bem… quem está aí?</t>
        </is>
      </c>
      <c r="X3" s="13" t="inlineStr">
        <is>
          <t>Quem está aí?</t>
        </is>
      </c>
      <c r="Y3" s="10">
        <f>SUMPRODUCT(($H3:$Q3&lt;&gt;"")*ISERROR(SEARCH($H3:$Q3,S3)))+SUMPRODUCT(($H3:$Q3&lt;&gt;"")*ISERROR(SEARCH($H3:$Q3,T3)))+SUMPRODUCT(($H3:$Q3&lt;&gt;"")*ISERROR(SEARCH($H3:$Q3,U3)))+SUMPRODUCT(($H3:$Q3&lt;&gt;"")*ISERROR(SEARCH($H3:$Q3,V3)))+SUMPRODUCT(($H3:$Q3&lt;&gt;"")*ISERROR(SEARCH($H3:$Q3,W3)))+SUMPRODUCT(($H3:$Q3&lt;&gt;"")*ISERROR(SEARCH($H3:$Q3,X3)))</f>
        <v/>
      </c>
      <c r="Z3" s="10" t="inlineStr">
        <is>
          <t>Enquadre: P1 "… Quem está aí?" Ninguém respondeu. | P4 Da porta, {jar} viu uma coisa clara… "…" Da janela do corredor, {adv} ouviu o grito vir da porta. | P12 "…" Ninguém respondeu de dentro. Falantes masculinos (Policial, Jardineiro). É grito: nenhuma versão diz o que viu (manga, cor) nem acrescenta resposta.</t>
        </is>
      </c>
    </row>
    <row r="4" ht="68.65000000000001" customHeight="1" s="8">
      <c r="A4" s="10" t="inlineStr">
        <is>
          <t>c5-p4-03</t>
        </is>
      </c>
      <c r="B4" s="10" t="n">
        <v>4</v>
      </c>
      <c r="C4" s="10" t="inlineStr">
        <is>
          <t>entre o terceiro e o quarto clarão: o Residente fala com a porta trancada</t>
        </is>
      </c>
      <c r="D4" s="10" t="inlineStr">
        <is>
          <t>roteiro</t>
        </is>
      </c>
      <c r="E4" s="10" t="inlineStr">
        <is>
          <t>residente ({res})</t>
        </is>
      </c>
      <c r="F4" s="10" t="inlineStr">
        <is>
          <t>a porta trancada do quarto</t>
        </is>
      </c>
      <c r="G4" s="10" t="n"/>
      <c r="H4" s="10" t="inlineStr">
        <is>
          <t>alguém aí dentro</t>
        </is>
      </c>
      <c r="I4" s="10" t="n"/>
      <c r="J4" s="10" t="n"/>
      <c r="K4" s="10" t="n"/>
      <c r="L4" s="10" t="n"/>
      <c r="M4" s="10" t="n"/>
      <c r="N4" s="10" t="n"/>
      <c r="O4" s="10" t="n"/>
      <c r="P4" s="10" t="n"/>
      <c r="Q4" s="10" t="n"/>
      <c r="R4" s="10" t="inlineStr">
        <is>
          <t>Tem alguém aí dentro?</t>
        </is>
      </c>
      <c r="S4" s="13" t="inlineStr">
        <is>
          <t>Tem alguém aí dentro?!</t>
        </is>
      </c>
      <c r="T4" s="13" t="inlineStr">
        <is>
          <t>Tem… alguém aí dentro?</t>
        </is>
      </c>
      <c r="U4" s="13" t="inlineStr">
        <is>
          <t>Tem alguém aí dentro…?</t>
        </is>
      </c>
      <c r="V4" s="13" t="inlineStr">
        <is>
          <t>Tem alguém aí dentro?</t>
        </is>
      </c>
      <c r="W4" s="13" t="inlineStr">
        <is>
          <t>Ah… tem alguém aí dentro?</t>
        </is>
      </c>
      <c r="X4" s="13" t="inlineStr">
        <is>
          <t>Tem alguém aí dentro?</t>
        </is>
      </c>
      <c r="Y4" s="10">
        <f>SUMPRODUCT(($H4:$Q4&lt;&gt;"")*ISERROR(SEARCH($H4:$Q4,S4)))+SUMPRODUCT(($H4:$Q4&lt;&gt;"")*ISERROR(SEARCH($H4:$Q4,T4)))+SUMPRODUCT(($H4:$Q4&lt;&gt;"")*ISERROR(SEARCH($H4:$Q4,U4)))+SUMPRODUCT(($H4:$Q4&lt;&gt;"")*ISERROR(SEARCH($H4:$Q4,V4)))+SUMPRODUCT(($H4:$Q4&lt;&gt;"")*ISERROR(SEARCH($H4:$Q4,W4)))+SUMPRODUCT(($H4:$Q4&lt;&gt;"")*ISERROR(SEARCH($H4:$Q4,X4)))</f>
        <v/>
      </c>
      <c r="Z4" s="10" t="inlineStr">
        <is>
          <t>Enquadre: Entre o terceiro e o quarto clarão, {res} falou com a porta trancada do quarto: "…" Do fogão, {gov} ouviu. Só pergunta; nenhuma versão afirma que há alguém (diferente da P12). "Abre isso" é ordem, não fato novo.</t>
        </is>
      </c>
    </row>
    <row r="5" ht="68.65000000000001" customHeight="1" s="8">
      <c r="A5" s="10" t="inlineStr">
        <is>
          <t>c5-p4p12-04</t>
        </is>
      </c>
      <c r="B5" s="10" t="inlineStr">
        <is>
          <t>4, 12</t>
        </is>
      </c>
      <c r="C5" s="10" t="inlineStr">
        <is>
          <t>do porão, o Eletricista grita que o geral está ligado</t>
        </is>
      </c>
      <c r="D5" s="10" t="inlineStr">
        <is>
          <t>roteiro</t>
        </is>
      </c>
      <c r="E5" s="10" t="inlineStr">
        <is>
          <t>eletricista ({ele})</t>
        </is>
      </c>
      <c r="F5" s="10" t="inlineStr">
        <is>
          <t>grupo (do fundo da escadinha)</t>
        </is>
      </c>
      <c r="G5" s="10" t="n"/>
      <c r="H5" s="10" t="inlineStr">
        <is>
          <t>geral está ligado</t>
        </is>
      </c>
      <c r="I5" s="10" t="inlineStr">
        <is>
          <t>não é aqui</t>
        </is>
      </c>
      <c r="J5" s="10" t="n"/>
      <c r="K5" s="10" t="n"/>
      <c r="L5" s="10" t="n"/>
      <c r="M5" s="10" t="n"/>
      <c r="N5" s="10" t="n"/>
      <c r="O5" s="10" t="n"/>
      <c r="P5" s="10" t="n"/>
      <c r="Q5" s="10" t="n"/>
      <c r="R5" s="10" t="inlineStr">
        <is>
          <t>O geral está ligado! Não é aqui!</t>
        </is>
      </c>
      <c r="S5" s="13" t="inlineStr">
        <is>
          <t>O geral está ligado! Não é aqui, caramba.</t>
        </is>
      </c>
      <c r="T5" s="13" t="inlineStr">
        <is>
          <t>O geral está ligado… Não é aqui.</t>
        </is>
      </c>
      <c r="U5" s="13" t="inlineStr">
        <is>
          <t>O geral está ligado! Não é aqui… então é onde?</t>
        </is>
      </c>
      <c r="V5" s="13" t="inlineStr">
        <is>
          <t>O geral está ligado. Não é aqui.</t>
        </is>
      </c>
      <c r="W5" s="13" t="inlineStr">
        <is>
          <t>Que umidade… O geral está ligado! Não é aqui!</t>
        </is>
      </c>
      <c r="X5" s="13" t="inlineStr">
        <is>
          <t>Constatação: o geral está ligado. Não é aqui.</t>
        </is>
      </c>
      <c r="Y5" s="10">
        <f>SUMPRODUCT(($H5:$Q5&lt;&gt;"")*ISERROR(SEARCH($H5:$Q5,S5)))+SUMPRODUCT(($H5:$Q5&lt;&gt;"")*ISERROR(SEARCH($H5:$Q5,T5)))+SUMPRODUCT(($H5:$Q5&lt;&gt;"")*ISERROR(SEARCH($H5:$Q5,U5)))+SUMPRODUCT(($H5:$Q5&lt;&gt;"")*ISERROR(SEARCH($H5:$Q5,V5)))+SUMPRODUCT(($H5:$Q5&lt;&gt;"")*ISERROR(SEARCH($H5:$Q5,W5)))+SUMPRODUCT(($H5:$Q5&lt;&gt;"")*ISERROR(SEARCH($H5:$Q5,X5)))</f>
        <v/>
      </c>
      <c r="Z5" s="10" t="inlineStr">
        <is>
          <t>Enquadre: P4 Do fundo da escadinha, abafado, {ele} gritou: "…" Do fogão, {gov} ouviu também. | P12 E do fundo da escadinha, abafado, {ele} gritou: "…". Ingênuo hesita no tom mas repete a afirmação; não troca para "desligado".</t>
        </is>
      </c>
    </row>
    <row r="6" ht="79.84999999999999" customHeight="1" s="8">
      <c r="A6" s="10" t="inlineStr">
        <is>
          <t>c5-p5p12-05</t>
        </is>
      </c>
      <c r="B6" s="10" t="inlineStr">
        <is>
          <t>5, 12</t>
        </is>
      </c>
      <c r="C6" s="10" t="inlineStr">
        <is>
          <t>no vestíbulo, quem traz a tela pergunta por sinal</t>
        </is>
      </c>
      <c r="D6" s="10" t="inlineStr">
        <is>
          <t>roteiro</t>
        </is>
      </c>
      <c r="E6" s="10" t="inlineStr">
        <is>
          <t>policial ({pol}) em P5 | advogado ({adv}) em P12</t>
        </is>
      </c>
      <c r="F6" s="10" t="inlineStr">
        <is>
          <t>quem está no vestíbulo</t>
        </is>
      </c>
      <c r="G6" s="10" t="n"/>
      <c r="H6" s="10" t="inlineStr">
        <is>
          <t>tem sinal</t>
        </is>
      </c>
      <c r="I6" s="10" t="inlineStr">
        <is>
          <t>não tenho nada</t>
        </is>
      </c>
      <c r="J6" s="10" t="n"/>
      <c r="K6" s="10" t="n"/>
      <c r="L6" s="10" t="n"/>
      <c r="M6" s="10" t="n"/>
      <c r="N6" s="10" t="n"/>
      <c r="O6" s="10" t="n"/>
      <c r="P6" s="10" t="n"/>
      <c r="Q6" s="10" t="n"/>
      <c r="R6" s="10" t="inlineStr">
        <is>
          <t>Tem sinal aí? Eu não tenho nada.</t>
        </is>
      </c>
      <c r="S6" s="13" t="inlineStr">
        <is>
          <t>Tem sinal aí? Eu não tenho nada, essa porcaria morreu!</t>
        </is>
      </c>
      <c r="T6" s="13" t="inlineStr">
        <is>
          <t>Tem sinal aí?… Eu não tenho nada.</t>
        </is>
      </c>
      <c r="U6" s="13" t="inlineStr">
        <is>
          <t>Tem sinal aí? Eu não tenho nada… é normal isso?</t>
        </is>
      </c>
      <c r="V6" s="13" t="inlineStr">
        <is>
          <t>Tem sinal aí? Eu não tenho nada.</t>
        </is>
      </c>
      <c r="W6" s="13" t="inlineStr">
        <is>
          <t>Essa estrada, essa chuva… Tem sinal aí? Eu não tenho nada.</t>
        </is>
      </c>
      <c r="X6" s="13" t="inlineStr">
        <is>
          <t>Consulta: tem sinal aí? Eu não tenho nada.</t>
        </is>
      </c>
      <c r="Y6" s="10">
        <f>SUMPRODUCT(($H6:$Q6&lt;&gt;"")*ISERROR(SEARCH($H6:$Q6,S6)))+SUMPRODUCT(($H6:$Q6&lt;&gt;"")*ISERROR(SEARCH($H6:$Q6,T6)))+SUMPRODUCT(($H6:$Q6&lt;&gt;"")*ISERROR(SEARCH($H6:$Q6,U6)))+SUMPRODUCT(($H6:$Q6&lt;&gt;"")*ISERROR(SEARCH($H6:$Q6,V6)))+SUMPRODUCT(($H6:$Q6&lt;&gt;"")*ISERROR(SEARCH($H6:$Q6,W6)))+SUMPRODUCT(($H6:$Q6&lt;&gt;"")*ISERROR(SEARCH($H6:$Q6,X6)))</f>
        <v/>
      </c>
      <c r="Z6" s="10" t="inlineStr">
        <is>
          <t>Enquadre: P5 No vestíbulo, {her} ouviu a voz antes de ver o rosto: "…" Era {pol}. | P12 {Inv}, junto ao rádio, viu a luz chegar e reconheceu a voz antes do rosto: "…" Era {adv}. Falantes masculinos. "Porcaria" é grosseria leve, sem palavrão.</t>
        </is>
      </c>
    </row>
    <row r="7" ht="35.05" customHeight="1" s="8">
      <c r="A7" s="10" t="inlineStr">
        <is>
          <t>c5-p7-06</t>
        </is>
      </c>
      <c r="B7" s="10" t="n">
        <v>7</v>
      </c>
      <c r="C7" s="10" t="inlineStr">
        <is>
          <t>no vestíbulo, a Herdeira pergunta por sinal</t>
        </is>
      </c>
      <c r="D7" s="10" t="inlineStr">
        <is>
          <t>roteiro</t>
        </is>
      </c>
      <c r="E7" s="10" t="inlineStr">
        <is>
          <t>herdeira ({her})</t>
        </is>
      </c>
      <c r="F7" s="10" t="inlineStr">
        <is>
          <t>quem está no vestíbulo</t>
        </is>
      </c>
      <c r="G7" s="10" t="n"/>
      <c r="H7" s="10" t="inlineStr">
        <is>
          <t>alguém</t>
        </is>
      </c>
      <c r="I7" s="10" t="inlineStr">
        <is>
          <t>tem sinal</t>
        </is>
      </c>
      <c r="J7" s="10" t="n"/>
      <c r="K7" s="10" t="n"/>
      <c r="L7" s="10" t="n"/>
      <c r="M7" s="10" t="n"/>
      <c r="N7" s="10" t="n"/>
      <c r="O7" s="10" t="n"/>
      <c r="P7" s="10" t="n"/>
      <c r="Q7" s="10" t="n"/>
      <c r="R7" s="10" t="inlineStr">
        <is>
          <t>Alguém tem sinal?</t>
        </is>
      </c>
      <c r="S7" s="13" t="inlineStr">
        <is>
          <t>Alguém tem sinal?!</t>
        </is>
      </c>
      <c r="T7" s="13" t="inlineStr">
        <is>
          <t>Alguém… tem sinal?</t>
        </is>
      </c>
      <c r="U7" s="13" t="inlineStr">
        <is>
          <t>Alguém tem sinal…?</t>
        </is>
      </c>
      <c r="V7" s="13" t="inlineStr">
        <is>
          <t>Alguém tem sinal?</t>
        </is>
      </c>
      <c r="W7" s="13" t="inlineStr">
        <is>
          <t>Alguém tem sinal?</t>
        </is>
      </c>
      <c r="X7" s="13" t="inlineStr">
        <is>
          <t>Alguém tem sinal?</t>
        </is>
      </c>
      <c r="Y7" s="10">
        <f>SUMPRODUCT(($H7:$Q7&lt;&gt;"")*ISERROR(SEARCH($H7:$Q7,S7)))+SUMPRODUCT(($H7:$Q7&lt;&gt;"")*ISERROR(SEARCH($H7:$Q7,T7)))+SUMPRODUCT(($H7:$Q7&lt;&gt;"")*ISERROR(SEARCH($H7:$Q7,U7)))+SUMPRODUCT(($H7:$Q7&lt;&gt;"")*ISERROR(SEARCH($H7:$Q7,V7)))+SUMPRODUCT(($H7:$Q7&lt;&gt;"")*ISERROR(SEARCH($H7:$Q7,W7)))+SUMPRODUCT(($H7:$Q7&lt;&gt;"")*ISERROR(SEARCH($H7:$Q7,X7)))</f>
        <v/>
      </c>
      <c r="Z7" s="10" t="inlineStr">
        <is>
          <t>Enquadre: No vestíbulo, {pol} ouviu a voz antes de ver o rosto: "…" Era {her}. Falante feminina.</t>
        </is>
      </c>
    </row>
    <row r="8" ht="68.65000000000001" customHeight="1" s="8">
      <c r="A8" s="10" t="inlineStr">
        <is>
          <t>c5-p10-07</t>
        </is>
      </c>
      <c r="B8" s="10" t="n">
        <v>10</v>
      </c>
      <c r="C8" s="10" t="inlineStr">
        <is>
          <t>no vestíbulo, o Jornalista pergunta por sinal</t>
        </is>
      </c>
      <c r="D8" s="10" t="inlineStr">
        <is>
          <t>roteiro</t>
        </is>
      </c>
      <c r="E8" s="10" t="inlineStr">
        <is>
          <t>jornalista ({jor})</t>
        </is>
      </c>
      <c r="F8" s="10" t="inlineStr">
        <is>
          <t>quem está no vestíbulo</t>
        </is>
      </c>
      <c r="G8" s="10" t="n"/>
      <c r="H8" s="10" t="inlineStr">
        <is>
          <t>tem sinal</t>
        </is>
      </c>
      <c r="I8" s="10" t="inlineStr">
        <is>
          <t>aí</t>
        </is>
      </c>
      <c r="J8" s="10" t="n"/>
      <c r="K8" s="10" t="n"/>
      <c r="L8" s="10" t="n"/>
      <c r="M8" s="10" t="n"/>
      <c r="N8" s="10" t="n"/>
      <c r="O8" s="10" t="n"/>
      <c r="P8" s="10" t="n"/>
      <c r="Q8" s="10" t="n"/>
      <c r="R8" s="10" t="inlineStr">
        <is>
          <t>Tem sinal aí?</t>
        </is>
      </c>
      <c r="S8" s="13" t="inlineStr">
        <is>
          <t>Tem sinal aí?!</t>
        </is>
      </c>
      <c r="T8" s="13" t="inlineStr">
        <is>
          <t>… Tem sinal aí?</t>
        </is>
      </c>
      <c r="U8" s="13" t="inlineStr">
        <is>
          <t>Tem sinal aí…?</t>
        </is>
      </c>
      <c r="V8" s="13" t="inlineStr">
        <is>
          <t>Tem sinal aí?</t>
        </is>
      </c>
      <c r="W8" s="13" t="inlineStr">
        <is>
          <t>Hum… tem sinal aí?</t>
        </is>
      </c>
      <c r="X8" s="13" t="inlineStr">
        <is>
          <t>Tem sinal aí?</t>
        </is>
      </c>
      <c r="Y8" s="10">
        <f>SUMPRODUCT(($H8:$Q8&lt;&gt;"")*ISERROR(SEARCH($H8:$Q8,S8)))+SUMPRODUCT(($H8:$Q8&lt;&gt;"")*ISERROR(SEARCH($H8:$Q8,T8)))+SUMPRODUCT(($H8:$Q8&lt;&gt;"")*ISERROR(SEARCH($H8:$Q8,U8)))+SUMPRODUCT(($H8:$Q8&lt;&gt;"")*ISERROR(SEARCH($H8:$Q8,V8)))+SUMPRODUCT(($H8:$Q8&lt;&gt;"")*ISERROR(SEARCH($H8:$Q8,W8)))+SUMPRODUCT(($H8:$Q8&lt;&gt;"")*ISERROR(SEARCH($H8:$Q8,X8)))</f>
        <v/>
      </c>
      <c r="Z8" s="10" t="inlineStr">
        <is>
          <t>Enquadre: No vestíbulo, {pol} ouviu a voz antes de ver o rosto: "…" Era {jor}. Ingênuo "acho que o meu sumiu" repete só que ele está sem sinal, implícito na pergunta; se preferir rigor máximo, trocar por "Desculpa…".</t>
        </is>
      </c>
    </row>
    <row r="9" ht="46.25" customHeight="1" s="8">
      <c r="A9" s="10" t="inlineStr">
        <is>
          <t>c5-p12-08</t>
        </is>
      </c>
      <c r="B9" s="10" t="n">
        <v>12</v>
      </c>
      <c r="C9" s="10" t="inlineStr">
        <is>
          <t>entre o terceiro e o quarto clarão: o Residente bate na porta trancada</t>
        </is>
      </c>
      <c r="D9" s="10" t="inlineStr">
        <is>
          <t>roteiro</t>
        </is>
      </c>
      <c r="E9" s="10" t="inlineStr">
        <is>
          <t>residente ({res})</t>
        </is>
      </c>
      <c r="F9" s="10" t="inlineStr">
        <is>
          <t>a porta trancada do quarto</t>
        </is>
      </c>
      <c r="G9" s="10" t="n"/>
      <c r="H9" s="10" t="inlineStr">
        <is>
          <t>alguém aí dentro</t>
        </is>
      </c>
      <c r="I9" s="10" t="inlineStr">
        <is>
          <t>eu sei que tem</t>
        </is>
      </c>
      <c r="J9" s="10" t="n"/>
      <c r="K9" s="10" t="n"/>
      <c r="L9" s="10" t="n"/>
      <c r="M9" s="10" t="n"/>
      <c r="N9" s="10" t="n"/>
      <c r="O9" s="10" t="n"/>
      <c r="P9" s="10" t="n"/>
      <c r="Q9" s="10" t="n"/>
      <c r="R9" s="10" t="inlineStr">
        <is>
          <t>Tem alguém aí dentro? Eu sei que tem.</t>
        </is>
      </c>
      <c r="S9" s="13" t="inlineStr">
        <is>
          <t>Tem alguém aí dentro? Eu sei que tem! Abre!</t>
        </is>
      </c>
      <c r="T9" s="13" t="inlineStr">
        <is>
          <t>Tem alguém aí dentro?… Eu sei que tem.</t>
        </is>
      </c>
      <c r="U9" s="13" t="inlineStr">
        <is>
          <t>Tem alguém aí dentro? Eu sei que tem… não sei como, mas sei.</t>
        </is>
      </c>
      <c r="V9" s="13" t="inlineStr">
        <is>
          <t>Tem alguém aí dentro? Eu sei que tem.</t>
        </is>
      </c>
      <c r="W9" s="13" t="inlineStr">
        <is>
          <t>Úmido, isso aqui… Tem alguém aí dentro? Eu sei que tem.</t>
        </is>
      </c>
      <c r="X9" s="13" t="inlineStr">
        <is>
          <t>Tem alguém aí dentro? Eu sei que tem.</t>
        </is>
      </c>
      <c r="Y9" s="10">
        <f>SUMPRODUCT(($H9:$Q9&lt;&gt;"")*ISERROR(SEARCH($H9:$Q9,S9)))+SUMPRODUCT(($H9:$Q9&lt;&gt;"")*ISERROR(SEARCH($H9:$Q9,T9)))+SUMPRODUCT(($H9:$Q9&lt;&gt;"")*ISERROR(SEARCH($H9:$Q9,U9)))+SUMPRODUCT(($H9:$Q9&lt;&gt;"")*ISERROR(SEARCH($H9:$Q9,V9)))+SUMPRODUCT(($H9:$Q9&lt;&gt;"")*ISERROR(SEARCH($H9:$Q9,W9)))+SUMPRODUCT(($H9:$Q9&lt;&gt;"")*ISERROR(SEARCH($H9:$Q9,X9)))</f>
        <v/>
      </c>
      <c r="Z9" s="10" t="inlineStr">
        <is>
          <t>Enquadre: {Res} bateu na porta trancada do quarto: "…". Primeira de uma sequência de vozes no escuro da ala de serviço.</t>
        </is>
      </c>
    </row>
    <row r="10" ht="57.45" customHeight="1" s="8">
      <c r="A10" s="10" t="inlineStr">
        <is>
          <t>c5-p12-09</t>
        </is>
      </c>
      <c r="B10" s="10" t="n">
        <v>12</v>
      </c>
      <c r="C10" s="10" t="inlineStr">
        <is>
          <t>entre o terceiro e o quarto clarão: o Chefe responde da despensa</t>
        </is>
      </c>
      <c r="D10" s="10" t="inlineStr">
        <is>
          <t>roteiro</t>
        </is>
      </c>
      <c r="E10" s="10" t="inlineStr">
        <is>
          <t>chefe_de_cozinha ({che})</t>
        </is>
      </c>
      <c r="F10" s="10" t="inlineStr">
        <is>
          <t>residente / ala de serviço</t>
        </is>
      </c>
      <c r="G10" s="10" t="n"/>
      <c r="H10" s="10" t="inlineStr">
        <is>
          <t>tem eu</t>
        </is>
      </c>
      <c r="I10" s="10" t="inlineStr">
        <is>
          <t>despensa</t>
        </is>
      </c>
      <c r="J10" s="10" t="inlineStr">
        <is>
          <t>sem enxergar a própria mão</t>
        </is>
      </c>
      <c r="K10" s="10" t="n"/>
      <c r="L10" s="10" t="n"/>
      <c r="M10" s="10" t="n"/>
      <c r="N10" s="10" t="n"/>
      <c r="O10" s="10" t="n"/>
      <c r="P10" s="10" t="n"/>
      <c r="Q10" s="10" t="n"/>
      <c r="R10" s="10" t="inlineStr">
        <is>
          <t>Tem eu, aqui na despensa, sem enxergar a própria mão!</t>
        </is>
      </c>
      <c r="S10" s="13" t="inlineStr">
        <is>
          <t>Tem eu, aqui na despensa, sem enxergar a própria mão! Satisfeito?</t>
        </is>
      </c>
      <c r="T10" s="13" t="inlineStr">
        <is>
          <t>Tem eu… aqui na despensa. Sem enxergar a própria mão.</t>
        </is>
      </c>
      <c r="U10" s="13" t="inlineStr">
        <is>
          <t>Tem eu, aqui na despensa, sem enxergar a própria mão… serve?</t>
        </is>
      </c>
      <c r="V10" s="13" t="inlineStr">
        <is>
          <t>Tem eu, aqui na despensa, sem enxergar a própria mão.</t>
        </is>
      </c>
      <c r="W10" s="13" t="inlineStr">
        <is>
          <t>Que cansaço… tem eu, aqui na despensa, sem enxergar a própria mão!</t>
        </is>
      </c>
      <c r="X10" s="13" t="inlineStr">
        <is>
          <t>Resposta: tem eu, aqui na despensa, sem enxergar a própria mão.</t>
        </is>
      </c>
      <c r="Y10" s="10">
        <f>SUMPRODUCT(($H10:$Q10&lt;&gt;"")*ISERROR(SEARCH($H10:$Q10,S10)))+SUMPRODUCT(($H10:$Q10&lt;&gt;"")*ISERROR(SEARCH($H10:$Q10,T10)))+SUMPRODUCT(($H10:$Q10&lt;&gt;"")*ISERROR(SEARCH($H10:$Q10,U10)))+SUMPRODUCT(($H10:$Q10&lt;&gt;"")*ISERROR(SEARCH($H10:$Q10,V10)))+SUMPRODUCT(($H10:$Q10&lt;&gt;"")*ISERROR(SEARCH($H10:$Q10,W10)))+SUMPRODUCT(($H10:$Q10&lt;&gt;"")*ISERROR(SEARCH($H10:$Q10,X10)))</f>
        <v/>
      </c>
      <c r="Z10" s="10" t="inlineStr">
        <is>
          <t>Enquadre: "…", respondeu {che}. Fixa o Chefe na DESPENSA (não no quarto). Leal cego: "cuidando da casa dele" é lealdade, não ação nova (não diz que ele faz algo).</t>
        </is>
      </c>
    </row>
    <row r="11" ht="91" customHeight="1" s="8">
      <c r="A11" s="10" t="inlineStr">
        <is>
          <t>c5-p12-10</t>
        </is>
      </c>
      <c r="B11" s="10" t="n">
        <v>12</v>
      </c>
      <c r="C11" s="10" t="inlineStr">
        <is>
          <t>entre o terceiro e o quarto clarão: a Governanta pede os fósforos ao Chefe</t>
        </is>
      </c>
      <c r="D11" s="10" t="inlineStr">
        <is>
          <t>roteiro</t>
        </is>
      </c>
      <c r="E11" s="10" t="inlineStr">
        <is>
          <t>governanta ({gov})</t>
        </is>
      </c>
      <c r="F11" s="10" t="inlineStr">
        <is>
          <t>chefe de cozinha</t>
        </is>
      </c>
      <c r="G11" s="10" t="n"/>
      <c r="H11" s="10" t="inlineStr">
        <is>
          <t>chefe</t>
        </is>
      </c>
      <c r="I11" s="10" t="inlineStr">
        <is>
          <t>fósforos</t>
        </is>
      </c>
      <c r="J11" s="10" t="inlineStr">
        <is>
          <t>com você</t>
        </is>
      </c>
      <c r="K11" s="10" t="inlineStr">
        <is>
          <t>não acho</t>
        </is>
      </c>
      <c r="L11" s="10" t="n"/>
      <c r="M11" s="10" t="n"/>
      <c r="N11" s="10" t="n"/>
      <c r="O11" s="10" t="n"/>
      <c r="P11" s="10" t="n"/>
      <c r="Q11" s="10" t="n"/>
      <c r="R11" s="10" t="inlineStr">
        <is>
          <t>Chefe, os fósforos estão aí com você? Se estão, eu não acho.</t>
        </is>
      </c>
      <c r="S11" s="13" t="inlineStr">
        <is>
          <t>Chefe, os fósforos estão aí com você? Porque se estão, eu não acho!</t>
        </is>
      </c>
      <c r="T11" s="13" t="inlineStr">
        <is>
          <t>Chefe… os fósforos. Estão aí com você?… Se estão, eu não acho.</t>
        </is>
      </c>
      <c r="U11" s="13" t="inlineStr">
        <is>
          <t>Chefe, os fósforos estão aí com você? Se estão, eu não acho… desculpa.</t>
        </is>
      </c>
      <c r="V11" s="13" t="inlineStr">
        <is>
          <t>Chefe, os fósforos estão aí com você? Se estão, eu não acho.</t>
        </is>
      </c>
      <c r="W11" s="13" t="inlineStr">
        <is>
          <t>Que demora… Chefe, os fósforos estão aí com você? Se estão, eu não acho.</t>
        </is>
      </c>
      <c r="X11" s="13" t="inlineStr">
        <is>
          <t>Chefe, consulta: os fósforos estão aí com você? Se estão, eu não acho.</t>
        </is>
      </c>
      <c r="Y11" s="10">
        <f>SUMPRODUCT(($H11:$Q11&lt;&gt;"")*ISERROR(SEARCH($H11:$Q11,S11)))+SUMPRODUCT(($H11:$Q11&lt;&gt;"")*ISERROR(SEARCH($H11:$Q11,T11)))+SUMPRODUCT(($H11:$Q11&lt;&gt;"")*ISERROR(SEARCH($H11:$Q11,U11)))+SUMPRODUCT(($H11:$Q11&lt;&gt;"")*ISERROR(SEARCH($H11:$Q11,V11)))+SUMPRODUCT(($H11:$Q11&lt;&gt;"")*ISERROR(SEARCH($H11:$Q11,W11)))+SUMPRODUCT(($H11:$Q11&lt;&gt;"")*ISERROR(SEARCH($H11:$Q11,X11)))</f>
        <v/>
      </c>
      <c r="Z11" s="10" t="inlineStr">
        <is>
          <t>Enquadre: "&lt;parte 1&gt;", perguntou {gov}, do fogão. "&lt;parte 2&gt;". Duas citações seguidas atribuídas à Governanta (convenção do texto: aspas logo após a atribuição continuam o mesmo falante). Ao reinserir, dividir em "Se estão, eu não acho" (+ o que vier depois dele na versão). Fixa a Governanta no FOGÃO.</t>
        </is>
      </c>
    </row>
    <row r="12" ht="57.45" customHeight="1" s="8">
      <c r="A12" s="10" t="inlineStr">
        <is>
          <t>c5-p12-11</t>
        </is>
      </c>
      <c r="B12" s="10" t="n">
        <v>12</v>
      </c>
      <c r="C12" s="10" t="inlineStr">
        <is>
          <t>quarto clarão: o Jornalista responde da janela</t>
        </is>
      </c>
      <c r="D12" s="10" t="inlineStr">
        <is>
          <t>roteiro</t>
        </is>
      </c>
      <c r="E12" s="10" t="inlineStr">
        <is>
          <t>jornalista ({jor})</t>
        </is>
      </c>
      <c r="F12" s="10" t="inlineStr">
        <is>
          <t>grupo (do fim do corredor)</t>
        </is>
      </c>
      <c r="G12" s="10" t="n"/>
      <c r="H12" s="10" t="inlineStr">
        <is>
          <t>aqui, na janela</t>
        </is>
      </c>
      <c r="I12" s="10" t="inlineStr">
        <is>
          <t>não sou eu</t>
        </is>
      </c>
      <c r="J12" s="10" t="n"/>
      <c r="K12" s="10" t="n"/>
      <c r="L12" s="10" t="n"/>
      <c r="M12" s="10" t="n"/>
      <c r="N12" s="10" t="n"/>
      <c r="O12" s="10" t="n"/>
      <c r="P12" s="10" t="n"/>
      <c r="Q12" s="10" t="n"/>
      <c r="R12" s="10" t="inlineStr">
        <is>
          <t>Aqui, na janela! Não sou eu!</t>
        </is>
      </c>
      <c r="S12" s="13" t="inlineStr">
        <is>
          <t>Aqui, na janela! Não sou eu, nem venham.</t>
        </is>
      </c>
      <c r="T12" s="13" t="inlineStr">
        <is>
          <t>Aqui, na janela… Não sou eu.</t>
        </is>
      </c>
      <c r="U12" s="13" t="inlineStr">
        <is>
          <t>Aqui, na janela! Não sou eu, juro… acreditam?</t>
        </is>
      </c>
      <c r="V12" s="13" t="inlineStr">
        <is>
          <t>Aqui, na janela! Não sou eu.</t>
        </is>
      </c>
      <c r="W12" s="13" t="inlineStr">
        <is>
          <t>Aqui, na janela, nesse frio… Não sou eu!</t>
        </is>
      </c>
      <c r="X12" s="13" t="inlineStr">
        <is>
          <t>Posição: aqui, na janela. Não sou eu.</t>
        </is>
      </c>
      <c r="Y12" s="10">
        <f>SUMPRODUCT(($H12:$Q12&lt;&gt;"")*ISERROR(SEARCH($H12:$Q12,S12)))+SUMPRODUCT(($H12:$Q12&lt;&gt;"")*ISERROR(SEARCH($H12:$Q12,T12)))+SUMPRODUCT(($H12:$Q12&lt;&gt;"")*ISERROR(SEARCH($H12:$Q12,U12)))+SUMPRODUCT(($H12:$Q12&lt;&gt;"")*ISERROR(SEARCH($H12:$Q12,V12)))+SUMPRODUCT(($H12:$Q12&lt;&gt;"")*ISERROR(SEARCH($H12:$Q12,W12)))+SUMPRODUCT(($H12:$Q12&lt;&gt;"")*ISERROR(SEARCH($H12:$Q12,X12)))</f>
        <v/>
      </c>
      <c r="Z12" s="10" t="inlineStr">
        <is>
          <t>Enquadre: Do fim do corredor veio a voz {de:jor}: "…" Na biblioteca, {tab} ouviu o grito vindo da porta do corredor e apertou a caneta. Responde ao "Quem está aí?" do Policial.</t>
        </is>
      </c>
    </row>
    <row r="13" ht="35.05" customHeight="1" s="8">
      <c r="A13" s="10" t="inlineStr">
        <is>
          <t>c5-p12-12</t>
        </is>
      </c>
      <c r="B13" s="10" t="n">
        <v>12</v>
      </c>
      <c r="C13" s="10" t="inlineStr">
        <is>
          <t>na sala de jantar, a Herdeira sente alguém do lado da copa</t>
        </is>
      </c>
      <c r="D13" s="10" t="inlineStr">
        <is>
          <t>roteiro</t>
        </is>
      </c>
      <c r="E13" s="10" t="inlineStr">
        <is>
          <t>herdeira ({her})</t>
        </is>
      </c>
      <c r="F13" s="10" t="inlineStr">
        <is>
          <t>governanta</t>
        </is>
      </c>
      <c r="G13" s="10" t="n"/>
      <c r="H13" s="10" t="inlineStr">
        <is>
          <t>é você</t>
        </is>
      </c>
      <c r="I13" s="10" t="n"/>
      <c r="J13" s="10" t="n"/>
      <c r="K13" s="10" t="n"/>
      <c r="L13" s="10" t="n"/>
      <c r="M13" s="10" t="n"/>
      <c r="N13" s="10" t="n"/>
      <c r="O13" s="10" t="n"/>
      <c r="P13" s="10" t="n"/>
      <c r="Q13" s="10" t="n"/>
      <c r="R13" s="10" t="inlineStr">
        <is>
          <t>É você?</t>
        </is>
      </c>
      <c r="S13" s="13" t="inlineStr">
        <is>
          <t>É você?!</t>
        </is>
      </c>
      <c r="T13" s="13" t="inlineStr">
        <is>
          <t>… É você?</t>
        </is>
      </c>
      <c r="U13" s="13" t="inlineStr">
        <is>
          <t>É você…?</t>
        </is>
      </c>
      <c r="V13" s="13" t="inlineStr">
        <is>
          <t>É você?</t>
        </is>
      </c>
      <c r="W13" s="13" t="inlineStr">
        <is>
          <t>Bem… é você?</t>
        </is>
      </c>
      <c r="X13" s="13" t="inlineStr">
        <is>
          <t>É você?</t>
        </is>
      </c>
      <c r="Y13" s="10">
        <f>SUMPRODUCT(($H13:$Q13&lt;&gt;"")*ISERROR(SEARCH($H13:$Q13,S13)))+SUMPRODUCT(($H13:$Q13&lt;&gt;"")*ISERROR(SEARCH($H13:$Q13,T13)))+SUMPRODUCT(($H13:$Q13&lt;&gt;"")*ISERROR(SEARCH($H13:$Q13,U13)))+SUMPRODUCT(($H13:$Q13&lt;&gt;"")*ISERROR(SEARCH($H13:$Q13,V13)))+SUMPRODUCT(($H13:$Q13&lt;&gt;"")*ISERROR(SEARCH($H13:$Q13,W13)))+SUMPRODUCT(($H13:$Q13&lt;&gt;"")*ISERROR(SEARCH($H13:$Q13,X13)))</f>
        <v/>
      </c>
      <c r="Z13" s="10" t="inlineStr">
        <is>
          <t>Enquadre: Na sala de jantar, {her} sentiu uma respiração perto, do lado da copa. "…" Falante feminina.</t>
        </is>
      </c>
    </row>
    <row r="14" ht="91" customHeight="1" s="8">
      <c r="A14" s="10" t="inlineStr">
        <is>
          <t>c5-p12-13</t>
        </is>
      </c>
      <c r="B14" s="10" t="n">
        <v>12</v>
      </c>
      <c r="C14" s="10" t="inlineStr">
        <is>
          <t>na sala de jantar, a Governanta responde pela portinhola da copa</t>
        </is>
      </c>
      <c r="D14" s="10" t="inlineStr">
        <is>
          <t>roteiro</t>
        </is>
      </c>
      <c r="E14" s="10" t="inlineStr">
        <is>
          <t>governanta ({gov})</t>
        </is>
      </c>
      <c r="F14" s="10" t="inlineStr">
        <is>
          <t>herdeira</t>
        </is>
      </c>
      <c r="G14" s="10" t="n"/>
      <c r="H14" s="10" t="inlineStr">
        <is>
          <t>sou eu</t>
        </is>
      </c>
      <c r="I14" s="10" t="inlineStr">
        <is>
          <t>{g:her:menina|menino}</t>
        </is>
      </c>
      <c r="J14" s="10" t="inlineStr">
        <is>
          <t>achou os fósforos</t>
        </is>
      </c>
      <c r="K14" s="10" t="n"/>
      <c r="L14" s="10" t="n"/>
      <c r="M14" s="10" t="n"/>
      <c r="N14" s="10" t="n"/>
      <c r="O14" s="10" t="n"/>
      <c r="P14" s="10" t="n"/>
      <c r="Q14" s="10" t="n"/>
      <c r="R14" s="10" t="inlineStr">
        <is>
          <t>Sou eu, {g:her:menina|menino}. Achou os fósforos?</t>
        </is>
      </c>
      <c r="S14" s="13" t="inlineStr">
        <is>
          <t>Sou eu, {g:her:menina|menino}! Achou os fósforos ou não?</t>
        </is>
      </c>
      <c r="T14" s="13" t="inlineStr">
        <is>
          <t>Sou eu, {g:her:menina|menino}… Achou os fósforos?</t>
        </is>
      </c>
      <c r="U14" s="13" t="inlineStr">
        <is>
          <t>Sou eu, {g:her:menina|menino}. Achou os fósforos? Ai, tomara…</t>
        </is>
      </c>
      <c r="V14" s="13" t="inlineStr">
        <is>
          <t>Sou eu, {g:her:menina|menino}. Achou os fósforos?</t>
        </is>
      </c>
      <c r="W14" s="13" t="inlineStr">
        <is>
          <t>Sou eu, {g:her:menina|menino}… essa demora. Achou os fósforos?</t>
        </is>
      </c>
      <c r="X14" s="13" t="inlineStr">
        <is>
          <t>Sou eu, {g:her:menina|menino}. Pergunta: achou os fósforos?</t>
        </is>
      </c>
      <c r="Y14" s="10">
        <f>SUMPRODUCT(($H14:$Q14&lt;&gt;"")*ISERROR(SEARCH($H14:$Q14,S14)))+SUMPRODUCT(($H14:$Q14&lt;&gt;"")*ISERROR(SEARCH($H14:$Q14,T14)))+SUMPRODUCT(($H14:$Q14&lt;&gt;"")*ISERROR(SEARCH($H14:$Q14,U14)))+SUMPRODUCT(($H14:$Q14&lt;&gt;"")*ISERROR(SEARCH($H14:$Q14,V14)))+SUMPRODUCT(($H14:$Q14&lt;&gt;"")*ISERROR(SEARCH($H14:$Q14,W14)))+SUMPRODUCT(($H14:$Q14&lt;&gt;"")*ISERROR(SEARCH($H14:$Q14,X14)))</f>
        <v/>
      </c>
      <c r="Z14" s="10" t="inlineStr">
        <is>
          <t>Enquadre: "&lt;parte 1&gt;", respondeu {gov}, pela portinhola da copa. "&lt;parte 2&gt;". Base une as duas citações; a segunda ("Achou os fósforos?") foi atribuída à Governanta pela convenção do texto (ver dúvida). A atribuição fica entre "menina" e o resto. Fixa a Governanta na portinhola da copa.</t>
        </is>
      </c>
    </row>
    <row r="15" ht="68.65000000000001" customHeight="1" s="8">
      <c r="A15" s="10" t="inlineStr">
        <is>
          <t>c5-p13-14</t>
        </is>
      </c>
      <c r="B15" s="10" t="n">
        <v>13</v>
      </c>
      <c r="C15" s="10" t="inlineStr">
        <is>
          <t>no escuro, o Tabelião dita a hora (21h29m30s)</t>
        </is>
      </c>
      <c r="D15" s="10" t="inlineStr">
        <is>
          <t>roteiro</t>
        </is>
      </c>
      <c r="E15" s="10" t="inlineStr">
        <is>
          <t>tabeliao ({tab})</t>
        </is>
      </c>
      <c r="F15" s="10" t="inlineStr">
        <is>
          <t>grupo (da biblioteca)</t>
        </is>
      </c>
      <c r="G15" s="10" t="n"/>
      <c r="H15" s="10" t="inlineStr">
        <is>
          <t>vinte e uma e vinte e nove e trinta</t>
        </is>
      </c>
      <c r="I15" s="10" t="n"/>
      <c r="J15" s="10" t="n"/>
      <c r="K15" s="10" t="n"/>
      <c r="L15" s="10" t="n"/>
      <c r="M15" s="10" t="n"/>
      <c r="N15" s="10" t="n"/>
      <c r="O15" s="10" t="n"/>
      <c r="P15" s="10" t="n"/>
      <c r="Q15" s="10" t="n"/>
      <c r="R15" s="10" t="inlineStr">
        <is>
          <t>Vinte e uma e vinte e nove e trinta.</t>
        </is>
      </c>
      <c r="S15" s="13" t="inlineStr">
        <is>
          <t>Vinte e uma e vinte e nove e trinta! Ouviram?</t>
        </is>
      </c>
      <c r="T15" s="13" t="inlineStr">
        <is>
          <t>Vinte e uma e vinte e nove e trinta…</t>
        </is>
      </c>
      <c r="U15" s="13" t="inlineStr">
        <is>
          <t>Vinte e uma e vinte e nove e trinta… estou indo bem?</t>
        </is>
      </c>
      <c r="V15" s="13" t="inlineStr">
        <is>
          <t>Vinte e uma e vinte e nove e trinta.</t>
        </is>
      </c>
      <c r="W15" s="13" t="inlineStr">
        <is>
          <t>Essa chuva… vinte e uma e vinte e nove e trinta.</t>
        </is>
      </c>
      <c r="X15" s="13" t="inlineStr">
        <is>
          <t>Hora: vinte e uma e vinte e nove e trinta.</t>
        </is>
      </c>
      <c r="Y15" s="10">
        <f>SUMPRODUCT(($H15:$Q15&lt;&gt;"")*ISERROR(SEARCH($H15:$Q15,S15)))+SUMPRODUCT(($H15:$Q15&lt;&gt;"")*ISERROR(SEARCH($H15:$Q15,T15)))+SUMPRODUCT(($H15:$Q15&lt;&gt;"")*ISERROR(SEARCH($H15:$Q15,U15)))+SUMPRODUCT(($H15:$Q15&lt;&gt;"")*ISERROR(SEARCH($H15:$Q15,V15)))+SUMPRODUCT(($H15:$Q15&lt;&gt;"")*ISERROR(SEARCH($H15:$Q15,W15)))+SUMPRODUCT(($H15:$Q15&lt;&gt;"")*ISERROR(SEARCH($H15:$Q15,X15)))</f>
        <v/>
      </c>
      <c r="Z15" s="10" t="inlineStr">
        <is>
          <t>Enquadre: Na biblioteca, {tab} começou a ditar a hora em voz alta, de trinta em trinta segundos: "…" Do vestíbulo, {her} ouvia. Hora é pista: nenhuma versão pode trocar ou arredondar. Ingênuo pede confirmação no fim, sem duvidar da hora.</t>
        </is>
      </c>
    </row>
    <row r="16" ht="23.85" customHeight="1" s="8">
      <c r="A16" s="10" t="inlineStr">
        <is>
          <t>c5-p13-15</t>
        </is>
      </c>
      <c r="B16" s="10" t="n">
        <v>13</v>
      </c>
      <c r="C16" s="10" t="inlineStr">
        <is>
          <t>no vestíbulo, o Policial pergunta por luz</t>
        </is>
      </c>
      <c r="D16" s="10" t="inlineStr">
        <is>
          <t>roteiro</t>
        </is>
      </c>
      <c r="E16" s="10" t="inlineStr">
        <is>
          <t>policial ({pol})</t>
        </is>
      </c>
      <c r="F16" s="10" t="inlineStr">
        <is>
          <t>quem está no vestíbulo</t>
        </is>
      </c>
      <c r="G16" s="10" t="n"/>
      <c r="H16" s="10" t="inlineStr">
        <is>
          <t>alguém</t>
        </is>
      </c>
      <c r="I16" s="10" t="inlineStr">
        <is>
          <t>tem luz</t>
        </is>
      </c>
      <c r="J16" s="10" t="n"/>
      <c r="K16" s="10" t="n"/>
      <c r="L16" s="10" t="n"/>
      <c r="M16" s="10" t="n"/>
      <c r="N16" s="10" t="n"/>
      <c r="O16" s="10" t="n"/>
      <c r="P16" s="10" t="n"/>
      <c r="Q16" s="10" t="n"/>
      <c r="R16" s="10" t="inlineStr">
        <is>
          <t>Alguém tem luz?</t>
        </is>
      </c>
      <c r="S16" s="13" t="inlineStr">
        <is>
          <t>Alguém tem luz?!</t>
        </is>
      </c>
      <c r="T16" s="13" t="inlineStr">
        <is>
          <t>Alguém… tem luz?</t>
        </is>
      </c>
      <c r="U16" s="13" t="inlineStr">
        <is>
          <t>Alguém tem luz…?</t>
        </is>
      </c>
      <c r="V16" s="13" t="inlineStr">
        <is>
          <t>Alguém tem luz?</t>
        </is>
      </c>
      <c r="W16" s="13" t="inlineStr">
        <is>
          <t>Ah… alguém tem luz?</t>
        </is>
      </c>
      <c r="X16" s="13" t="inlineStr">
        <is>
          <t>Alguém tem luz?</t>
        </is>
      </c>
      <c r="Y16" s="10">
        <f>SUMPRODUCT(($H16:$Q16&lt;&gt;"")*ISERROR(SEARCH($H16:$Q16,S16)))+SUMPRODUCT(($H16:$Q16&lt;&gt;"")*ISERROR(SEARCH($H16:$Q16,T16)))+SUMPRODUCT(($H16:$Q16&lt;&gt;"")*ISERROR(SEARCH($H16:$Q16,U16)))+SUMPRODUCT(($H16:$Q16&lt;&gt;"")*ISERROR(SEARCH($H16:$Q16,V16)))+SUMPRODUCT(($H16:$Q16&lt;&gt;"")*ISERROR(SEARCH($H16:$Q16,W16)))+SUMPRODUCT(($H16:$Q16&lt;&gt;"")*ISERROR(SEARCH($H16:$Q16,X16)))</f>
        <v/>
      </c>
      <c r="Z16" s="10" t="inlineStr">
        <is>
          <t>Enquadre: No vestíbulo, {her} ouviu a voz antes de ver o rosto: "…" Era {pol}.</t>
        </is>
      </c>
    </row>
    <row r="17" ht="23.85" customHeight="1" s="8">
      <c r="A17" s="10" t="inlineStr">
        <is>
          <t>c5-p13-16</t>
        </is>
      </c>
      <c r="B17" s="10" t="n">
        <v>13</v>
      </c>
      <c r="C17" s="10" t="inlineStr">
        <is>
          <t>no escuro, o Tabelião dita a hora (21h30)</t>
        </is>
      </c>
      <c r="D17" s="10" t="inlineStr">
        <is>
          <t>roteiro</t>
        </is>
      </c>
      <c r="E17" s="10" t="inlineStr">
        <is>
          <t>tabeliao ({tab})</t>
        </is>
      </c>
      <c r="F17" s="10" t="inlineStr">
        <is>
          <t>grupo (da biblioteca)</t>
        </is>
      </c>
      <c r="G17" s="10" t="n"/>
      <c r="H17" s="10" t="inlineStr">
        <is>
          <t>vinte e uma e trinta</t>
        </is>
      </c>
      <c r="I17" s="10" t="n"/>
      <c r="J17" s="10" t="n"/>
      <c r="K17" s="10" t="n"/>
      <c r="L17" s="10" t="n"/>
      <c r="M17" s="10" t="n"/>
      <c r="N17" s="10" t="n"/>
      <c r="O17" s="10" t="n"/>
      <c r="P17" s="10" t="n"/>
      <c r="Q17" s="10" t="n"/>
      <c r="R17" s="10" t="inlineStr">
        <is>
          <t>Vinte e uma e trinta.</t>
        </is>
      </c>
      <c r="S17" s="13" t="inlineStr">
        <is>
          <t>Vinte e uma e trinta!</t>
        </is>
      </c>
      <c r="T17" s="13" t="inlineStr">
        <is>
          <t>… Vinte e uma e trinta.</t>
        </is>
      </c>
      <c r="U17" s="13" t="inlineStr">
        <is>
          <t>Vinte e uma e trinta…</t>
        </is>
      </c>
      <c r="V17" s="13" t="inlineStr">
        <is>
          <t>Vinte e uma e trinta.</t>
        </is>
      </c>
      <c r="W17" s="13" t="inlineStr">
        <is>
          <t>Vinte e uma e trinta.</t>
        </is>
      </c>
      <c r="X17" s="13" t="inlineStr">
        <is>
          <t>Vinte e uma e trinta.</t>
        </is>
      </c>
      <c r="Y17" s="10">
        <f>SUMPRODUCT(($H17:$Q17&lt;&gt;"")*ISERROR(SEARCH($H17:$Q17,S17)))+SUMPRODUCT(($H17:$Q17&lt;&gt;"")*ISERROR(SEARCH($H17:$Q17,T17)))+SUMPRODUCT(($H17:$Q17&lt;&gt;"")*ISERROR(SEARCH($H17:$Q17,U17)))+SUMPRODUCT(($H17:$Q17&lt;&gt;"")*ISERROR(SEARCH($H17:$Q17,V17)))+SUMPRODUCT(($H17:$Q17&lt;&gt;"")*ISERROR(SEARCH($H17:$Q17,W17)))+SUMPRODUCT(($H17:$Q17&lt;&gt;"")*ISERROR(SEARCH($H17:$Q17,X17)))</f>
        <v/>
      </c>
      <c r="Z17" s="10" t="inlineStr">
        <is>
          <t>Enquadre: "…", ditou {tab}, da biblioteca. Hora exata, sem segundos a mais.</t>
        </is>
      </c>
    </row>
    <row r="18" ht="46.25" customHeight="1" s="8">
      <c r="A18" s="10" t="inlineStr">
        <is>
          <t>c5-p13-17</t>
        </is>
      </c>
      <c r="B18" s="10" t="n">
        <v>13</v>
      </c>
      <c r="C18" s="10" t="inlineStr">
        <is>
          <t>no escuro, o Tabelião dita a hora (21h30m30s)</t>
        </is>
      </c>
      <c r="D18" s="10" t="inlineStr">
        <is>
          <t>roteiro</t>
        </is>
      </c>
      <c r="E18" s="10" t="inlineStr">
        <is>
          <t>tabeliao ({tab})</t>
        </is>
      </c>
      <c r="F18" s="10" t="inlineStr">
        <is>
          <t>grupo (da biblioteca)</t>
        </is>
      </c>
      <c r="G18" s="10" t="n"/>
      <c r="H18" s="10" t="inlineStr">
        <is>
          <t>vinte e uma e trinta e trinta</t>
        </is>
      </c>
      <c r="I18" s="10" t="n"/>
      <c r="J18" s="10" t="n"/>
      <c r="K18" s="10" t="n"/>
      <c r="L18" s="10" t="n"/>
      <c r="M18" s="10" t="n"/>
      <c r="N18" s="10" t="n"/>
      <c r="O18" s="10" t="n"/>
      <c r="P18" s="10" t="n"/>
      <c r="Q18" s="10" t="n"/>
      <c r="R18" s="10" t="inlineStr">
        <is>
          <t>Vinte e uma e trinta e trinta.</t>
        </is>
      </c>
      <c r="S18" s="13" t="inlineStr">
        <is>
          <t>Vinte e uma e trinta e trinta!</t>
        </is>
      </c>
      <c r="T18" s="13" t="inlineStr">
        <is>
          <t>Vinte e uma e trinta e trinta…</t>
        </is>
      </c>
      <c r="U18" s="13" t="inlineStr">
        <is>
          <t>Vinte e uma e trinta e trinta… certo?</t>
        </is>
      </c>
      <c r="V18" s="13" t="inlineStr">
        <is>
          <t>Vinte e uma e trinta e trinta.</t>
        </is>
      </c>
      <c r="W18" s="13" t="inlineStr">
        <is>
          <t>Vinte e uma e trinta e trinta.</t>
        </is>
      </c>
      <c r="X18" s="13" t="inlineStr">
        <is>
          <t>Anoto: vinte e uma e trinta e trinta.</t>
        </is>
      </c>
      <c r="Y18" s="10">
        <f>SUMPRODUCT(($H18:$Q18&lt;&gt;"")*ISERROR(SEARCH($H18:$Q18,S18)))+SUMPRODUCT(($H18:$Q18&lt;&gt;"")*ISERROR(SEARCH($H18:$Q18,T18)))+SUMPRODUCT(($H18:$Q18&lt;&gt;"")*ISERROR(SEARCH($H18:$Q18,U18)))+SUMPRODUCT(($H18:$Q18&lt;&gt;"")*ISERROR(SEARCH($H18:$Q18,V18)))+SUMPRODUCT(($H18:$Q18&lt;&gt;"")*ISERROR(SEARCH($H18:$Q18,W18)))+SUMPRODUCT(($H18:$Q18&lt;&gt;"")*ISERROR(SEARCH($H18:$Q18,X18)))</f>
        <v/>
      </c>
      <c r="Z18" s="10" t="inlineStr">
        <is>
          <t>Enquadre: "…", ditou {tab}. Vem depois do raspado em que ele "perdeu a conta de um segundo": nenhuma versão corrige ou comenta a hora.</t>
        </is>
      </c>
    </row>
    <row r="19" ht="23.85" customHeight="1" s="8">
      <c r="A19" s="10" t="inlineStr">
        <is>
          <t>c5-p13-18</t>
        </is>
      </c>
      <c r="B19" s="10" t="n">
        <v>13</v>
      </c>
      <c r="C19" s="10" t="inlineStr">
        <is>
          <t>no escuro, o Tabelião dita a hora (21h31)</t>
        </is>
      </c>
      <c r="D19" s="10" t="inlineStr">
        <is>
          <t>roteiro</t>
        </is>
      </c>
      <c r="E19" s="10" t="inlineStr">
        <is>
          <t>tabeliao ({tab})</t>
        </is>
      </c>
      <c r="F19" s="10" t="inlineStr">
        <is>
          <t>grupo (da biblioteca)</t>
        </is>
      </c>
      <c r="G19" s="10" t="n"/>
      <c r="H19" s="10" t="inlineStr">
        <is>
          <t>vinte e uma e trinta e um</t>
        </is>
      </c>
      <c r="I19" s="10" t="n"/>
      <c r="J19" s="10" t="n"/>
      <c r="K19" s="10" t="n"/>
      <c r="L19" s="10" t="n"/>
      <c r="M19" s="10" t="n"/>
      <c r="N19" s="10" t="n"/>
      <c r="O19" s="10" t="n"/>
      <c r="P19" s="10" t="n"/>
      <c r="Q19" s="10" t="n"/>
      <c r="R19" s="10" t="inlineStr">
        <is>
          <t>Vinte e uma e trinta e um.</t>
        </is>
      </c>
      <c r="S19" s="13" t="inlineStr">
        <is>
          <t>Vinte e uma e trinta e um!</t>
        </is>
      </c>
      <c r="T19" s="13" t="inlineStr">
        <is>
          <t>Vinte e uma e trinta e um…</t>
        </is>
      </c>
      <c r="U19" s="13" t="inlineStr">
        <is>
          <t>Vinte e uma e trinta e um… não foi?</t>
        </is>
      </c>
      <c r="V19" s="13" t="inlineStr">
        <is>
          <t>Vinte e uma e trinta e um.</t>
        </is>
      </c>
      <c r="W19" s="13" t="inlineStr">
        <is>
          <t>Que cansaço… vinte e uma e trinta e um.</t>
        </is>
      </c>
      <c r="X19" s="13" t="inlineStr">
        <is>
          <t>Vinte e uma e trinta e um.</t>
        </is>
      </c>
      <c r="Y19" s="10">
        <f>SUMPRODUCT(($H19:$Q19&lt;&gt;"")*ISERROR(SEARCH($H19:$Q19,S19)))+SUMPRODUCT(($H19:$Q19&lt;&gt;"")*ISERROR(SEARCH($H19:$Q19,T19)))+SUMPRODUCT(($H19:$Q19&lt;&gt;"")*ISERROR(SEARCH($H19:$Q19,U19)))+SUMPRODUCT(($H19:$Q19&lt;&gt;"")*ISERROR(SEARCH($H19:$Q19,V19)))+SUMPRODUCT(($H19:$Q19&lt;&gt;"")*ISERROR(SEARCH($H19:$Q19,W19)))+SUMPRODUCT(($H19:$Q19&lt;&gt;"")*ISERROR(SEARCH($H19:$Q19,X19)))</f>
        <v/>
      </c>
      <c r="Z19" s="10" t="inlineStr">
        <is>
          <t>Enquadre: "…", ditou {tab}.</t>
        </is>
      </c>
    </row>
    <row r="20" ht="57.45" customHeight="1" s="8">
      <c r="A20" s="10" t="inlineStr">
        <is>
          <t>c5-p4-d1</t>
        </is>
      </c>
      <c r="B20" s="10" t="n">
        <v>4</v>
      </c>
      <c r="C20" s="10" t="inlineStr">
        <is>
          <t>a luz volta: o Eletricista sobe do porão</t>
        </is>
      </c>
      <c r="D20" s="10" t="inlineStr">
        <is>
          <t>roteiro</t>
        </is>
      </c>
      <c r="E20" s="10" t="inlineStr">
        <is>
          <t>eletricista ({ele})</t>
        </is>
      </c>
      <c r="F20" s="10" t="inlineStr">
        <is>
          <t>grupo</t>
        </is>
      </c>
      <c r="G20" s="10" t="n"/>
      <c r="H20" s="10" t="inlineStr">
        <is>
          <t>não precisei fazer nada</t>
        </is>
      </c>
      <c r="I20" s="10" t="inlineStr">
        <is>
          <t>quadro estava normal</t>
        </is>
      </c>
      <c r="J20" s="10" t="n"/>
      <c r="K20" s="10" t="n"/>
      <c r="L20" s="10" t="n"/>
      <c r="M20" s="10" t="n"/>
      <c r="N20" s="10" t="n"/>
      <c r="O20" s="10" t="n"/>
      <c r="P20" s="10" t="n"/>
      <c r="Q20" s="10" t="n"/>
      <c r="R20" s="10" t="inlineStr">
        <is>
          <t>Não precisei fazer nada. O quadro estava normal.</t>
        </is>
      </c>
      <c r="S20" s="13" t="inlineStr">
        <is>
          <t>Não precisei fazer nada. O quadro estava normal, perdi a viagem!</t>
        </is>
      </c>
      <c r="T20" s="13" t="inlineStr">
        <is>
          <t>Não precisei fazer nada… O quadro estava normal.</t>
        </is>
      </c>
      <c r="U20" s="13" t="inlineStr">
        <is>
          <t>Não precisei fazer nada, não é estranho? O quadro estava normal.</t>
        </is>
      </c>
      <c r="V20" s="13" t="inlineStr">
        <is>
          <t>Não precisei fazer nada. O quadro estava normal.</t>
        </is>
      </c>
      <c r="W20" s="13" t="inlineStr">
        <is>
          <t>Frio, cansaço… Não precisei fazer nada. O quadro estava normal.</t>
        </is>
      </c>
      <c r="X20" s="13" t="inlineStr">
        <is>
          <t>Relato: não precisei fazer nada. O quadro estava normal.</t>
        </is>
      </c>
      <c r="Y20" s="10">
        <f>SUMPRODUCT(($H20:$Q20&lt;&gt;"")*ISERROR(SEARCH($H20:$Q20,S20)))+SUMPRODUCT(($H20:$Q20&lt;&gt;"")*ISERROR(SEARCH($H20:$Q20,T20)))+SUMPRODUCT(($H20:$Q20&lt;&gt;"")*ISERROR(SEARCH($H20:$Q20,U20)))+SUMPRODUCT(($H20:$Q20&lt;&gt;"")*ISERROR(SEARCH($H20:$Q20,V20)))+SUMPRODUCT(($H20:$Q20&lt;&gt;"")*ISERROR(SEARCH($H20:$Q20,W20)))+SUMPRODUCT(($H20:$Q20&lt;&gt;"")*ISERROR(SEARCH($H20:$Q20,X20)))</f>
        <v/>
      </c>
      <c r="Z20" s="10" t="inlineStr">
        <is>
          <t>Enquadre: {Ele} subiu do porão com as mãos vazias. "…". Leal cego "a casa dele aguenta" é lealdade, sem fato novo; se soar como causa, trocar por "digo por respeito a ele".</t>
        </is>
      </c>
    </row>
    <row r="21" ht="91" customHeight="1" s="8">
      <c r="A21" s="10" t="inlineStr">
        <is>
          <t>c5-p5-d2</t>
        </is>
      </c>
      <c r="B21" s="10" t="n">
        <v>5</v>
      </c>
      <c r="C21" s="10" t="inlineStr">
        <is>
          <t>a luz volta: o Tabelião já escreve na ata</t>
        </is>
      </c>
      <c r="D21" s="10" t="inlineStr">
        <is>
          <t>roteiro</t>
        </is>
      </c>
      <c r="E21" s="10" t="inlineStr">
        <is>
          <t>tabeliao ({tab})</t>
        </is>
      </c>
      <c r="F21" s="10" t="inlineStr">
        <is>
          <t>ata (escrito)</t>
        </is>
      </c>
      <c r="G21" s="10" t="n"/>
      <c r="H21" s="10" t="inlineStr">
        <is>
          <t>tabelião</t>
        </is>
      </c>
      <c r="I21" s="10" t="inlineStr">
        <is>
          <t>advogado</t>
        </is>
      </c>
      <c r="J21" s="10" t="inlineStr">
        <is>
          <t>biblioteca</t>
        </is>
      </c>
      <c r="K21" s="10" t="n"/>
      <c r="L21" s="10" t="n"/>
      <c r="M21" s="10" t="n"/>
      <c r="N21" s="10" t="n"/>
      <c r="O21" s="10" t="n"/>
      <c r="P21" s="10" t="n"/>
      <c r="Q21" s="10" t="n"/>
      <c r="R21" s="10" t="inlineStr">
        <is>
          <t>{g:tab:Tabeliã|Tabelião} e {g:adv:Advogada|Advogado} na biblioteca.</t>
        </is>
      </c>
      <c r="S21" s="13" t="inlineStr">
        <is>
          <t>{g:tab:Tabeliã|Tabelião} e {g:adv:Advogada|Advogado} na biblioteca. Ponto final!</t>
        </is>
      </c>
      <c r="T21" s="13" t="inlineStr">
        <is>
          <t>{g:tab:Tabeliã|Tabelião} e {g:adv:Advogada|Advogado}… na biblioteca.</t>
        </is>
      </c>
      <c r="U21" s="13" t="inlineStr">
        <is>
          <t>{g:tab:Tabeliã|Tabelião} e {g:adv:Advogada|Advogado} na biblioteca… está certo assim?</t>
        </is>
      </c>
      <c r="V21" s="13" t="inlineStr">
        <is>
          <t>{g:tab:Tabeliã|Tabelião} e {g:adv:Advogada|Advogado} na biblioteca.</t>
        </is>
      </c>
      <c r="W21" s="13" t="inlineStr">
        <is>
          <t>{g:tab:Tabeliã|Tabelião} e {g:adv:Advogada|Advogado}, a chuva lá fora… na biblioteca.</t>
        </is>
      </c>
      <c r="X21" s="13" t="inlineStr">
        <is>
          <t>Consta: {g:tab:Tabeliã|Tabelião} e {g:adv:Advogada|Advogado} na biblioteca.</t>
        </is>
      </c>
      <c r="Y21" s="10">
        <f>SUMPRODUCT(($H21:$Q21&lt;&gt;"")*ISERROR(SEARCH($H21:$Q21,S21)))+SUMPRODUCT(($H21:$Q21&lt;&gt;"")*ISERROR(SEARCH($H21:$Q21,T21)))+SUMPRODUCT(($H21:$Q21&lt;&gt;"")*ISERROR(SEARCH($H21:$Q21,U21)))+SUMPRODUCT(($H21:$Q21&lt;&gt;"")*ISERROR(SEARCH($H21:$Q21,V21)))+SUMPRODUCT(($H21:$Q21&lt;&gt;"")*ISERROR(SEARCH($H21:$Q21,W21)))+SUMPRODUCT(($H21:$Q21&lt;&gt;"")*ISERROR(SEARCH($H21:$Q21,X21)))</f>
        <v/>
      </c>
      <c r="Z21" s="10" t="inlineStr">
        <is>
          <t>Enquadre: Quando a luz voltou, {tab} já estava escrevendo na ata: "…" Ninguém tinha perguntado nada. É texto ESCRITO na ata (não dito); se a equipe tratar como documento, manter a base nos 6 tipos. A pista é ele escrever antes de alguém perguntar: nenhuma versão acrescenta "ninguém se mexeu" (frase do Cap. 6).</t>
        </is>
      </c>
    </row>
    <row r="22" ht="57.45" customHeight="1" s="8">
      <c r="A22" s="10" t="inlineStr">
        <is>
          <t>c5-p8-d3</t>
        </is>
      </c>
      <c r="B22" s="10" t="n">
        <v>8</v>
      </c>
      <c r="C22" s="10" t="inlineStr">
        <is>
          <t>a luz volta: o Eletricista aparece com a lanterna apagada</t>
        </is>
      </c>
      <c r="D22" s="10" t="inlineStr">
        <is>
          <t>roteiro</t>
        </is>
      </c>
      <c r="E22" s="10" t="inlineStr">
        <is>
          <t>eletricista ({ele})</t>
        </is>
      </c>
      <c r="F22" s="10" t="inlineStr">
        <is>
          <t>grupo</t>
        </is>
      </c>
      <c r="G22" s="10" t="n"/>
      <c r="H22" s="10" t="inlineStr">
        <is>
          <t>religuei</t>
        </is>
      </c>
      <c r="I22" s="10" t="inlineStr">
        <is>
          <t>geral</t>
        </is>
      </c>
      <c r="J22" s="10" t="n"/>
      <c r="K22" s="10" t="n"/>
      <c r="L22" s="10" t="n"/>
      <c r="M22" s="10" t="n"/>
      <c r="N22" s="10" t="n"/>
      <c r="O22" s="10" t="n"/>
      <c r="P22" s="10" t="n"/>
      <c r="Q22" s="10" t="n"/>
      <c r="R22" s="10" t="inlineStr">
        <is>
          <t>Religuei o geral.</t>
        </is>
      </c>
      <c r="S22" s="13" t="inlineStr">
        <is>
          <t>Religuei o geral!</t>
        </is>
      </c>
      <c r="T22" s="13" t="inlineStr">
        <is>
          <t>Religuei… o geral.</t>
        </is>
      </c>
      <c r="U22" s="13" t="inlineStr">
        <is>
          <t>Religuei o geral…</t>
        </is>
      </c>
      <c r="V22" s="13" t="inlineStr">
        <is>
          <t>Religuei o geral.</t>
        </is>
      </c>
      <c r="W22" s="13" t="inlineStr">
        <is>
          <t>Hum… religuei o geral.</t>
        </is>
      </c>
      <c r="X22" s="13" t="inlineStr">
        <is>
          <t>Religuei o geral.</t>
        </is>
      </c>
      <c r="Y22" s="10">
        <f>SUMPRODUCT(($H22:$Q22&lt;&gt;"")*ISERROR(SEARCH($H22:$Q22,S22)))+SUMPRODUCT(($H22:$Q22&lt;&gt;"")*ISERROR(SEARCH($H22:$Q22,T22)))+SUMPRODUCT(($H22:$Q22&lt;&gt;"")*ISERROR(SEARCH($H22:$Q22,U22)))+SUMPRODUCT(($H22:$Q22&lt;&gt;"")*ISERROR(SEARCH($H22:$Q22,V22)))+SUMPRODUCT(($H22:$Q22&lt;&gt;"")*ISERROR(SEARCH($H22:$Q22,W22)))+SUMPRODUCT(($H22:$Q22&lt;&gt;"")*ISERROR(SEARCH($H22:$Q22,X22)))</f>
        <v/>
      </c>
      <c r="Z22" s="10" t="inlineStr">
        <is>
          <t>Enquadre: {Ele} apareceu no corredor de serviço com a lanterna apagada na mão. "…". Afirmação dele (o Cap. 6 acrescenta "às nove e trinta e um"; aqui nenhuma versão põe hora).</t>
        </is>
      </c>
    </row>
    <row r="23" ht="23.85" customHeight="1" s="8">
      <c r="A23" s="10" t="inlineStr">
        <is>
          <t>c5-p12-d4</t>
        </is>
      </c>
      <c r="B23" s="10" t="n">
        <v>12</v>
      </c>
      <c r="C23" s="10" t="inlineStr">
        <is>
          <t>a luz volta: o Eletricista sobe do porão</t>
        </is>
      </c>
      <c r="D23" s="10" t="inlineStr">
        <is>
          <t>roteiro</t>
        </is>
      </c>
      <c r="E23" s="10" t="inlineStr">
        <is>
          <t>eletricista ({ele})</t>
        </is>
      </c>
      <c r="F23" s="10" t="inlineStr">
        <is>
          <t>grupo</t>
        </is>
      </c>
      <c r="G23" s="10" t="n"/>
      <c r="H23" s="10" t="inlineStr">
        <is>
          <t>não precisei fazer nada</t>
        </is>
      </c>
      <c r="I23" s="10" t="inlineStr">
        <is>
          <t>quadro estava normal</t>
        </is>
      </c>
      <c r="J23" s="10" t="inlineStr">
        <is>
          <t>voltou sozinho</t>
        </is>
      </c>
      <c r="K23" s="10" t="n"/>
      <c r="L23" s="10" t="n"/>
      <c r="M23" s="10" t="n"/>
      <c r="N23" s="10" t="n"/>
      <c r="O23" s="10" t="n"/>
      <c r="P23" s="10" t="n"/>
      <c r="Q23" s="10" t="n"/>
      <c r="R23" s="10" t="inlineStr">
        <is>
          <t>Não precisei fazer nada. O quadro estava normal. Voltou sozinho.</t>
        </is>
      </c>
      <c r="S23" s="13" t="inlineStr">
        <is>
          <t>Não precisei fazer nada. O quadro estava normal. Voltou sozinho, e eu lá embaixo à toa!</t>
        </is>
      </c>
      <c r="T23" s="13" t="inlineStr">
        <is>
          <t>Não precisei fazer nada… O quadro estava normal. Voltou sozinho.</t>
        </is>
      </c>
      <c r="U23" s="13" t="inlineStr">
        <is>
          <t>Não precisei fazer nada. O quadro estava normal… Voltou sozinho, pode isso?</t>
        </is>
      </c>
      <c r="V23" s="13" t="inlineStr">
        <is>
          <t>Não precisei fazer nada. O quadro estava normal. Voltou sozinho.</t>
        </is>
      </c>
      <c r="W23" s="13" t="inlineStr">
        <is>
          <t>Essa demora toda… Não precisei fazer nada. O quadro estava normal. Voltou sozinho.</t>
        </is>
      </c>
      <c r="X23" s="13" t="inlineStr">
        <is>
          <t>Consta: não precisei fazer nada. O quadro estava normal. Voltou sozinho.</t>
        </is>
      </c>
      <c r="Y23" s="10">
        <f>SUMPRODUCT(($H23:$Q23&lt;&gt;"")*ISERROR(SEARCH($H23:$Q23,S23)))+SUMPRODUCT(($H23:$Q23&lt;&gt;"")*ISERROR(SEARCH($H23:$Q23,T23)))+SUMPRODUCT(($H23:$Q23&lt;&gt;"")*ISERROR(SEARCH($H23:$Q23,U23)))+SUMPRODUCT(($H23:$Q23&lt;&gt;"")*ISERROR(SEARCH($H23:$Q23,V23)))+SUMPRODUCT(($H23:$Q23&lt;&gt;"")*ISERROR(SEARCH($H23:$Q23,W23)))+SUMPRODUCT(($H23:$Q23&lt;&gt;"")*ISERROR(SEARCH($H23:$Q23,X23)))</f>
        <v/>
      </c>
      <c r="Z23" s="10" t="inlineStr">
        <is>
          <t>Enquadre: {Ele} subiu do porão com as mãos vazias. "…".</t>
        </is>
      </c>
    </row>
    <row r="24" ht="135.8" customHeight="1" s="8">
      <c r="A24" s="10" t="inlineStr">
        <is>
          <t>c5-p1p7-farol</t>
        </is>
      </c>
      <c r="B24" s="10" t="inlineStr">
        <is>
          <t>1, 7</t>
        </is>
      </c>
      <c r="C24" s="10" t="inlineStr">
        <is>
          <t>a luz volta: o Faroleiro conta pelo rádio o que viu nos clarões</t>
        </is>
      </c>
      <c r="D24" s="10" t="inlineStr">
        <is>
          <t>roteiro</t>
        </is>
      </c>
      <c r="E24" s="10" t="inlineStr">
        <is>
          <t>faroleiro</t>
        </is>
      </c>
      <c r="F24" s="10" t="inlineStr">
        <is>
          <t>grupo (pelo rádio do vestíbulo)</t>
        </is>
      </c>
      <c r="G24" s="10" t="n"/>
      <c r="H24" s="10" t="inlineStr">
        <is>
          <t>no terceiro e no quarto</t>
        </is>
      </c>
      <c r="I24" s="10" t="inlineStr">
        <is>
          <t>alguém parado na janela do corredor</t>
        </is>
      </c>
      <c r="J24" s="10" t="n"/>
      <c r="K24" s="10" t="n"/>
      <c r="L24" s="10" t="n"/>
      <c r="M24" s="10" t="n"/>
      <c r="N24" s="10" t="n"/>
      <c r="O24" s="10" t="n"/>
      <c r="P24" s="10" t="n"/>
      <c r="Q24" s="10" t="n"/>
      <c r="R24" s="10" t="inlineStr">
        <is>
          <t>No terceiro e no quarto, alguém parado na janela do corredor.</t>
        </is>
      </c>
      <c r="S24" s="13" t="inlineStr">
        <is>
          <t>No terceiro e no quarto, alguém parado na janela do corredor! Parado, ouviram bem?</t>
        </is>
      </c>
      <c r="T24" s="13" t="inlineStr">
        <is>
          <t>No terceiro e no quarto… alguém parado na janela do corredor.</t>
        </is>
      </c>
      <c r="U24" s="13" t="inlineStr">
        <is>
          <t>Alguém parado na janela do corredor, no terceiro e no quarto. Isso ajuda?</t>
        </is>
      </c>
      <c r="V24" s="13" t="inlineStr">
        <is>
          <t>Digo o que vi: no terceiro e no quarto, alguém parado na janela do corredor.</t>
        </is>
      </c>
      <c r="W24" s="13" t="inlineStr">
        <is>
          <t>Que chuva aqui no cabo… No terceiro e no quarto, alguém parado na janela do corredor.</t>
        </is>
      </c>
      <c r="X24" s="13" t="inlineStr">
        <is>
          <t>Registro: no terceiro e no quarto, alguém parado na janela do corredor. Câmbio.</t>
        </is>
      </c>
      <c r="Y24" s="10">
        <f>SUMPRODUCT(($H24:$Q24&lt;&gt;"")*ISERROR(SEARCH($H24:$Q24,S24)))+SUMPRODUCT(($H24:$Q24&lt;&gt;"")*ISERROR(SEARCH($H24:$Q24,T24)))+SUMPRODUCT(($H24:$Q24&lt;&gt;"")*ISERROR(SEARCH($H24:$Q24,U24)))+SUMPRODUCT(($H24:$Q24&lt;&gt;"")*ISERROR(SEARCH($H24:$Q24,V24)))+SUMPRODUCT(($H24:$Q24&lt;&gt;"")*ISERROR(SEARCH($H24:$Q24,W24)))+SUMPRODUCT(($H24:$Q24&lt;&gt;"")*ISERROR(SEARCH($H24:$Q24,X24)))</f>
        <v/>
      </c>
      <c r="Z24"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Mesmo texto em P1 e P7.</t>
        </is>
      </c>
    </row>
    <row r="25" ht="191.75" customHeight="1" s="8">
      <c r="A25" s="10" t="inlineStr">
        <is>
          <t>c5-p2-farol</t>
        </is>
      </c>
      <c r="B25" s="10" t="n">
        <v>2</v>
      </c>
      <c r="C25" s="10" t="inlineStr">
        <is>
          <t>a luz volta: o Faroleiro conta pelo rádio o que viu nos clarões</t>
        </is>
      </c>
      <c r="D25" s="10" t="inlineStr">
        <is>
          <t>roteiro</t>
        </is>
      </c>
      <c r="E25" s="10" t="inlineStr">
        <is>
          <t>faroleiro</t>
        </is>
      </c>
      <c r="F25" s="10" t="inlineStr">
        <is>
          <t>grupo (pelo rádio do vestíbulo)</t>
        </is>
      </c>
      <c r="G25" s="10" t="n"/>
      <c r="H25" s="10" t="inlineStr">
        <is>
          <t>no terceiro e no quarto</t>
        </is>
      </c>
      <c r="I25" s="10" t="inlineStr">
        <is>
          <t>alguém parado na janela do corredor</t>
        </is>
      </c>
      <c r="J25" s="10" t="inlineStr">
        <is>
          <t>{pol} falou comigo</t>
        </is>
      </c>
      <c r="K25" s="10" t="inlineStr">
        <is>
          <t>o tempo todo</t>
        </is>
      </c>
      <c r="L25" s="10" t="n"/>
      <c r="M25" s="10" t="n"/>
      <c r="N25" s="10" t="n"/>
      <c r="O25" s="10" t="n"/>
      <c r="P25" s="10" t="n"/>
      <c r="Q25" s="10" t="n"/>
      <c r="R25" s="10" t="inlineStr">
        <is>
          <t>No terceiro e no quarto, alguém parado na janela do corredor. E {pol} falou comigo o tempo todo.</t>
        </is>
      </c>
      <c r="S25" s="13" t="inlineStr">
        <is>
          <t>No terceiro e no quarto, alguém parado na janela do corredor! E {pol} falou comigo o tempo todo.</t>
        </is>
      </c>
      <c r="T25" s="13" t="inlineStr">
        <is>
          <t>Alguém parado na janela do corredor… no terceiro e no quarto. E {pol} falou comigo. O tempo todo.</t>
        </is>
      </c>
      <c r="U25" s="13" t="inlineStr">
        <is>
          <t>No terceiro e no quarto, alguém parado na janela do corredor. E {pol} falou comigo o tempo todo, não foi?</t>
        </is>
      </c>
      <c r="V25" s="13" t="inlineStr">
        <is>
          <t>No terceiro e no quarto, alguém parado na janela do corredor. E {pol} falou comigo o tempo todo.</t>
        </is>
      </c>
      <c r="W25" s="13" t="inlineStr">
        <is>
          <t>No terceiro e no quarto, alguém parado na janela do corredor. Frio danado aqui… E {pol} falou comigo o tempo todo.</t>
        </is>
      </c>
      <c r="X25" s="13" t="inlineStr">
        <is>
          <t>Para o registro: no terceiro e no quarto, alguém parado na janela do corredor. {Pol} falou comigo o tempo todo.</t>
        </is>
      </c>
      <c r="Y25" s="10">
        <f>SUMPRODUCT(($H25:$Q25&lt;&gt;"")*ISERROR(SEARCH($H25:$Q25,S25)))+SUMPRODUCT(($H25:$Q25&lt;&gt;"")*ISERROR(SEARCH($H25:$Q25,T25)))+SUMPRODUCT(($H25:$Q25&lt;&gt;"")*ISERROR(SEARCH($H25:$Q25,U25)))+SUMPRODUCT(($H25:$Q25&lt;&gt;"")*ISERROR(SEARCH($H25:$Q25,V25)))+SUMPRODUCT(($H25:$Q25&lt;&gt;"")*ISERROR(SEARCH($H25:$Q25,W25)))+SUMPRODUCT(($H25:$Q25&lt;&gt;"")*ISERROR(SEARCH($H25:$Q25,X25)))</f>
        <v/>
      </c>
      <c r="Z25"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"o Policial" é literal no código (não ficha {pol}); se o Policial for o jogador, talvez precise de ficha. Ingênuo "não foi?" pede confirmação ao grupo, não duvida do fato; se parecer suavizar o álibi, trocar por "desculpem".</t>
        </is>
      </c>
    </row>
    <row r="26" ht="169.4" customHeight="1" s="8">
      <c r="A26" s="10" t="inlineStr">
        <is>
          <t>c5-p4-farol</t>
        </is>
      </c>
      <c r="B26" s="10" t="n">
        <v>4</v>
      </c>
      <c r="C26" s="10" t="inlineStr">
        <is>
          <t>a luz volta: o Faroleiro conta pelo rádio o que viu nos clarões</t>
        </is>
      </c>
      <c r="D26" s="10" t="inlineStr">
        <is>
          <t>roteiro</t>
        </is>
      </c>
      <c r="E26" s="10" t="inlineStr">
        <is>
          <t>faroleiro</t>
        </is>
      </c>
      <c r="F26" s="10" t="inlineStr">
        <is>
          <t>grupo (pelo rádio do vestíbulo)</t>
        </is>
      </c>
      <c r="G26" s="10" t="n"/>
      <c r="H26" s="10" t="inlineStr">
        <is>
          <t>no terceiro e no quarto</t>
        </is>
      </c>
      <c r="I26" s="10" t="inlineStr">
        <is>
          <t>alguém parado na janela do corredor</t>
        </is>
      </c>
      <c r="J26" s="10" t="inlineStr">
        <is>
          <t>vulto de lã escura</t>
        </is>
      </c>
      <c r="K26" s="10" t="inlineStr">
        <is>
          <t>parado na varanda do jardim</t>
        </is>
      </c>
      <c r="L26" s="10" t="n"/>
      <c r="M26" s="10" t="n"/>
      <c r="N26" s="10" t="n"/>
      <c r="O26" s="10" t="n"/>
      <c r="P26" s="10" t="n"/>
      <c r="Q26" s="10" t="n"/>
      <c r="R26" s="10" t="inlineStr">
        <is>
          <t>No terceiro e no quarto, alguém parado na janela do corredor e um vulto de lã escura parado na varanda do jardim.</t>
        </is>
      </c>
      <c r="S26" s="13" t="inlineStr">
        <is>
          <t>No terceiro e no quarto, alguém parado na janela do corredor e um vulto de lã escura parado na varanda do jardim! Anotaram?</t>
        </is>
      </c>
      <c r="T26" s="13" t="inlineStr">
        <is>
          <t>No terceiro e no quarto… alguém parado na janela do corredor. E um vulto de lã escura… parado na varanda do jardim.</t>
        </is>
      </c>
      <c r="U26" s="13" t="inlineStr">
        <is>
          <t>No terceiro e no quarto, alguém parado na janela do corredor e um vulto de lã escura parado na varanda do jardim. Serve de alguma coisa?</t>
        </is>
      </c>
      <c r="V26" s="13" t="inlineStr">
        <is>
          <t>Alguém parado na janela do corredor, no terceiro e no quarto. E um vulto de lã escura parado na varanda do jardim.</t>
        </is>
      </c>
      <c r="W26" s="13" t="inlineStr">
        <is>
          <t>Frio forte no cabo… No terceiro e no quarto, alguém parado na janela do corredor e um vulto de lã escura parado na varanda do jardim.</t>
        </is>
      </c>
      <c r="X26" s="13" t="inlineStr">
        <is>
          <t>Registro: no terceiro e no quarto, alguém parado na janela do corredor; um vulto de lã escura parado na varanda do jardim. Câmbio.</t>
        </is>
      </c>
      <c r="Y26" s="10">
        <f>SUMPRODUCT(($H26:$Q26&lt;&gt;"")*ISERROR(SEARCH($H26:$Q26,S26)))+SUMPRODUCT(($H26:$Q26&lt;&gt;"")*ISERROR(SEARCH($H26:$Q26,T26)))+SUMPRODUCT(($H26:$Q26&lt;&gt;"")*ISERROR(SEARCH($H26:$Q26,U26)))+SUMPRODUCT(($H26:$Q26&lt;&gt;"")*ISERROR(SEARCH($H26:$Q26,V26)))+SUMPRODUCT(($H26:$Q26&lt;&gt;"")*ISERROR(SEARCH($H26:$Q26,W26)))+SUMPRODUCT(($H26:$Q26&lt;&gt;"")*ISERROR(SEARCH($H26:$Q26,X26)))</f>
        <v/>
      </c>
      <c r="Z26"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Explosivo "Dois, entenderam?" apenas conta os dois já citados (janela + varanda); se a equipe quiser evitar qualquer número, remover.</t>
        </is>
      </c>
    </row>
    <row r="27" ht="124.6" customHeight="1" s="8">
      <c r="A27" s="10" t="inlineStr">
        <is>
          <t>c5-p5-farol</t>
        </is>
      </c>
      <c r="B27" s="10" t="n">
        <v>5</v>
      </c>
      <c r="C27" s="10" t="inlineStr">
        <is>
          <t>a luz volta: o Faroleiro conta pelo rádio o que viu nos clarões</t>
        </is>
      </c>
      <c r="D27" s="10" t="inlineStr">
        <is>
          <t>roteiro</t>
        </is>
      </c>
      <c r="E27" s="10" t="inlineStr">
        <is>
          <t>faroleiro</t>
        </is>
      </c>
      <c r="F27" s="10" t="inlineStr">
        <is>
          <t>grupo (pelo rádio do vestíbulo)</t>
        </is>
      </c>
      <c r="G27" s="10" t="n"/>
      <c r="H27" s="10" t="inlineStr">
        <is>
          <t>no terceiro e no quarto</t>
        </is>
      </c>
      <c r="I27" s="10" t="inlineStr">
        <is>
          <t>um vulto amarelo</t>
        </is>
      </c>
      <c r="J27" s="10" t="inlineStr">
        <is>
          <t>parado na varanda do jardim</t>
        </is>
      </c>
      <c r="K27" s="10" t="n"/>
      <c r="L27" s="10" t="n"/>
      <c r="M27" s="10" t="n"/>
      <c r="N27" s="10" t="n"/>
      <c r="O27" s="10" t="n"/>
      <c r="P27" s="10" t="n"/>
      <c r="Q27" s="10" t="n"/>
      <c r="R27" s="10" t="inlineStr">
        <is>
          <t>No terceiro e no quarto, um vulto amarelo parado na varanda do jardim.</t>
        </is>
      </c>
      <c r="S27" s="13" t="inlineStr">
        <is>
          <t>Um vulto amarelo parado na varanda do jardim, no terceiro e no quarto! Amarelo, ouviram?</t>
        </is>
      </c>
      <c r="T27" s="13" t="inlineStr">
        <is>
          <t>No terceiro e no quarto… um vulto amarelo. Parado na varanda do jardim.</t>
        </is>
      </c>
      <c r="U27" s="13" t="inlineStr">
        <is>
          <t>No terceiro e no quarto, um vulto amarelo parado na varanda do jardim. Ajuda em alguma coisa?</t>
        </is>
      </c>
      <c r="V27" s="13" t="inlineStr">
        <is>
          <t>No terceiro e no quarto, um vulto amarelo parado na varanda do jardim.</t>
        </is>
      </c>
      <c r="W27" s="13" t="inlineStr">
        <is>
          <t>Essa chuva no cabo, sem trégua… No terceiro e no quarto, um vulto amarelo parado na varanda do jardim.</t>
        </is>
      </c>
      <c r="X27" s="13" t="inlineStr">
        <is>
          <t>Anoto: no terceiro e no quarto, um vulto amarelo parado na varanda do jardim.</t>
        </is>
      </c>
      <c r="Y27" s="10">
        <f>SUMPRODUCT(($H27:$Q27&lt;&gt;"")*ISERROR(SEARCH($H27:$Q27,S27)))+SUMPRODUCT(($H27:$Q27&lt;&gt;"")*ISERROR(SEARCH($H27:$Q27,T27)))+SUMPRODUCT(($H27:$Q27&lt;&gt;"")*ISERROR(SEARCH($H27:$Q27,U27)))+SUMPRODUCT(($H27:$Q27&lt;&gt;"")*ISERROR(SEARCH($H27:$Q27,V27)))+SUMPRODUCT(($H27:$Q27&lt;&gt;"")*ISERROR(SEARCH($H27:$Q27,W27)))+SUMPRODUCT(($H27:$Q27&lt;&gt;"")*ISERROR(SEARCH($H27:$Q27,X27)))</f>
        <v/>
      </c>
      <c r="Z27"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t>
        </is>
      </c>
    </row>
    <row r="28" ht="124.6" customHeight="1" s="8">
      <c r="A28" s="10" t="inlineStr">
        <is>
          <t>c5-p6-farol</t>
        </is>
      </c>
      <c r="B28" s="10" t="n">
        <v>6</v>
      </c>
      <c r="C28" s="10" t="inlineStr">
        <is>
          <t>a luz volta: o Faroleiro conta pelo rádio o que viu nos clarões</t>
        </is>
      </c>
      <c r="D28" s="10" t="inlineStr">
        <is>
          <t>roteiro</t>
        </is>
      </c>
      <c r="E28" s="10" t="inlineStr">
        <is>
          <t>faroleiro</t>
        </is>
      </c>
      <c r="F28" s="10" t="inlineStr">
        <is>
          <t>grupo (pelo rádio do vestíbulo)</t>
        </is>
      </c>
      <c r="G28" s="10" t="n"/>
      <c r="H28" s="10" t="inlineStr">
        <is>
          <t>no terceiro e no quarto</t>
        </is>
      </c>
      <c r="I28" s="10" t="inlineStr">
        <is>
          <t>uma faixa que brilha</t>
        </is>
      </c>
      <c r="J28" s="10" t="inlineStr">
        <is>
          <t>parada na varanda do jardim</t>
        </is>
      </c>
      <c r="K28" s="10" t="inlineStr">
        <is>
          <t>alguém parado na janela do corredor</t>
        </is>
      </c>
      <c r="L28" s="10" t="n"/>
      <c r="M28" s="10" t="n"/>
      <c r="N28" s="10" t="n"/>
      <c r="O28" s="10" t="n"/>
      <c r="P28" s="10" t="n"/>
      <c r="Q28" s="10" t="n"/>
      <c r="R28" s="10" t="inlineStr">
        <is>
          <t>No terceiro e no quarto, uma faixa que brilha parada na varanda do jardim, e alguém parado na janela do corredor.</t>
        </is>
      </c>
      <c r="S28" s="13" t="inlineStr">
        <is>
          <t>No terceiro e no quarto, uma faixa que brilha parada na varanda do jardim, e alguém parado na janela do corredor! Ouviram bem?</t>
        </is>
      </c>
      <c r="T28" s="13" t="inlineStr">
        <is>
          <t>Uma faixa que brilha… parada na varanda do jardim. No terceiro e no quarto. E alguém parado na janela do corredor.</t>
        </is>
      </c>
      <c r="U28" s="13" t="inlineStr">
        <is>
          <t>No terceiro e no quarto, uma faixa que brilha parada na varanda do jardim, e alguém parado na janela do corredor. Ajuda, não ajuda?</t>
        </is>
      </c>
      <c r="V28" s="13" t="inlineStr">
        <is>
          <t>No terceiro e no quarto, uma faixa que brilha parada na varanda do jardim, e alguém parado na janela do corredor.</t>
        </is>
      </c>
      <c r="W28" s="13" t="inlineStr">
        <is>
          <t>Uma faixa que brilha parada na varanda do jardim, no terceiro e no quarto… que umidade aqui em cima… e alguém parado na janela do corredor.</t>
        </is>
      </c>
      <c r="X28" s="13" t="inlineStr">
        <is>
          <t>No terceiro e no quarto: uma faixa que brilha parada na varanda do jardim; alguém parado na janela do corredor. Câmbio.</t>
        </is>
      </c>
      <c r="Y28" s="10">
        <f>SUMPRODUCT(($H28:$Q28&lt;&gt;"")*ISERROR(SEARCH($H28:$Q28,S28)))+SUMPRODUCT(($H28:$Q28&lt;&gt;"")*ISERROR(SEARCH($H28:$Q28,T28)))+SUMPRODUCT(($H28:$Q28&lt;&gt;"")*ISERROR(SEARCH($H28:$Q28,U28)))+SUMPRODUCT(($H28:$Q28&lt;&gt;"")*ISERROR(SEARCH($H28:$Q28,V28)))+SUMPRODUCT(($H28:$Q28&lt;&gt;"")*ISERROR(SEARCH($H28:$Q28,W28)))+SUMPRODUCT(($H28:$Q28&lt;&gt;"")*ISERROR(SEARCH($H28:$Q28,X28)))</f>
        <v/>
      </c>
      <c r="Z28"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t>
        </is>
      </c>
    </row>
    <row r="29" ht="124.6" customHeight="1" s="8">
      <c r="A29" s="10" t="inlineStr">
        <is>
          <t>c5-p8-farol</t>
        </is>
      </c>
      <c r="B29" s="10" t="n">
        <v>8</v>
      </c>
      <c r="C29" s="10" t="inlineStr">
        <is>
          <t>a luz volta: o Faroleiro conta pelo rádio o que viu nos clarões</t>
        </is>
      </c>
      <c r="D29" s="10" t="inlineStr">
        <is>
          <t>roteiro</t>
        </is>
      </c>
      <c r="E29" s="10" t="inlineStr">
        <is>
          <t>faroleiro</t>
        </is>
      </c>
      <c r="F29" s="10" t="inlineStr">
        <is>
          <t>grupo (pelo rádio do vestíbulo)</t>
        </is>
      </c>
      <c r="G29" s="10" t="n"/>
      <c r="H29" s="10" t="inlineStr">
        <is>
          <t>no terceiro e no quarto</t>
        </is>
      </c>
      <c r="I29" s="10" t="inlineStr">
        <is>
          <t>um vulto escuro</t>
        </is>
      </c>
      <c r="J29" s="10" t="inlineStr">
        <is>
          <t>parado na varanda do jardim</t>
        </is>
      </c>
      <c r="K29" s="10" t="inlineStr">
        <is>
          <t>alguém parado na janela do corredor</t>
        </is>
      </c>
      <c r="L29" s="10" t="n"/>
      <c r="M29" s="10" t="n"/>
      <c r="N29" s="10" t="n"/>
      <c r="O29" s="10" t="n"/>
      <c r="P29" s="10" t="n"/>
      <c r="Q29" s="10" t="n"/>
      <c r="R29" s="10" t="inlineStr">
        <is>
          <t>No terceiro e no quarto, um vulto escuro parado na varanda do jardim e alguém parado na janela do corredor.</t>
        </is>
      </c>
      <c r="S29" s="13" t="inlineStr">
        <is>
          <t>Um vulto escuro parado na varanda do jardim, no terceiro e no quarto! E alguém parado na janela do corredor.</t>
        </is>
      </c>
      <c r="T29" s="13" t="inlineStr">
        <is>
          <t>No terceiro e no quarto… um vulto escuro, parado na varanda do jardim. E alguém parado na janela do corredor.</t>
        </is>
      </c>
      <c r="U29" s="13" t="inlineStr">
        <is>
          <t>Um vulto escuro parado na varanda do jardim, no terceiro e no quarto, e alguém parado na janela do corredor. Isso ajuda vocês?</t>
        </is>
      </c>
      <c r="V29" s="13" t="inlineStr">
        <is>
          <t>No terceiro e no quarto, um vulto escuro parado na varanda do jardim e alguém parado na janela do corredor.</t>
        </is>
      </c>
      <c r="W29" s="13" t="inlineStr">
        <is>
          <t>Chuva fina no cabo, a noite toda… No terceiro e no quarto, um vulto escuro parado na varanda do jardim e alguém parado na janela do corredor.</t>
        </is>
      </c>
      <c r="X29" s="13" t="inlineStr">
        <is>
          <t>Registro: no terceiro e no quarto, um vulto escuro parado na varanda do jardim; alguém parado na janela do corredor.</t>
        </is>
      </c>
      <c r="Y29" s="10">
        <f>SUMPRODUCT(($H29:$Q29&lt;&gt;"")*ISERROR(SEARCH($H29:$Q29,S29)))+SUMPRODUCT(($H29:$Q29&lt;&gt;"")*ISERROR(SEARCH($H29:$Q29,T29)))+SUMPRODUCT(($H29:$Q29&lt;&gt;"")*ISERROR(SEARCH($H29:$Q29,U29)))+SUMPRODUCT(($H29:$Q29&lt;&gt;"")*ISERROR(SEARCH($H29:$Q29,V29)))+SUMPRODUCT(($H29:$Q29&lt;&gt;"")*ISERROR(SEARCH($H29:$Q29,W29)))+SUMPRODUCT(($H29:$Q29&lt;&gt;"")*ISERROR(SEARCH($H29:$Q29,X29)))</f>
        <v/>
      </c>
      <c r="Z29"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t>
        </is>
      </c>
    </row>
    <row r="30" ht="158.2" customHeight="1" s="8">
      <c r="A30" s="10" t="inlineStr">
        <is>
          <t>c5-p9-farol</t>
        </is>
      </c>
      <c r="B30" s="10" t="n">
        <v>9</v>
      </c>
      <c r="C30" s="10" t="inlineStr">
        <is>
          <t>a luz volta: o Faroleiro conta pelo rádio o que viu nos clarões</t>
        </is>
      </c>
      <c r="D30" s="10" t="inlineStr">
        <is>
          <t>roteiro</t>
        </is>
      </c>
      <c r="E30" s="10" t="inlineStr">
        <is>
          <t>faroleiro</t>
        </is>
      </c>
      <c r="F30" s="10" t="inlineStr">
        <is>
          <t>grupo (pelo rádio do vestíbulo)</t>
        </is>
      </c>
      <c r="G30" s="10" t="n"/>
      <c r="H30" s="10" t="inlineStr">
        <is>
          <t>no quarto clarão</t>
        </is>
      </c>
      <c r="I30" s="10" t="inlineStr">
        <is>
          <t>janela do corredor dos retratos</t>
        </is>
      </c>
      <c r="J30" s="10" t="inlineStr">
        <is>
          <t>aberta</t>
        </is>
      </c>
      <c r="K30" s="10" t="inlineStr">
        <is>
          <t>ninguém nela</t>
        </is>
      </c>
      <c r="L30" s="10" t="n"/>
      <c r="M30" s="10" t="n"/>
      <c r="N30" s="10" t="n"/>
      <c r="O30" s="10" t="n"/>
      <c r="P30" s="10" t="n"/>
      <c r="Q30" s="10" t="n"/>
      <c r="R30" s="10" t="inlineStr">
        <is>
          <t>No quarto clarão, a janela do corredor dos retratos estava aberta, e ninguém nela.</t>
        </is>
      </c>
      <c r="S30" s="13" t="inlineStr">
        <is>
          <t>No quarto clarão, a janela do corredor dos retratos estava aberta, e ninguém nela! Ninguém.</t>
        </is>
      </c>
      <c r="T30" s="13" t="inlineStr">
        <is>
          <t>No quarto clarão… a janela do corredor dos retratos. Aberta. E ninguém nela.</t>
        </is>
      </c>
      <c r="U30" s="13" t="inlineStr">
        <is>
          <t>No quarto clarão, a janela do corredor dos retratos estava aberta, e ninguém nela. Estranho, não é?</t>
        </is>
      </c>
      <c r="V30" s="13" t="inlineStr">
        <is>
          <t>No quarto clarão, a janela do corredor dos retratos estava aberta, e ninguém nela.</t>
        </is>
      </c>
      <c r="W30" s="13" t="inlineStr">
        <is>
          <t>Que frio no cabo… No quarto clarão, a janela do corredor dos retratos estava aberta, e ninguém nela.</t>
        </is>
      </c>
      <c r="X30" s="13" t="inlineStr">
        <is>
          <t>Para o registro: no quarto clarão, a janela do corredor dos retratos estava aberta, e ninguém nela.</t>
        </is>
      </c>
      <c r="Y30" s="10">
        <f>SUMPRODUCT(($H30:$Q30&lt;&gt;"")*ISERROR(SEARCH($H30:$Q30,S30)))+SUMPRODUCT(($H30:$Q30&lt;&gt;"")*ISERROR(SEARCH($H30:$Q30,T30)))+SUMPRODUCT(($H30:$Q30&lt;&gt;"")*ISERROR(SEARCH($H30:$Q30,U30)))+SUMPRODUCT(($H30:$Q30&lt;&gt;"")*ISERROR(SEARCH($H30:$Q30,V30)))+SUMPRODUCT(($H30:$Q30&lt;&gt;"")*ISERROR(SEARCH($H30:$Q30,W30)))+SUMPRODUCT(($H30:$Q30&lt;&gt;"")*ISERROR(SEARCH($H30:$Q30,X30)))</f>
        <v/>
      </c>
      <c r="Z30"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Só o QUARTO clarão (não o terceiro). Ingênuo "Estranho, não é?" é reação, sem fato novo.</t>
        </is>
      </c>
    </row>
    <row r="31" ht="180.55" customHeight="1" s="8">
      <c r="A31" s="10" t="inlineStr">
        <is>
          <t>c5-p10-farol</t>
        </is>
      </c>
      <c r="B31" s="10" t="n">
        <v>10</v>
      </c>
      <c r="C31" s="10" t="inlineStr">
        <is>
          <t>a luz volta: o Faroleiro conta pelo rádio o que viu nos clarões</t>
        </is>
      </c>
      <c r="D31" s="10" t="inlineStr">
        <is>
          <t>roteiro</t>
        </is>
      </c>
      <c r="E31" s="10" t="inlineStr">
        <is>
          <t>faroleiro</t>
        </is>
      </c>
      <c r="F31" s="10" t="inlineStr">
        <is>
          <t>grupo (pelo rádio do vestíbulo)</t>
        </is>
      </c>
      <c r="G31" s="10" t="n"/>
      <c r="H31" s="10" t="inlineStr">
        <is>
          <t>no quarto clarão</t>
        </is>
      </c>
      <c r="I31" s="10" t="inlineStr">
        <is>
          <t>a varanda vazia</t>
        </is>
      </c>
      <c r="J31" s="10" t="inlineStr">
        <is>
          <t>um vulto junto à janela dos fundos</t>
        </is>
      </c>
      <c r="K31" s="10" t="inlineStr">
        <is>
          <t>no sexto, outro, escuro, atravessando do lado da sala para a varanda</t>
        </is>
      </c>
      <c r="L31" s="10" t="inlineStr">
        <is>
          <t>alguém parado na janela do corredor, no terceiro e no quarto</t>
        </is>
      </c>
      <c r="M31" s="10" t="n"/>
      <c r="N31" s="10" t="n"/>
      <c r="O31" s="10" t="n"/>
      <c r="P31" s="10" t="n"/>
      <c r="Q31" s="10" t="n"/>
      <c r="R31" s="10" t="inlineStr">
        <is>
          <t>No quarto clarão, a varanda vazia e um vulto junto à janela dos fundos. No sexto, outro, escuro, atravessando do lado da sala para a varanda. E alguém parado na janela do corredor, no terceiro e no quarto.</t>
        </is>
      </c>
      <c r="S31" s="13" t="inlineStr">
        <is>
          <t>No quarto clarão, a varanda vazia e um vulto junto à janela dos fundos. No sexto, outro, escuro, atravessando do lado da sala para a varanda. E alguém parado na janela do corredor, no terceiro e no quarto! Entenderam?</t>
        </is>
      </c>
      <c r="T31" s="13" t="inlineStr">
        <is>
          <t>No quarto clarão… a varanda vazia. E um vulto junto à janela dos fundos. No sexto, outro, escuro, atravessando do lado da sala para a varanda. E alguém parado na janela do corredor, no terceiro e no quarto.</t>
        </is>
      </c>
      <c r="U31" s="13" t="inlineStr">
        <is>
          <t>No quarto clarão, a varanda vazia e um vulto junto à janela dos fundos. No sexto, outro, escuro, atravessando do lado da sala para a varanda, não é estranho? E alguém parado na janela do corredor, no terceiro e no quarto.</t>
        </is>
      </c>
      <c r="V31" s="13" t="inlineStr">
        <is>
          <t>No quarto clarão, a varanda vazia e um vulto junto à janela dos fundos. No sexto, outro, escuro, atravessando do lado da sala para a varanda. E alguém parado na janela do corredor, no terceiro e no quarto.</t>
        </is>
      </c>
      <c r="W31" s="13" t="inlineStr">
        <is>
          <t>Chuva sem parar aqui… No quarto clarão, a varanda vazia e um vulto junto à janela dos fundos. No sexto, outro, escuro, atravessando do lado da sala para a varanda. E alguém parado na janela do corredor, no terceiro e no quarto.</t>
        </is>
      </c>
      <c r="X31" s="13" t="inlineStr">
        <is>
          <t>No quarto clarão: a varanda vazia e um vulto junto à janela dos fundos. No sexto, outro, escuro, atravessando do lado da sala para a varanda. Alguém parado na janela do corredor, no terceiro e no quarto.</t>
        </is>
      </c>
      <c r="Y31" s="10">
        <f>SUMPRODUCT(($H31:$Q31&lt;&gt;"")*ISERROR(SEARCH($H31:$Q31,S31)))+SUMPRODUCT(($H31:$Q31&lt;&gt;"")*ISERROR(SEARCH($H31:$Q31,T31)))+SUMPRODUCT(($H31:$Q31&lt;&gt;"")*ISERROR(SEARCH($H31:$Q31,U31)))+SUMPRODUCT(($H31:$Q31&lt;&gt;"")*ISERROR(SEARCH($H31:$Q31,V31)))+SUMPRODUCT(($H31:$Q31&lt;&gt;"")*ISERROR(SEARCH($H31:$Q31,W31)))+SUMPRODUCT(($H31:$Q31&lt;&gt;"")*ISERROR(SEARCH($H31:$Q31,X31)))</f>
        <v/>
      </c>
      <c r="Z31"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Fala mais densa de pistas: itens longos de propósito, para nenhuma versão mexer em clarão, lugar ou "outro" (são DOIS vultos além de quem está na janela).</t>
        </is>
      </c>
    </row>
    <row r="32" ht="158.2" customHeight="1" s="8">
      <c r="A32" s="10" t="inlineStr">
        <is>
          <t>c5-p12-farol</t>
        </is>
      </c>
      <c r="B32" s="10" t="n">
        <v>12</v>
      </c>
      <c r="C32" s="10" t="inlineStr">
        <is>
          <t>a luz volta: o Faroleiro conta pelo rádio o que viu nos clarões</t>
        </is>
      </c>
      <c r="D32" s="10" t="inlineStr">
        <is>
          <t>roteiro</t>
        </is>
      </c>
      <c r="E32" s="10" t="inlineStr">
        <is>
          <t>faroleiro</t>
        </is>
      </c>
      <c r="F32" s="10" t="inlineStr">
        <is>
          <t>grupo (pelo rádio do vestíbulo)</t>
        </is>
      </c>
      <c r="G32" s="10" t="n"/>
      <c r="H32" s="10" t="inlineStr">
        <is>
          <t>no terceiro e no quarto</t>
        </is>
      </c>
      <c r="I32" s="10" t="inlineStr">
        <is>
          <t>um vulto amarelo parado na varanda do jardim</t>
        </is>
      </c>
      <c r="J32" s="10" t="inlineStr">
        <is>
          <t>alguém parado na janela do corredor</t>
        </is>
      </c>
      <c r="K32" s="10" t="inlineStr">
        <is>
          <t>no quarto, uma coisa clara dentro da sala</t>
        </is>
      </c>
      <c r="L32" s="10" t="inlineStr">
        <is>
          <t>rente à vidraça, do lado do relógio</t>
        </is>
      </c>
      <c r="M32" s="10" t="n"/>
      <c r="N32" s="10" t="n"/>
      <c r="O32" s="10" t="n"/>
      <c r="P32" s="10" t="n"/>
      <c r="Q32" s="10" t="n"/>
      <c r="R32" s="10" t="inlineStr">
        <is>
          <t>No terceiro e no quarto, um vulto amarelo parado na varanda do jardim e alguém parado na janela do corredor. No quarto, uma coisa clara dentro da sala, rente à vidraça, do lado do relógio.</t>
        </is>
      </c>
      <c r="S32" s="13" t="inlineStr">
        <is>
          <t>No terceiro e no quarto, um vulto amarelo parado na varanda do jardim e alguém parado na janela do corredor. No quarto, uma coisa clara dentro da sala, rente à vidraça, do lado do relógio! Ninguém aí viu?</t>
        </is>
      </c>
      <c r="T32" s="13" t="inlineStr">
        <is>
          <t>Um vulto amarelo parado na varanda do jardim… no terceiro e no quarto. E alguém parado na janela do corredor. No quarto, uma coisa clara dentro da sala… rente à vidraça, do lado do relógio.</t>
        </is>
      </c>
      <c r="U32" s="13" t="inlineStr">
        <is>
          <t>No terceiro e no quarto, um vulto amarelo parado na varanda do jardim e alguém parado na janela do corredor. No quarto, uma coisa clara dentro da sala, rente à vidraça, do lado do relógio. Alguém mais viu?</t>
        </is>
      </c>
      <c r="V32" s="13" t="inlineStr">
        <is>
          <t>Um vulto amarelo parado na varanda do jardim e alguém parado na janela do corredor, no terceiro e no quarto. No quarto, uma coisa clara dentro da sala, rente à vidraça, do lado do relógio.</t>
        </is>
      </c>
      <c r="W32" s="13" t="inlineStr">
        <is>
          <t>Que chuva no cabo… No terceiro e no quarto, um vulto amarelo parado na varanda do jardim e alguém parado na janela do corredor. No quarto, uma coisa clara dentro da sala, rente à vidraça, do lado do relógio.</t>
        </is>
      </c>
      <c r="X32" s="13" t="inlineStr">
        <is>
          <t>Registro: no terceiro e no quarto, um vulto amarelo parado na varanda do jardim; alguém parado na janela do corredor. No quarto, uma coisa clara dentro da sala, rente à vidraça, do lado do relógio. Câmbio.</t>
        </is>
      </c>
      <c r="Y32" s="10">
        <f>SUMPRODUCT(($H32:$Q32&lt;&gt;"")*ISERROR(SEARCH($H32:$Q32,S32)))+SUMPRODUCT(($H32:$Q32&lt;&gt;"")*ISERROR(SEARCH($H32:$Q32,T32)))+SUMPRODUCT(($H32:$Q32&lt;&gt;"")*ISERROR(SEARCH($H32:$Q32,U32)))+SUMPRODUCT(($H32:$Q32&lt;&gt;"")*ISERROR(SEARCH($H32:$Q32,V32)))+SUMPRODUCT(($H32:$Q32&lt;&gt;"")*ISERROR(SEARCH($H32:$Q32,W32)))+SUMPRODUCT(($H32:$Q32&lt;&gt;"")*ISERROR(SEARCH($H32:$Q32,X32)))</f>
        <v/>
      </c>
      <c r="Z32"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"coisa clara" fica coisa, não vulto nem pessoa (combina com a manga clara vista pelo Policial).</t>
        </is>
      </c>
    </row>
    <row r="33" ht="158.2" customHeight="1" s="8">
      <c r="A33" s="10" t="inlineStr">
        <is>
          <t>c5-p13-farol</t>
        </is>
      </c>
      <c r="B33" s="10" t="n">
        <v>13</v>
      </c>
      <c r="C33" s="10" t="inlineStr">
        <is>
          <t>a luz volta: o Faroleiro conta pelo rádio o que viu nos clarões</t>
        </is>
      </c>
      <c r="D33" s="10" t="inlineStr">
        <is>
          <t>roteiro</t>
        </is>
      </c>
      <c r="E33" s="10" t="inlineStr">
        <is>
          <t>faroleiro</t>
        </is>
      </c>
      <c r="F33" s="10" t="inlineStr">
        <is>
          <t>grupo (pelo rádio do vestíbulo)</t>
        </is>
      </c>
      <c r="G33" s="10" t="n"/>
      <c r="H33" s="10" t="inlineStr">
        <is>
          <t>no quarto clarão</t>
        </is>
      </c>
      <c r="I33" s="10" t="inlineStr">
        <is>
          <t>janela do corredor dos retratos</t>
        </is>
      </c>
      <c r="J33" s="10" t="inlineStr">
        <is>
          <t>vazia</t>
        </is>
      </c>
      <c r="K33" s="10" t="n"/>
      <c r="L33" s="10" t="n"/>
      <c r="M33" s="10" t="n"/>
      <c r="N33" s="10" t="n"/>
      <c r="O33" s="10" t="n"/>
      <c r="P33" s="10" t="n"/>
      <c r="Q33" s="10" t="n"/>
      <c r="R33" s="10" t="inlineStr">
        <is>
          <t>No quarto clarão, a janela do corredor dos retratos estava vazia.</t>
        </is>
      </c>
      <c r="S33" s="13" t="inlineStr">
        <is>
          <t>No quarto clarão, a janela do corredor dos retratos estava vazia! Vazia, entenderam?</t>
        </is>
      </c>
      <c r="T33" s="13" t="inlineStr">
        <is>
          <t>No quarto clarão… a janela do corredor dos retratos. Vazia.</t>
        </is>
      </c>
      <c r="U33" s="13" t="inlineStr">
        <is>
          <t>No quarto clarão, a janela do corredor dos retratos estava vazia. Isso importa?</t>
        </is>
      </c>
      <c r="V33" s="13" t="inlineStr">
        <is>
          <t>No quarto clarão, a janela do corredor dos retratos estava vazia.</t>
        </is>
      </c>
      <c r="W33" s="13" t="inlineStr">
        <is>
          <t>Frio forte no cabo… No quarto clarão, a janela do corredor dos retratos estava vazia.</t>
        </is>
      </c>
      <c r="X33" s="13" t="inlineStr">
        <is>
          <t>Registro: no quarto clarão, a janela do corredor dos retratos estava vazia. Câmbio.</t>
        </is>
      </c>
      <c r="Y33" s="10">
        <f>SUMPRODUCT(($H33:$Q33&lt;&gt;"")*ISERROR(SEARCH($H33:$Q33,S33)))+SUMPRODUCT(($H33:$Q33&lt;&gt;"")*ISERROR(SEARCH($H33:$Q33,T33)))+SUMPRODUCT(($H33:$Q33&lt;&gt;"")*ISERROR(SEARCH($H33:$Q33,U33)))+SUMPRODUCT(($H33:$Q33&lt;&gt;"")*ISERROR(SEARCH($H33:$Q33,V33)))+SUMPRODUCT(($H33:$Q33&lt;&gt;"")*ISERROR(SEARCH($H33:$Q33,W33)))+SUMPRODUCT(($H33:$Q33&lt;&gt;"")*ISERROR(SEARCH($H33:$Q33,X33)))</f>
        <v/>
      </c>
      <c r="Z33"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Diferente da P9: aqui não diz "aberta". Nenhuma versão acrescenta estado da janela.</t>
        </is>
      </c>
    </row>
    <row r="34" ht="158.2" customHeight="1" s="8">
      <c r="A34" s="10" t="inlineStr">
        <is>
          <t>c5-p14-farol</t>
        </is>
      </c>
      <c r="B34" s="10" t="n">
        <v>14</v>
      </c>
      <c r="C34" s="10" t="inlineStr">
        <is>
          <t>a luz volta: o Faroleiro conta pelo rádio o que viu nos clarões</t>
        </is>
      </c>
      <c r="D34" s="10" t="inlineStr">
        <is>
          <t>roteiro</t>
        </is>
      </c>
      <c r="E34" s="10" t="inlineStr">
        <is>
          <t>faroleiro</t>
        </is>
      </c>
      <c r="F34" s="10" t="inlineStr">
        <is>
          <t>grupo (pelo rádio do vestíbulo)</t>
        </is>
      </c>
      <c r="G34" s="10" t="n"/>
      <c r="H34" s="10" t="inlineStr">
        <is>
          <t>dois vultos</t>
        </is>
      </c>
      <c r="I34" s="10" t="inlineStr">
        <is>
          <t>no quarto clarão, um junto à janela dos fundos</t>
        </is>
      </c>
      <c r="J34" s="10" t="inlineStr">
        <is>
          <t>a varanda vazia</t>
        </is>
      </c>
      <c r="K34" s="10" t="inlineStr">
        <is>
          <t>no sexto, um escuro, atravessando do lado da sala para a varanda</t>
        </is>
      </c>
      <c r="L34" s="10" t="inlineStr">
        <is>
          <t>alguém na janela do corredor, no terceiro e no quarto</t>
        </is>
      </c>
      <c r="M34" s="10" t="n"/>
      <c r="N34" s="10" t="n"/>
      <c r="O34" s="10" t="n"/>
      <c r="P34" s="10" t="n"/>
      <c r="Q34" s="10" t="n"/>
      <c r="R34" s="10" t="inlineStr">
        <is>
          <t>Dois vultos. No quarto clarão, um junto à janela dos fundos, e a varanda vazia. No sexto, um escuro, atravessando do lado da sala para a varanda. E alguém na janela do corredor, no terceiro e no quarto.</t>
        </is>
      </c>
      <c r="S34" s="13" t="inlineStr">
        <is>
          <t>Dois vultos! No quarto clarão, um junto à janela dos fundos, e a varanda vazia. No sexto, um escuro, atravessando do lado da sala para a varanda. E alguém na janela do corredor, no terceiro e no quarto.</t>
        </is>
      </c>
      <c r="T34" s="13" t="inlineStr">
        <is>
          <t>Dois vultos. No quarto clarão, um junto à janela dos fundos… e a varanda vazia. No sexto, um escuro, atravessando do lado da sala para a varanda. E alguém na janela do corredor, no terceiro e no quarto.</t>
        </is>
      </c>
      <c r="U34" s="13" t="inlineStr">
        <is>
          <t>Dois vultos. No quarto clarão, um junto à janela dos fundos, e a varanda vazia. No sexto, um escuro, atravessando do lado da sala para a varanda. E alguém na janela do corredor, no terceiro e no quarto. Desculpa, é muita coisa de uma vez.</t>
        </is>
      </c>
      <c r="V34" s="13" t="inlineStr">
        <is>
          <t>Dois vultos. No quarto clarão, um junto à janela dos fundos, e a varanda vazia. No sexto, um escuro, atravessando do lado da sala para a varanda. E alguém na janela do corredor, no terceiro e no quarto.</t>
        </is>
      </c>
      <c r="W34" s="13" t="inlineStr">
        <is>
          <t>Que umidade… Dois vultos. No quarto clarão, um junto à janela dos fundos, e a varanda vazia. No sexto, um escuro, atravessando do lado da sala para a varanda. E alguém na janela do corredor, no terceiro e no quarto.</t>
        </is>
      </c>
      <c r="X34" s="13" t="inlineStr">
        <is>
          <t>Dois vultos. No quarto clarão, um junto à janela dos fundos, e a varanda vazia. No sexto, um escuro, atravessando do lado da sala para a varanda. Alguém na janela do corredor, no terceiro e no quarto. Câmbio.</t>
        </is>
      </c>
      <c r="Y34" s="10">
        <f>SUMPRODUCT(($H34:$Q34&lt;&gt;"")*ISERROR(SEARCH($H34:$Q34,S34)))+SUMPRODUCT(($H34:$Q34&lt;&gt;"")*ISERROR(SEARCH($H34:$Q34,T34)))+SUMPRODUCT(($H34:$Q34&lt;&gt;"")*ISERROR(SEARCH($H34:$Q34,U34)))+SUMPRODUCT(($H34:$Q34&lt;&gt;"")*ISERROR(SEARCH($H34:$Q34,V34)))+SUMPRODUCT(($H34:$Q34&lt;&gt;"")*ISERROR(SEARCH($H34:$Q34,W34)))+SUMPRODUCT(($H34:$Q34&lt;&gt;"")*ISERROR(SEARCH($H34:$Q34,X34)))</f>
        <v/>
      </c>
      <c r="Z34"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Aqui é "alguém na janela" (sem "parado", diferente da P10): nenhuma versão acrescenta "parado".</t>
        </is>
      </c>
    </row>
    <row r="35" ht="180.55" customHeight="1" s="8">
      <c r="A35" s="10" t="inlineStr">
        <is>
          <t>c5-p15-farol</t>
        </is>
      </c>
      <c r="B35" s="10" t="n">
        <v>15</v>
      </c>
      <c r="C35" s="10" t="inlineStr">
        <is>
          <t>a luz volta: o Faroleiro conta pelo rádio o que viu nos clarões</t>
        </is>
      </c>
      <c r="D35" s="10" t="inlineStr">
        <is>
          <t>roteiro</t>
        </is>
      </c>
      <c r="E35" s="10" t="inlineStr">
        <is>
          <t>faroleiro</t>
        </is>
      </c>
      <c r="F35" s="10" t="inlineStr">
        <is>
          <t>grupo (pelo rádio do vestíbulo)</t>
        </is>
      </c>
      <c r="G35" s="10" t="n"/>
      <c r="H35" s="10" t="inlineStr">
        <is>
          <t>no terceiro e no quarto</t>
        </is>
      </c>
      <c r="I35" s="10" t="inlineStr">
        <is>
          <t>um vulto amarelo</t>
        </is>
      </c>
      <c r="J35" s="10" t="inlineStr">
        <is>
          <t>parado na varanda do jardim</t>
        </is>
      </c>
      <c r="K35" s="10" t="inlineStr">
        <is>
          <t>alguém parado na janela do corredor</t>
        </is>
      </c>
      <c r="L35" s="10" t="n"/>
      <c r="M35" s="10" t="n"/>
      <c r="N35" s="10" t="n"/>
      <c r="O35" s="10" t="n"/>
      <c r="P35" s="10" t="n"/>
      <c r="Q35" s="10" t="n"/>
      <c r="R35" s="10" t="inlineStr">
        <is>
          <t>No terceiro e no quarto, um vulto amarelo parado na varanda do jardim e alguém parado na janela do corredor.</t>
        </is>
      </c>
      <c r="S35" s="13" t="inlineStr">
        <is>
          <t>Um vulto amarelo parado na varanda do jardim, no terceiro e no quarto! E alguém parado na janela do corredor.</t>
        </is>
      </c>
      <c r="T35" s="13" t="inlineStr">
        <is>
          <t>No terceiro e no quarto… um vulto amarelo, parado na varanda do jardim. E alguém parado na janela do corredor.</t>
        </is>
      </c>
      <c r="U35" s="13" t="inlineStr">
        <is>
          <t>Um vulto amarelo parado na varanda do jardim, no terceiro e no quarto, e alguém parado na janela do corredor. Serve?</t>
        </is>
      </c>
      <c r="V35" s="13" t="inlineStr">
        <is>
          <t>Digo o que vi: no terceiro e no quarto, um vulto amarelo parado na varanda do jardim e alguém parado na janela do corredor.</t>
        </is>
      </c>
      <c r="W35" s="13" t="inlineStr">
        <is>
          <t>Molhado até os ossos aqui no cabo… No terceiro e no quarto, um vulto amarelo parado na varanda do jardim e alguém parado na janela do corredor.</t>
        </is>
      </c>
      <c r="X35" s="13" t="inlineStr">
        <is>
          <t>Anoto: no terceiro e no quarto, um vulto amarelo parado na varanda do jardim e alguém parado na janela do corredor.</t>
        </is>
      </c>
      <c r="Y35" s="10">
        <f>SUMPRODUCT(($H35:$Q35&lt;&gt;"")*ISERROR(SEARCH($H35:$Q35,S35)))+SUMPRODUCT(($H35:$Q35&lt;&gt;"")*ISERROR(SEARCH($H35:$Q35,T35)))+SUMPRODUCT(($H35:$Q35&lt;&gt;"")*ISERROR(SEARCH($H35:$Q35,U35)))+SUMPRODUCT(($H35:$Q35&lt;&gt;"")*ISERROR(SEARCH($H35:$Q35,V35)))+SUMPRODUCT(($H35:$Q35&lt;&gt;"")*ISERROR(SEARCH($H35:$Q35,W35)))+SUMPRODUCT(($H35:$Q35&lt;&gt;"")*ISERROR(SEARCH($H35:$Q35,X35)))</f>
        <v/>
      </c>
      <c r="Z35" s="10" t="inlineStr">
        <is>
          <t>Enquadre fixo: O rádio chiou no vestíbulo. "Casa da Costa, aqui é o farol. … Contei seis clarões." E depois: "&lt;farol&gt;". Falante: o Faroleiro (masculino), pelo rádio; relata só vultos/posições, nunca rostos. ATENÇÃO: o mesmo D.farol entra também no Livro do Farol (paginasDoFarol, folha "A noite da leitura"), que é registro escrito: lá deve continuar a base, não a versão do tipo. Ver dúvida de cânone: aqui o Faroleiro nomeia a peça ("oleado amarelo") em vez de "vulto amarelo" como nas P5 e P12. 02/10: "oleado amarelo" virou "vulto amarelo" (o farol só vê vultos).</t>
        </is>
      </c>
    </row>
    <row r="36" ht="68.65000000000001" customHeight="1" s="8">
      <c r="A36" s="10" t="inlineStr">
        <is>
          <t>c5-p3-01</t>
        </is>
      </c>
      <c r="B36" s="10" t="n">
        <v>3</v>
      </c>
      <c r="C36" s="10" t="inlineStr">
        <is>
          <t>quarto clarão: a manga junto ao pêndulo e o grito da porta</t>
        </is>
      </c>
      <c r="D36" s="10" t="inlineStr">
        <is>
          <t>roteiro</t>
        </is>
      </c>
      <c r="E36" s="10" t="inlineStr">
        <is>
          <t>policial ({pol})</t>
        </is>
      </c>
      <c r="F36" s="10" t="inlineStr">
        <is>
          <t>grupo</t>
        </is>
      </c>
      <c r="G36" s="10" t="n"/>
      <c r="H36" s="10" t="inlineStr">
        <is>
          <t>quem</t>
        </is>
      </c>
      <c r="I36" s="10" t="inlineStr">
        <is>
          <t>está aí</t>
        </is>
      </c>
      <c r="J36" s="10" t="n"/>
      <c r="K36" s="10" t="n"/>
      <c r="L36" s="10" t="n"/>
      <c r="M36" s="10" t="n"/>
      <c r="N36" s="10" t="n"/>
      <c r="O36" s="10" t="n"/>
      <c r="P36" s="10" t="n"/>
      <c r="Q36" s="10" t="n"/>
      <c r="R36" s="10" t="inlineStr">
        <is>
          <t>Quem está aí?</t>
        </is>
      </c>
      <c r="S36" s="13" t="inlineStr">
        <is>
          <t>Quem está aí?!</t>
        </is>
      </c>
      <c r="T36" s="13" t="inlineStr">
        <is>
          <t>Quem… está aí?</t>
        </is>
      </c>
      <c r="U36" s="13" t="inlineStr">
        <is>
          <t>Quem está aí? … Alguém?</t>
        </is>
      </c>
      <c r="V36" s="13" t="inlineStr">
        <is>
          <t>Quem está aí?</t>
        </is>
      </c>
      <c r="W36" s="13" t="inlineStr">
        <is>
          <t>Quem está aí?</t>
        </is>
      </c>
      <c r="X36" s="13" t="inlineStr">
        <is>
          <t>Identifique-se: quem está aí?</t>
        </is>
      </c>
      <c r="Y36" s="10">
        <f>SUMPRODUCT(($H36:$Q36&lt;&gt;"")*ISERROR(SEARCH($H36:$Q36,S36)))+SUMPRODUCT(($H36:$Q36&lt;&gt;"")*ISERROR(SEARCH($H36:$Q36,T36)))+SUMPRODUCT(($H36:$Q36&lt;&gt;"")*ISERROR(SEARCH($H36:$Q36,U36)))+SUMPRODUCT(($H36:$Q36&lt;&gt;"")*ISERROR(SEARCH($H36:$Q36,V36)))+SUMPRODUCT(($H36:$Q36&lt;&gt;"")*ISERROR(SEARCH($H36:$Q36,W36)))+SUMPRODUCT(($H36:$Q36&lt;&gt;"")*ISERROR(SEARCH($H36:$Q36,X36)))</f>
        <v/>
      </c>
      <c r="Z36" s="10" t="inlineStr">
        <is>
          <t>Enquadre: {Pol} viu, junto ao pêndulo… uma manga. Clara. Larga. … "…" Do vestíbulo, {inv} ouviu o grito vir da porta. É grito: nenhuma versão diz o que viu. P3/P11 como casa de 6 (02/10). Falas do cânone.</t>
        </is>
      </c>
    </row>
    <row r="37" ht="57.45" customHeight="1" s="8">
      <c r="A37" s="10" t="inlineStr">
        <is>
          <t>c5-p11-01</t>
        </is>
      </c>
      <c r="B37" s="10" t="n">
        <v>11</v>
      </c>
      <c r="C37" s="10" t="inlineStr">
        <is>
          <t>quarto clarão: o Investigador conta</t>
        </is>
      </c>
      <c r="D37" s="10" t="inlineStr">
        <is>
          <t>roteiro</t>
        </is>
      </c>
      <c r="E37" s="10" t="inlineStr">
        <is>
          <t>investigador ({inv})</t>
        </is>
      </c>
      <c r="F37" s="10" t="inlineStr">
        <is>
          <t>grupo</t>
        </is>
      </c>
      <c r="G37" s="10" t="n"/>
      <c r="H37" s="10" t="inlineStr">
        <is>
          <t>quatro</t>
        </is>
      </c>
      <c r="I37" s="10" t="n"/>
      <c r="J37" s="10" t="n"/>
      <c r="K37" s="10" t="n"/>
      <c r="L37" s="10" t="n"/>
      <c r="M37" s="10" t="n"/>
      <c r="N37" s="10" t="n"/>
      <c r="O37" s="10" t="n"/>
      <c r="P37" s="10" t="n"/>
      <c r="Q37" s="10" t="n"/>
      <c r="R37" s="10" t="inlineStr">
        <is>
          <t>Quatro</t>
        </is>
      </c>
      <c r="S37" s="13" t="inlineStr">
        <is>
          <t>Quatro!</t>
        </is>
      </c>
      <c r="T37" s="13" t="inlineStr">
        <is>
          <t>Quatro…</t>
        </is>
      </c>
      <c r="U37" s="13" t="inlineStr">
        <is>
          <t>Quatro?</t>
        </is>
      </c>
      <c r="V37" s="13" t="inlineStr">
        <is>
          <t>Quatro.</t>
        </is>
      </c>
      <c r="W37" s="13" t="inlineStr">
        <is>
          <t>Quatro…</t>
        </is>
      </c>
      <c r="X37" s="13" t="inlineStr">
        <is>
          <t>Quatro. Anotado.</t>
        </is>
      </c>
      <c r="Y37" s="10">
        <f>SUMPRODUCT(($H37:$Q37&lt;&gt;"")*ISERROR(SEARCH($H37:$Q37,S37)))+SUMPRODUCT(($H37:$Q37&lt;&gt;"")*ISERROR(SEARCH($H37:$Q37,T37)))+SUMPRODUCT(($H37:$Q37&lt;&gt;"")*ISERROR(SEARCH($H37:$Q37,U37)))+SUMPRODUCT(($H37:$Q37&lt;&gt;"")*ISERROR(SEARCH($H37:$Q37,V37)))+SUMPRODUCT(($H37:$Q37&lt;&gt;"")*ISERROR(SEARCH($H37:$Q37,W37)))+SUMPRODUCT(($H37:$Q37&lt;&gt;"")*ISERROR(SEARCH($H37:$Q37,X37)))</f>
        <v/>
      </c>
      <c r="Z37" s="10" t="inlineStr">
        <is>
          <t>Enquadre: &lt;i&gt;"…"&lt;/i&gt;, contou. Ele conta os clarões em voz alta (é o álibi dele). Uma palavra; o tipo só na pontuação. P3/P11 como casa de 6 (02/10). Falas do cânone.</t>
        </is>
      </c>
    </row>
    <row r="38" ht="35.05" customHeight="1" s="8">
      <c r="A38" s="10" t="inlineStr">
        <is>
          <t>c5-p3-farol</t>
        </is>
      </c>
      <c r="B38" s="10" t="n">
        <v>3</v>
      </c>
      <c r="C38" s="10" t="inlineStr">
        <is>
          <t>a luz volta: o Faroleiro conta pelo rádio o que viu nos clarões</t>
        </is>
      </c>
      <c r="D38" s="10" t="inlineStr">
        <is>
          <t>roteiro</t>
        </is>
      </c>
      <c r="E38" s="10" t="inlineStr">
        <is>
          <t>faroleiro</t>
        </is>
      </c>
      <c r="F38" s="10" t="inlineStr">
        <is>
          <t>grupo (pelo rádio do vestíbulo)</t>
        </is>
      </c>
      <c r="G38" s="10" t="n"/>
      <c r="H38" s="10" t="inlineStr">
        <is>
          <t>três últimos clarões</t>
        </is>
      </c>
      <c r="I38" s="10" t="inlineStr">
        <is>
          <t>vulto</t>
        </is>
      </c>
      <c r="J38" s="10" t="inlineStr">
        <is>
          <t>faixa que brilha</t>
        </is>
      </c>
      <c r="K38" s="10" t="inlineStr">
        <is>
          <t>jardim</t>
        </is>
      </c>
      <c r="L38" s="10" t="inlineStr">
        <is>
          <t>calha</t>
        </is>
      </c>
      <c r="M38" s="10" t="n"/>
      <c r="N38" s="10" t="n"/>
      <c r="O38" s="10" t="n"/>
      <c r="P38" s="10" t="n"/>
      <c r="Q38" s="10" t="n"/>
      <c r="R38" s="10" t="inlineStr">
        <is>
          <t>Nos três últimos clarões, um vulto com faixa que brilha, no jardim, perto da calha.</t>
        </is>
      </c>
      <c r="S38" s="13" t="inlineStr">
        <is>
          <t>Nos três últimos clarões, um vulto com faixa que brilha, no jardim, perto da calha! Nos três.</t>
        </is>
      </c>
      <c r="T38" s="13" t="inlineStr">
        <is>
          <t>Nos três últimos clarões… um vulto. Faixa que brilha. No jardim, perto da calha.</t>
        </is>
      </c>
      <c r="U38" s="13" t="inlineStr">
        <is>
          <t>Nos três últimos clarões, um vulto com faixa que brilha, no jardim, perto da calha. Isso ajuda vocês?</t>
        </is>
      </c>
      <c r="V38" s="13" t="inlineStr">
        <is>
          <t>Nos três últimos clarões, um vulto com faixa que brilha, no jardim, perto da calha.</t>
        </is>
      </c>
      <c r="W38" s="13" t="inlineStr">
        <is>
          <t>Daqui de cima, com essa chuva… nos três últimos clarões, um vulto com faixa que brilha, no jardim, perto da calha.</t>
        </is>
      </c>
      <c r="X38" s="13" t="inlineStr">
        <is>
          <t>Registro do farol: nos três últimos clarões, um vulto com faixa que brilha, no jardim, perto da calha.</t>
        </is>
      </c>
      <c r="Y38" s="10">
        <f>SUMPRODUCT(($H38:$Q38&lt;&gt;"")*ISERROR(SEARCH($H38:$Q38,S38)))+SUMPRODUCT(($H38:$Q38&lt;&gt;"")*ISERROR(SEARCH($H38:$Q38,T38)))+SUMPRODUCT(($H38:$Q38&lt;&gt;"")*ISERROR(SEARCH($H38:$Q38,U38)))+SUMPRODUCT(($H38:$Q38&lt;&gt;"")*ISERROR(SEARCH($H38:$Q38,V38)))+SUMPRODUCT(($H38:$Q38&lt;&gt;"")*ISERROR(SEARCH($H38:$Q38,W38)))+SUMPRODUCT(($H38:$Q38&lt;&gt;"")*ISERROR(SEARCH($H38:$Q38,X38)))</f>
        <v/>
      </c>
      <c r="Z38" s="10" t="inlineStr">
        <is>
          <t>Enquadre fixo do rádio. O Faroleiro só vê vultos, nunca rostos. P3/P11 como casa de 6 (02/10). Falas do cânone.</t>
        </is>
      </c>
    </row>
    <row r="39" ht="35.05" customHeight="1" s="8">
      <c r="A39" s="10" t="inlineStr">
        <is>
          <t>c5-p11-farol</t>
        </is>
      </c>
      <c r="B39" s="10" t="n">
        <v>11</v>
      </c>
      <c r="C39" s="10" t="inlineStr">
        <is>
          <t>a luz volta: o Faroleiro conta pelo rádio o que viu nos clarões</t>
        </is>
      </c>
      <c r="D39" s="10" t="inlineStr">
        <is>
          <t>roteiro</t>
        </is>
      </c>
      <c r="E39" s="10" t="inlineStr">
        <is>
          <t>faroleiro</t>
        </is>
      </c>
      <c r="F39" s="10" t="inlineStr">
        <is>
          <t>grupo (pelo rádio do vestíbulo)</t>
        </is>
      </c>
      <c r="G39" s="10" t="n"/>
      <c r="H39" s="10" t="inlineStr">
        <is>
          <t>no quarto</t>
        </is>
      </c>
      <c r="I39" s="10" t="inlineStr">
        <is>
          <t>reluziu</t>
        </is>
      </c>
      <c r="J39" s="10" t="inlineStr">
        <is>
          <t>dentro da sala</t>
        </is>
      </c>
      <c r="K39" s="10" t="inlineStr">
        <is>
          <t>rente à vidraça</t>
        </is>
      </c>
      <c r="L39" s="10" t="inlineStr">
        <is>
          <t>lado do relógio</t>
        </is>
      </c>
      <c r="M39" s="10" t="n"/>
      <c r="N39" s="10" t="n"/>
      <c r="O39" s="10" t="n"/>
      <c r="P39" s="10" t="n"/>
      <c r="Q39" s="10" t="n"/>
      <c r="R39" s="10" t="inlineStr">
        <is>
          <t>No quarto, uma coisa que reluziu dentro da sala, rente à vidraça, do lado do relógio.</t>
        </is>
      </c>
      <c r="S39" s="13" t="inlineStr">
        <is>
          <t>No quarto, uma coisa que reluziu dentro da sala, rente à vidraça, do lado do relógio! Vi bem.</t>
        </is>
      </c>
      <c r="T39" s="13" t="inlineStr">
        <is>
          <t>No quarto… uma coisa que reluziu. Dentro da sala. Rente à vidraça, do lado do relógio.</t>
        </is>
      </c>
      <c r="U39" s="13" t="inlineStr">
        <is>
          <t>No quarto, uma coisa que reluziu dentro da sala, rente à vidraça, do lado do relógio. Faz sentido para vocês?</t>
        </is>
      </c>
      <c r="V39" s="13" t="inlineStr">
        <is>
          <t>No quarto, uma coisa que reluziu dentro da sala, rente à vidraça, do lado do relógio.</t>
        </is>
      </c>
      <c r="W39" s="13" t="inlineStr">
        <is>
          <t>A noite toda no frio aqui em cima… no quarto, uma coisa que reluziu dentro da sala, rente à vidraça, do lado do relógio.</t>
        </is>
      </c>
      <c r="X39" s="13" t="inlineStr">
        <is>
          <t>Para o registro: no quarto, uma coisa que reluziu dentro da sala, rente à vidraça, do lado do relógio.</t>
        </is>
      </c>
      <c r="Y39" s="10">
        <f>SUMPRODUCT(($H39:$Q39&lt;&gt;"")*ISERROR(SEARCH($H39:$Q39,S39)))+SUMPRODUCT(($H39:$Q39&lt;&gt;"")*ISERROR(SEARCH($H39:$Q39,T39)))+SUMPRODUCT(($H39:$Q39&lt;&gt;"")*ISERROR(SEARCH($H39:$Q39,U39)))+SUMPRODUCT(($H39:$Q39&lt;&gt;"")*ISERROR(SEARCH($H39:$Q39,V39)))+SUMPRODUCT(($H39:$Q39&lt;&gt;"")*ISERROR(SEARCH($H39:$Q39,W39)))+SUMPRODUCT(($H39:$Q39&lt;&gt;"")*ISERROR(SEARCH($H39:$Q39,X39)))</f>
        <v/>
      </c>
      <c r="Z39" s="10" t="inlineStr">
        <is>
          <t>Enquadre fixo do rádio. Só vulto e brilho, nunca rosto. P3/P11 como casa de 6 (02/10). Falas do cânone.</t>
        </is>
      </c>
    </row>
  </sheetData>
  <autoFilter ref="A1:Z39"/>
  <conditionalFormatting sqref="Y2:Y39">
    <cfRule type="expression" rank="0" priority="2" equalAverage="0" aboveAverage="0" dxfId="4" text="" percent="0" bottom="0">
      <formula>Y2&gt;0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Z131"/>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12" customWidth="1" style="7" min="1" max="2"/>
    <col width="24" customWidth="1" style="7" min="3" max="3"/>
    <col width="12" customWidth="1" style="7" min="4" max="4"/>
    <col width="18" customWidth="1" style="7" min="5" max="5"/>
    <col width="12" customWidth="1" style="7" min="6" max="6"/>
    <col width="14" customWidth="1" style="7" min="7" max="7"/>
    <col width="12" customWidth="1" style="7" min="8" max="17"/>
    <col width="40" customWidth="1" style="7" min="18" max="18"/>
    <col width="38" customWidth="1" style="7" min="19" max="24"/>
    <col width="8" customWidth="1" style="7" min="25" max="25"/>
    <col width="34" customWidth="1" style="7" min="26" max="26"/>
  </cols>
  <sheetData>
    <row r="1" ht="15" customHeight="1" s="8">
      <c r="A1" s="12" t="inlineStr">
        <is>
          <t>ID</t>
        </is>
      </c>
      <c r="B1" s="12" t="inlineStr">
        <is>
          <t>Partida</t>
        </is>
      </c>
      <c r="C1" s="12" t="inlineStr">
        <is>
          <t>Cena</t>
        </is>
      </c>
      <c r="D1" s="12" t="inlineStr">
        <is>
          <t>Momento</t>
        </is>
      </c>
      <c r="E1" s="12" t="inlineStr">
        <is>
          <t>Quem fala</t>
        </is>
      </c>
      <c r="F1" s="12" t="inlineStr">
        <is>
          <t>Com quem</t>
        </is>
      </c>
      <c r="G1" s="12" t="inlineStr">
        <is>
          <t>Condição</t>
        </is>
      </c>
      <c r="H1" s="12" t="inlineStr">
        <is>
          <t>Item 1</t>
        </is>
      </c>
      <c r="I1" s="12" t="inlineStr">
        <is>
          <t>Item 2</t>
        </is>
      </c>
      <c r="J1" s="12" t="inlineStr">
        <is>
          <t>Item 3</t>
        </is>
      </c>
      <c r="K1" s="12" t="inlineStr">
        <is>
          <t>Item 4</t>
        </is>
      </c>
      <c r="L1" s="12" t="inlineStr">
        <is>
          <t>Item 5</t>
        </is>
      </c>
      <c r="M1" s="12" t="inlineStr">
        <is>
          <t>Item 6</t>
        </is>
      </c>
      <c r="N1" s="12" t="inlineStr">
        <is>
          <t>Item 7</t>
        </is>
      </c>
      <c r="O1" s="12" t="inlineStr">
        <is>
          <t>Item 8</t>
        </is>
      </c>
      <c r="P1" s="12" t="inlineStr">
        <is>
          <t>Item 9</t>
        </is>
      </c>
      <c r="Q1" s="12" t="inlineStr">
        <is>
          <t>Item 10</t>
        </is>
      </c>
      <c r="R1" s="12" t="inlineStr">
        <is>
          <t>Fala original</t>
        </is>
      </c>
      <c r="S1" s="12" t="inlineStr">
        <is>
          <t>Explosivo</t>
        </is>
      </c>
      <c r="T1" s="12" t="inlineStr">
        <is>
          <t>Calmo opaco</t>
        </is>
      </c>
      <c r="U1" s="12" t="inlineStr">
        <is>
          <t>Ingênuo</t>
        </is>
      </c>
      <c r="V1" s="12" t="inlineStr">
        <is>
          <t>Leal cego</t>
        </is>
      </c>
      <c r="W1" s="12" t="inlineStr">
        <is>
          <t>Evasivo</t>
        </is>
      </c>
      <c r="X1" s="12" t="inlineStr">
        <is>
          <t>Burocrata</t>
        </is>
      </c>
      <c r="Y1" s="12" t="inlineStr">
        <is>
          <t>Faltam</t>
        </is>
      </c>
      <c r="Z1" s="12" t="inlineStr">
        <is>
          <t>Nota</t>
        </is>
      </c>
    </row>
    <row r="2" ht="46.25" customHeight="1" s="8">
      <c r="A2" s="10" t="inlineStr">
        <is>
          <t>c6-p1-01</t>
        </is>
      </c>
      <c r="B2" s="10" t="n">
        <v>1</v>
      </c>
      <c r="C2" s="10" t="inlineStr">
        <is>
          <t>Cap. 6: quem estava onde</t>
        </is>
      </c>
      <c r="D2" s="10" t="inlineStr">
        <is>
          <t>roteiro</t>
        </is>
      </c>
      <c r="E2" s="10" t="inlineStr">
        <is>
          <t>jornalista</t>
        </is>
      </c>
      <c r="F2" s="10" t="inlineStr">
        <is>
          <t>grupo</t>
        </is>
      </c>
      <c r="G2" s="10" t="n"/>
      <c r="H2" s="10" t="inlineStr">
        <is>
          <t>sessenta segundos</t>
        </is>
      </c>
      <c r="I2" s="10" t="inlineStr">
        <is>
          <t>degrau</t>
        </is>
      </c>
      <c r="J2" s="10" t="inlineStr">
        <is>
          <t>não no corredor</t>
        </is>
      </c>
      <c r="K2" s="10" t="inlineStr">
        <is>
          <t>dentro da parede</t>
        </is>
      </c>
      <c r="L2" s="10" t="inlineStr">
        <is>
          <t>atrás dos retratos</t>
        </is>
      </c>
      <c r="M2" s="10" t="n"/>
      <c r="N2" s="10" t="n"/>
      <c r="O2" s="10" t="n"/>
      <c r="P2" s="10" t="n"/>
      <c r="Q2" s="10" t="n"/>
      <c r="R2" s="10" t="inlineStr">
        <is>
          <t>Perto dos sessenta segundos ouvi um degrau rangendo. Não no corredor. Dentro da parede, atrás dos retratos.</t>
        </is>
      </c>
      <c r="S2" s="13" t="inlineStr">
        <is>
          <t>Perto dos sessenta segundos ouvi um degrau rangendo. Não no corredor! Dentro da parede, atrás dos retratos, ouviram bem?</t>
        </is>
      </c>
      <c r="T2" s="13" t="inlineStr">
        <is>
          <t>Perto dos sessenta segundos… um degrau. Rangendo. Não no corredor. Dentro da parede… atrás dos retratos.</t>
        </is>
      </c>
      <c r="U2" s="13" t="inlineStr">
        <is>
          <t>Perto dos sessenta segundos ouvi um degrau rangendo. Não no corredor… dentro da parede, atrás dos retratos. Alguém mais ouviu?</t>
        </is>
      </c>
      <c r="V2" s="13" t="inlineStr">
        <is>
          <t>Perto dos sessenta segundos ouvi um degrau rangendo. Não no corredor. Dentro da parede, atrás dos retratos. Isso eu sustento.</t>
        </is>
      </c>
      <c r="W2" s="13" t="inlineStr">
        <is>
          <t>Com o frio que fazia ninguém dormia direito. Perto dos sessenta segundos ouvi um degrau rangendo. Não no corredor. Dentro da parede, atrás dos retratos.</t>
        </is>
      </c>
      <c r="X2" s="13" t="inlineStr">
        <is>
          <t>Sessenta segundos, aproximadamente: degrau rangendo. Não no corredor. Dentro da parede, atrás dos retratos.</t>
        </is>
      </c>
      <c r="Y2" s="10">
        <f>SUMPRODUCT(($H2:$Q2&lt;&gt;"")*ISERROR(SEARCH($H2:$Q2,S2)))+SUMPRODUCT(($H2:$Q2&lt;&gt;"")*ISERROR(SEARCH($H2:$Q2,T2)))+SUMPRODUCT(($H2:$Q2&lt;&gt;"")*ISERROR(SEARCH($H2:$Q2,U2)))+SUMPRODUCT(($H2:$Q2&lt;&gt;"")*ISERROR(SEARCH($H2:$Q2,V2)))+SUMPRODUCT(($H2:$Q2&lt;&gt;"")*ISERROR(SEARCH($H2:$Q2,W2)))+SUMPRODUCT(($H2:$Q2&lt;&gt;"")*ISERROR(SEARCH($H2:$Q2,X2)))</f>
        <v/>
      </c>
      <c r="Z2" s="10" t="inlineStr">
        <is>
          <t>&lt;i&gt;"[1ª parte]"&lt;/i&gt;, disse {jor}. &lt;i&gt;"[2ª parte]"&lt;/i&gt; — uma fala só, partida no enquadre depois de "rangendo".</t>
        </is>
      </c>
    </row>
    <row r="3" ht="23.85" customHeight="1" s="8">
      <c r="A3" s="10" t="inlineStr">
        <is>
          <t>c6-p1-02</t>
        </is>
      </c>
      <c r="B3" s="10" t="n">
        <v>1</v>
      </c>
      <c r="C3" s="10" t="inlineStr">
        <is>
          <t>Cap. 6: quem estava onde</t>
        </is>
      </c>
      <c r="D3" s="10" t="inlineStr">
        <is>
          <t>roteiro</t>
        </is>
      </c>
      <c r="E3" s="10" t="inlineStr">
        <is>
          <t>residente</t>
        </is>
      </c>
      <c r="F3" s="10" t="inlineStr">
        <is>
          <t>grupo</t>
        </is>
      </c>
      <c r="G3" s="10" t="n"/>
      <c r="H3" s="10" t="inlineStr">
        <is>
          <t>parede velha</t>
        </is>
      </c>
      <c r="I3" s="10" t="inlineStr">
        <is>
          <t>estala</t>
        </is>
      </c>
      <c r="J3" s="10" t="inlineStr">
        <is>
          <t>frio</t>
        </is>
      </c>
      <c r="K3" s="10" t="n"/>
      <c r="L3" s="10" t="n"/>
      <c r="M3" s="10" t="n"/>
      <c r="N3" s="10" t="n"/>
      <c r="O3" s="10" t="n"/>
      <c r="P3" s="10" t="n"/>
      <c r="Q3" s="10" t="n"/>
      <c r="R3" s="10" t="inlineStr">
        <is>
          <t>Parede velha estala com frio.</t>
        </is>
      </c>
      <c r="S3" s="13" t="inlineStr">
        <is>
          <t>Parede velha estala com frio! Vai fazer drama por isso?</t>
        </is>
      </c>
      <c r="T3" s="13" t="inlineStr">
        <is>
          <t>Parede velha… estala com frio.</t>
        </is>
      </c>
      <c r="U3" s="13" t="inlineStr">
        <is>
          <t>Parede velha estala com frio, não estala?</t>
        </is>
      </c>
      <c r="V3" s="13" t="inlineStr">
        <is>
          <t>Parede velha estala com frio. É o que é.</t>
        </is>
      </c>
      <c r="W3" s="13" t="inlineStr">
        <is>
          <t>Umidade, noite comprida… parede velha estala com frio.</t>
        </is>
      </c>
      <c r="X3" s="13" t="inlineStr">
        <is>
          <t>Anoto: parede velha estala com frio.</t>
        </is>
      </c>
      <c r="Y3" s="10">
        <f>SUMPRODUCT(($H3:$Q3&lt;&gt;"")*ISERROR(SEARCH($H3:$Q3,S3)))+SUMPRODUCT(($H3:$Q3&lt;&gt;"")*ISERROR(SEARCH($H3:$Q3,T3)))+SUMPRODUCT(($H3:$Q3&lt;&gt;"")*ISERROR(SEARCH($H3:$Q3,U3)))+SUMPRODUCT(($H3:$Q3&lt;&gt;"")*ISERROR(SEARCH($H3:$Q3,V3)))+SUMPRODUCT(($H3:$Q3&lt;&gt;"")*ISERROR(SEARCH($H3:$Q3,W3)))+SUMPRODUCT(($H3:$Q3&lt;&gt;"")*ISERROR(SEARCH($H3:$Q3,X3)))</f>
        <v/>
      </c>
      <c r="Z3" s="10" t="inlineStr">
        <is>
          <t>Resposta à fala anterior: &lt;i&gt;"…"&lt;/i&gt;, disse {res}.</t>
        </is>
      </c>
    </row>
    <row r="4" ht="35.05" customHeight="1" s="8">
      <c r="A4" s="10" t="inlineStr">
        <is>
          <t>c6-p1-03</t>
        </is>
      </c>
      <c r="B4" s="10" t="n">
        <v>1</v>
      </c>
      <c r="C4" s="10" t="inlineStr">
        <is>
          <t>Cap. 6: quem estava onde</t>
        </is>
      </c>
      <c r="D4" s="10" t="inlineStr">
        <is>
          <t>roteiro</t>
        </is>
      </c>
      <c r="E4" s="10" t="inlineStr">
        <is>
          <t>policial</t>
        </is>
      </c>
      <c r="F4" s="10" t="inlineStr">
        <is>
          <t>grupo</t>
        </is>
      </c>
      <c r="G4" s="10" t="n"/>
      <c r="H4" s="10" t="inlineStr">
        <is>
          <t>quarto clarão</t>
        </is>
      </c>
      <c r="I4" s="10" t="inlineStr">
        <is>
          <t>manga escura</t>
        </is>
      </c>
      <c r="J4" s="10" t="inlineStr">
        <is>
          <t>sem brilho</t>
        </is>
      </c>
      <c r="K4" s="10" t="inlineStr">
        <is>
          <t>junto ao pêndulo</t>
        </is>
      </c>
      <c r="L4" s="10" t="n"/>
      <c r="M4" s="10" t="n"/>
      <c r="N4" s="10" t="n"/>
      <c r="O4" s="10" t="n"/>
      <c r="P4" s="10" t="n"/>
      <c r="Q4" s="10" t="n"/>
      <c r="R4" s="10" t="inlineStr">
        <is>
          <t>No quarto clarão vi uma manga escura, sem brilho, junto ao pêndulo.</t>
        </is>
      </c>
      <c r="S4" s="13" t="inlineStr">
        <is>
          <t>No quarto clarão vi uma manga escura, sem brilho, junto ao pêndulo! Quer que eu repita?</t>
        </is>
      </c>
      <c r="T4" s="13" t="inlineStr">
        <is>
          <t>No quarto clarão… uma manga escura. Sem brilho. Junto ao pêndulo.</t>
        </is>
      </c>
      <c r="U4" s="13" t="inlineStr">
        <is>
          <t>No quarto clarão vi uma manga escura, sem brilho, junto ao pêndulo. Vocês acreditam em mim?</t>
        </is>
      </c>
      <c r="V4" s="13" t="inlineStr">
        <is>
          <t>Vi no quarto clarão: uma manga escura, sem brilho, junto ao pêndulo. Não tiro uma palavra.</t>
        </is>
      </c>
      <c r="W4" s="13" t="inlineStr">
        <is>
          <t>A chuva batendo sem parar, e no quarto clarão vi uma manga escura, sem brilho, junto ao pêndulo.</t>
        </is>
      </c>
      <c r="X4" s="13" t="inlineStr">
        <is>
          <t>Quarto clarão. Manga escura, sem brilho, junto ao pêndulo.</t>
        </is>
      </c>
      <c r="Y4" s="10">
        <f>SUMPRODUCT(($H4:$Q4&lt;&gt;"")*ISERROR(SEARCH($H4:$Q4,S4)))+SUMPRODUCT(($H4:$Q4&lt;&gt;"")*ISERROR(SEARCH($H4:$Q4,T4)))+SUMPRODUCT(($H4:$Q4&lt;&gt;"")*ISERROR(SEARCH($H4:$Q4,U4)))+SUMPRODUCT(($H4:$Q4&lt;&gt;"")*ISERROR(SEARCH($H4:$Q4,V4)))+SUMPRODUCT(($H4:$Q4&lt;&gt;"")*ISERROR(SEARCH($H4:$Q4,W4)))+SUMPRODUCT(($H4:$Q4&lt;&gt;"")*ISERROR(SEARCH($H4:$Q4,X4)))</f>
        <v/>
      </c>
      <c r="Z4" s="10" t="inlineStr">
        <is>
          <t>&lt;i&gt;"…"&lt;/i&gt;, disse {pol}.</t>
        </is>
      </c>
    </row>
    <row r="5" ht="46.25" customHeight="1" s="8">
      <c r="A5" s="10" t="inlineStr">
        <is>
          <t>c6-p1-04</t>
        </is>
      </c>
      <c r="B5" s="10" t="n">
        <v>1</v>
      </c>
      <c r="C5" s="10" t="inlineStr">
        <is>
          <t>Cap. 6: quem estava onde</t>
        </is>
      </c>
      <c r="D5" s="10" t="inlineStr">
        <is>
          <t>roteiro</t>
        </is>
      </c>
      <c r="E5" s="10" t="inlineStr">
        <is>
          <t>herdeira</t>
        </is>
      </c>
      <c r="F5" s="10" t="inlineStr">
        <is>
          <t>grupo</t>
        </is>
      </c>
      <c r="G5" s="10" t="n"/>
      <c r="H5" s="10" t="inlineStr">
        <is>
          <t>a minha é escura</t>
        </is>
      </c>
      <c r="I5" s="10" t="inlineStr">
        <is>
          <t>louça</t>
        </is>
      </c>
      <c r="J5" s="10" t="inlineStr">
        <is>
          <t>sala de jantar</t>
        </is>
      </c>
      <c r="K5" s="10" t="inlineStr">
        <is>
          <t>segurar meu braço</t>
        </is>
      </c>
      <c r="L5" s="10" t="inlineStr">
        <is>
          <t>cheiro de couro</t>
        </is>
      </c>
      <c r="M5" s="10" t="n"/>
      <c r="N5" s="10" t="n"/>
      <c r="O5" s="10" t="n"/>
      <c r="P5" s="10" t="n"/>
      <c r="Q5" s="10" t="n"/>
      <c r="R5" s="10" t="inlineStr">
        <is>
          <t>A minha é escura. Mas eu estava derrubando a louça na sala de jantar, e alguém veio segurar meu braço. Tinha cheiro de couro.</t>
        </is>
      </c>
      <c r="S5" s="13" t="inlineStr">
        <is>
          <t>A minha é escura, e daí? Eu estava derrubando a louça na sala de jantar, e alguém veio segurar meu braço. Tinha cheiro de couro!</t>
        </is>
      </c>
      <c r="T5" s="13" t="inlineStr">
        <is>
          <t>A minha é escura. Mas… eu estava derrubando a louça. Na sala de jantar. Alguém veio segurar meu braço… Tinha cheiro de couro.</t>
        </is>
      </c>
      <c r="U5" s="13" t="inlineStr">
        <is>
          <t>A minha é escura, eu sei… Mas eu estava derrubando a louça na sala de jantar, e alguém veio segurar meu braço. Tinha cheiro de couro. Isso conta?</t>
        </is>
      </c>
      <c r="V5" s="13" t="inlineStr">
        <is>
          <t>A minha é escura, não nego. Mas eu estava derrubando a louça na sala de jantar, e alguém veio segurar meu braço. Tinha cheiro de couro.</t>
        </is>
      </c>
      <c r="W5" s="13" t="inlineStr">
        <is>
          <t>Noite de demora, aquela. A minha é escura. Mas eu estava derrubando a louça na sala de jantar, e alguém veio segurar meu braço. Tinha cheiro de couro.</t>
        </is>
      </c>
      <c r="X5" s="13" t="inlineStr">
        <is>
          <t>Consta: a minha é escura. Ressalva: eu estava derrubando a louça na sala de jantar, e alguém veio segurar meu braço. Cheiro de couro.</t>
        </is>
      </c>
      <c r="Y5" s="10">
        <f>SUMPRODUCT(($H5:$Q5&lt;&gt;"")*ISERROR(SEARCH($H5:$Q5,S5)))+SUMPRODUCT(($H5:$Q5&lt;&gt;"")*ISERROR(SEARCH($H5:$Q5,T5)))+SUMPRODUCT(($H5:$Q5&lt;&gt;"")*ISERROR(SEARCH($H5:$Q5,U5)))+SUMPRODUCT(($H5:$Q5&lt;&gt;"")*ISERROR(SEARCH($H5:$Q5,V5)))+SUMPRODUCT(($H5:$Q5&lt;&gt;"")*ISERROR(SEARCH($H5:$Q5,W5)))+SUMPRODUCT(($H5:$Q5&lt;&gt;"")*ISERROR(SEARCH($H5:$Q5,X5)))</f>
        <v/>
      </c>
      <c r="Z5" s="10" t="inlineStr">
        <is>
          <t>&lt;i&gt;"[1ª parte]"&lt;/i&gt;, disse {her}. &lt;i&gt;"[2ª parte]"&lt;/i&gt; — uma fala só, partida depois de "escura".</t>
        </is>
      </c>
    </row>
    <row r="6" ht="57.45" customHeight="1" s="8">
      <c r="A6" s="10" t="inlineStr">
        <is>
          <t>c6-p1-05</t>
        </is>
      </c>
      <c r="B6" s="10" t="n">
        <v>1</v>
      </c>
      <c r="C6" s="10" t="inlineStr">
        <is>
          <t>Cap. 6: quem estava onde</t>
        </is>
      </c>
      <c r="D6" s="10" t="inlineStr">
        <is>
          <t>roteiro</t>
        </is>
      </c>
      <c r="E6" s="10" t="inlineStr">
        <is>
          <t>policial</t>
        </is>
      </c>
      <c r="F6" s="10" t="inlineStr">
        <is>
          <t>grupo</t>
        </is>
      </c>
      <c r="G6" s="10" t="n"/>
      <c r="H6" s="10" t="inlineStr">
        <is>
          <t>eu não saí</t>
        </is>
      </c>
      <c r="I6" s="10" t="inlineStr">
        <is>
          <t>da porta</t>
        </is>
      </c>
      <c r="J6" s="10" t="n"/>
      <c r="K6" s="10" t="n"/>
      <c r="L6" s="10" t="n"/>
      <c r="M6" s="10" t="n"/>
      <c r="N6" s="10" t="n"/>
      <c r="O6" s="10" t="n"/>
      <c r="P6" s="10" t="n"/>
      <c r="Q6" s="10" t="n"/>
      <c r="R6" s="10" t="inlineStr">
        <is>
          <t>Eu não saí da porta.</t>
        </is>
      </c>
      <c r="S6" s="13" t="inlineStr">
        <is>
          <t>Eu não saí da porta!</t>
        </is>
      </c>
      <c r="T6" s="13" t="inlineStr">
        <is>
          <t>… Eu não saí da porta.</t>
        </is>
      </c>
      <c r="U6" s="13" t="inlineStr">
        <is>
          <t>Eu não saí da porta…</t>
        </is>
      </c>
      <c r="V6" s="13" t="inlineStr">
        <is>
          <t>Eu não saí da porta.</t>
        </is>
      </c>
      <c r="W6" s="13" t="inlineStr">
        <is>
          <t>Bem… eu não saí da porta.</t>
        </is>
      </c>
      <c r="X6" s="13" t="inlineStr">
        <is>
          <t>Eu não saí da porta.</t>
        </is>
      </c>
      <c r="Y6" s="10">
        <f>SUMPRODUCT(($H6:$Q6&lt;&gt;"")*ISERROR(SEARCH($H6:$Q6,S6)))+SUMPRODUCT(($H6:$Q6&lt;&gt;"")*ISERROR(SEARCH($H6:$Q6,T6)))+SUMPRODUCT(($H6:$Q6&lt;&gt;"")*ISERROR(SEARCH($H6:$Q6,U6)))+SUMPRODUCT(($H6:$Q6&lt;&gt;"")*ISERROR(SEARCH($H6:$Q6,V6)))+SUMPRODUCT(($H6:$Q6&lt;&gt;"")*ISERROR(SEARCH($H6:$Q6,W6)))+SUMPRODUCT(($H6:$Q6&lt;&gt;"")*ISERROR(SEARCH($H6:$Q6,X6)))</f>
        <v/>
      </c>
      <c r="Z6" s="10" t="inlineStr">
        <is>
          <t>Fala sem "disse" no original, logo após a da herdeira: &lt;i&gt;"…"&lt;/i&gt;. Atribuída ao policial (quem guardava a porta na partida 1; ver ev "{Pol} estava de novo na porta… sem fôlego").</t>
        </is>
      </c>
    </row>
    <row r="7" ht="23.85" customHeight="1" s="8">
      <c r="A7" s="10" t="inlineStr">
        <is>
          <t>c6-p1-06</t>
        </is>
      </c>
      <c r="B7" s="10" t="n">
        <v>1</v>
      </c>
      <c r="C7" s="10" t="inlineStr">
        <is>
          <t>Cap. 6: quem estava onde</t>
        </is>
      </c>
      <c r="D7" s="10" t="inlineStr">
        <is>
          <t>roteiro</t>
        </is>
      </c>
      <c r="E7" s="10" t="inlineStr">
        <is>
          <t>jornalista</t>
        </is>
      </c>
      <c r="F7" s="10" t="inlineStr">
        <is>
          <t>grupo</t>
        </is>
      </c>
      <c r="G7" s="10" t="n"/>
      <c r="H7" s="10" t="inlineStr">
        <is>
          <t>quinto clarão</t>
        </is>
      </c>
      <c r="I7" s="10" t="inlineStr">
        <is>
          <t>porta</t>
        </is>
      </c>
      <c r="J7" s="10" t="inlineStr">
        <is>
          <t>vazia</t>
        </is>
      </c>
      <c r="K7" s="10" t="n"/>
      <c r="L7" s="10" t="n"/>
      <c r="M7" s="10" t="n"/>
      <c r="N7" s="10" t="n"/>
      <c r="O7" s="10" t="n"/>
      <c r="P7" s="10" t="n"/>
      <c r="Q7" s="10" t="n"/>
      <c r="R7" s="10" t="inlineStr">
        <is>
          <t>No quinto clarão a porta estava vazia.</t>
        </is>
      </c>
      <c r="S7" s="13" t="inlineStr">
        <is>
          <t>No quinto clarão a porta estava vazia, ouviu bem? Vazia!</t>
        </is>
      </c>
      <c r="T7" s="13" t="inlineStr">
        <is>
          <t>No quinto clarão… a porta. Vazia.</t>
        </is>
      </c>
      <c r="U7" s="13" t="inlineStr">
        <is>
          <t>No quinto clarão a porta estava vazia. Desculpa… ninguém mais reparou?</t>
        </is>
      </c>
      <c r="V7" s="13" t="inlineStr">
        <is>
          <t>No quinto clarão a porta estava vazia. Digo porque vi.</t>
        </is>
      </c>
      <c r="W7" s="13" t="inlineStr">
        <is>
          <t>Essa umidade entra nos ossos… No quinto clarão a porta estava vazia.</t>
        </is>
      </c>
      <c r="X7" s="13" t="inlineStr">
        <is>
          <t>Quinto clarão: porta vazia.</t>
        </is>
      </c>
      <c r="Y7" s="10">
        <f>SUMPRODUCT(($H7:$Q7&lt;&gt;"")*ISERROR(SEARCH($H7:$Q7,S7)))+SUMPRODUCT(($H7:$Q7&lt;&gt;"")*ISERROR(SEARCH($H7:$Q7,T7)))+SUMPRODUCT(($H7:$Q7&lt;&gt;"")*ISERROR(SEARCH($H7:$Q7,U7)))+SUMPRODUCT(($H7:$Q7&lt;&gt;"")*ISERROR(SEARCH($H7:$Q7,V7)))+SUMPRODUCT(($H7:$Q7&lt;&gt;"")*ISERROR(SEARCH($H7:$Q7,W7)))+SUMPRODUCT(($H7:$Q7&lt;&gt;"")*ISERROR(SEARCH($H7:$Q7,X7)))</f>
        <v/>
      </c>
      <c r="Z7" s="10" t="inlineStr">
        <is>
          <t>&lt;i&gt;"…"&lt;/i&gt;, disse {jor}.</t>
        </is>
      </c>
    </row>
    <row r="8" ht="35.05" customHeight="1" s="8">
      <c r="A8" s="10" t="inlineStr">
        <is>
          <t>c6-p1-07</t>
        </is>
      </c>
      <c r="B8" s="10" t="n">
        <v>1</v>
      </c>
      <c r="C8" s="10" t="inlineStr">
        <is>
          <t>Cap. 6: quem estava onde</t>
        </is>
      </c>
      <c r="D8" s="10" t="inlineStr">
        <is>
          <t>roteiro</t>
        </is>
      </c>
      <c r="E8" s="10" t="inlineStr">
        <is>
          <t>observadora</t>
        </is>
      </c>
      <c r="F8" s="10" t="inlineStr">
        <is>
          <t>residente</t>
        </is>
      </c>
      <c r="G8" s="10" t="n"/>
      <c r="H8" s="10" t="inlineStr">
        <is>
          <t>cal fresca</t>
        </is>
      </c>
      <c r="I8" s="10" t="inlineStr">
        <is>
          <t>ombro</t>
        </is>
      </c>
      <c r="J8" s="10" t="inlineStr">
        <is>
          <t>parede de dentro</t>
        </is>
      </c>
      <c r="K8" s="10" t="n"/>
      <c r="L8" s="10" t="n"/>
      <c r="M8" s="10" t="n"/>
      <c r="N8" s="10" t="n"/>
      <c r="O8" s="10" t="n"/>
      <c r="P8" s="10" t="n"/>
      <c r="Q8" s="10" t="n"/>
      <c r="R8" s="10" t="inlineStr">
        <is>
          <t>Tem cal fresca no seu ombro. Da parede de dentro.</t>
        </is>
      </c>
      <c r="S8" s="13" t="inlineStr">
        <is>
          <t>Tem cal fresca no seu ombro! Da parede de dentro. Bonito, hein.</t>
        </is>
      </c>
      <c r="T8" s="13" t="inlineStr">
        <is>
          <t>Cal fresca… no seu ombro. Da parede de dentro.</t>
        </is>
      </c>
      <c r="U8" s="13" t="inlineStr">
        <is>
          <t>Tem cal fresca no seu ombro… é da parede de dentro, não é?</t>
        </is>
      </c>
      <c r="V8" s="13" t="inlineStr">
        <is>
          <t>Tem cal fresca no seu ombro. Da parede de dentro. Não estou acusando, estou dizendo.</t>
        </is>
      </c>
      <c r="W8" s="13" t="inlineStr">
        <is>
          <t>Que noite comprida… Tem cal fresca no seu ombro. Da parede de dentro.</t>
        </is>
      </c>
      <c r="X8" s="13" t="inlineStr">
        <is>
          <t>Anoto: cal fresca no seu ombro. Procedência: parede de dentro.</t>
        </is>
      </c>
      <c r="Y8" s="10">
        <f>SUMPRODUCT(($H8:$Q8&lt;&gt;"")*ISERROR(SEARCH($H8:$Q8,S8)))+SUMPRODUCT(($H8:$Q8&lt;&gt;"")*ISERROR(SEARCH($H8:$Q8,T8)))+SUMPRODUCT(($H8:$Q8&lt;&gt;"")*ISERROR(SEARCH($H8:$Q8,U8)))+SUMPRODUCT(($H8:$Q8&lt;&gt;"")*ISERROR(SEARCH($H8:$Q8,V8)))+SUMPRODUCT(($H8:$Q8&lt;&gt;"")*ISERROR(SEARCH($H8:$Q8,W8)))+SUMPRODUCT(($H8:$Q8&lt;&gt;"")*ISERROR(SEARCH($H8:$Q8,X8)))</f>
        <v/>
      </c>
      <c r="Z8" s="10" t="inlineStr">
        <is>
          <t>{Obs} apontou para {res}: &lt;i&gt;"…"&lt;/i&gt;</t>
        </is>
      </c>
    </row>
    <row r="9" ht="35.05" customHeight="1" s="8">
      <c r="A9" s="10" t="inlineStr">
        <is>
          <t>c6-p1-08</t>
        </is>
      </c>
      <c r="B9" s="10" t="n">
        <v>1</v>
      </c>
      <c r="C9" s="10" t="inlineStr">
        <is>
          <t>Cap. 6: quem estava onde</t>
        </is>
      </c>
      <c r="D9" s="10" t="inlineStr">
        <is>
          <t>roteiro</t>
        </is>
      </c>
      <c r="E9" s="10" t="inlineStr">
        <is>
          <t>investigador</t>
        </is>
      </c>
      <c r="F9" s="10" t="inlineStr">
        <is>
          <t>grupo</t>
        </is>
      </c>
      <c r="G9" s="10" t="n"/>
      <c r="H9" s="10" t="inlineStr">
        <is>
          <t>impermeável</t>
        </is>
      </c>
      <c r="I9" s="10" t="inlineStr">
        <is>
          <t>cabide do vestíbulo</t>
        </is>
      </c>
      <c r="J9" s="10" t="inlineStr">
        <is>
          <t>a noite toda</t>
        </is>
      </c>
      <c r="K9" s="10" t="inlineStr">
        <is>
          <t>faixa não brilhou</t>
        </is>
      </c>
      <c r="L9" s="10" t="n"/>
      <c r="M9" s="10" t="n"/>
      <c r="N9" s="10" t="n"/>
      <c r="O9" s="10" t="n"/>
      <c r="P9" s="10" t="n"/>
      <c r="Q9" s="10" t="n"/>
      <c r="R9" s="10" t="inlineStr">
        <is>
          <t>E o impermeável dele ficou no cabide do vestíbulo a noite toda. Por isso a faixa não brilhou.</t>
        </is>
      </c>
      <c r="S9" s="13" t="inlineStr">
        <is>
          <t>E o impermeável dele ficou no cabide do vestíbulo a noite toda! Por isso a faixa não brilhou, simples assim.</t>
        </is>
      </c>
      <c r="T9" s="13" t="inlineStr">
        <is>
          <t>E o impermeável dele… no cabide do vestíbulo. A noite toda. Por isso a faixa não brilhou.</t>
        </is>
      </c>
      <c r="U9" s="13" t="inlineStr">
        <is>
          <t>E o impermeável dele ficou no cabide do vestíbulo a noite toda, não foi? Então por isso a faixa não brilhou…</t>
        </is>
      </c>
      <c r="V9" s="13" t="inlineStr">
        <is>
          <t>O impermeável dele ficou no cabide do vestíbulo a noite toda. Por isso a faixa não brilhou.</t>
        </is>
      </c>
      <c r="W9" s="13" t="inlineStr">
        <is>
          <t>Chuva assim cansa qualquer um. E o impermeável dele ficou no cabide do vestíbulo a noite toda. Por isso a faixa não brilhou.</t>
        </is>
      </c>
      <c r="X9" s="13" t="inlineStr">
        <is>
          <t>Item: impermeável dele, no cabide do vestíbulo, a noite toda. Consequência: a faixa não brilhou.</t>
        </is>
      </c>
      <c r="Y9" s="10">
        <f>SUMPRODUCT(($H9:$Q9&lt;&gt;"")*ISERROR(SEARCH($H9:$Q9,S9)))+SUMPRODUCT(($H9:$Q9&lt;&gt;"")*ISERROR(SEARCH($H9:$Q9,T9)))+SUMPRODUCT(($H9:$Q9&lt;&gt;"")*ISERROR(SEARCH($H9:$Q9,U9)))+SUMPRODUCT(($H9:$Q9&lt;&gt;"")*ISERROR(SEARCH($H9:$Q9,V9)))+SUMPRODUCT(($H9:$Q9&lt;&gt;"")*ISERROR(SEARCH($H9:$Q9,W9)))+SUMPRODUCT(($H9:$Q9&lt;&gt;"")*ISERROR(SEARCH($H9:$Q9,X9)))</f>
        <v/>
      </c>
      <c r="Z9" s="10" t="inlineStr">
        <is>
          <t>&lt;i&gt;"[1ª parte]"&lt;/i&gt;, disse {inv}. &lt;i&gt;"[2ª parte]"&lt;/i&gt; — uma fala só, partida depois de "a noite toda". "Dele" = o residente.</t>
        </is>
      </c>
    </row>
    <row r="10" ht="46.25" customHeight="1" s="8">
      <c r="A10" s="10" t="inlineStr">
        <is>
          <t>c6-p1-09</t>
        </is>
      </c>
      <c r="B10" s="10" t="n">
        <v>1</v>
      </c>
      <c r="C10" s="10" t="inlineStr">
        <is>
          <t>Cap. 6: quem estava onde</t>
        </is>
      </c>
      <c r="D10" s="10" t="inlineStr">
        <is>
          <t>roteiro</t>
        </is>
      </c>
      <c r="E10" s="10" t="inlineStr">
        <is>
          <t>jornalista</t>
        </is>
      </c>
      <c r="F10" s="10" t="inlineStr">
        <is>
          <t>observadora</t>
        </is>
      </c>
      <c r="G10" s="10" t="n"/>
      <c r="H10" s="10" t="inlineStr">
        <is>
          <t>quarto clarão</t>
        </is>
      </c>
      <c r="I10" s="10" t="inlineStr">
        <is>
          <t>mesa da ata</t>
        </is>
      </c>
      <c r="J10" s="10" t="inlineStr">
        <is>
          <t>porta de vidro</t>
        </is>
      </c>
      <c r="K10" s="10" t="inlineStr">
        <is>
          <t>senhora sentada</t>
        </is>
      </c>
      <c r="L10" s="10" t="inlineStr">
        <is>
          <t>farol</t>
        </is>
      </c>
      <c r="M10" s="10" t="inlineStr">
        <is>
          <t>janela</t>
        </is>
      </c>
      <c r="N10" s="10" t="inlineStr">
        <is>
          <t>terceiro e no quarto</t>
        </is>
      </c>
      <c r="O10" s="10" t="n"/>
      <c r="P10" s="10" t="n"/>
      <c r="Q10" s="10" t="n"/>
      <c r="R10" s="10" t="inlineStr">
        <is>
          <t>No quarto clarão, vi a mesa da ata pela porta de vidro, e você {g:obs:sentada|sentado} a ela. E o farol me viu na janela, no terceiro e no quarto.</t>
        </is>
      </c>
      <c r="S10" s="13" t="inlineStr">
        <is>
          <t>No quarto clarão vi a mesa da ata pela porta de vidro, e você {g:obs:sentada|sentado} a ela. E o farol me viu na janela, no terceiro e no quarto! Chega disso.</t>
        </is>
      </c>
      <c r="T10" s="13" t="inlineStr">
        <is>
          <t>No quarto clarão… a mesa da ata. Pela porta de vidro. Você {g:obs:sentada|sentado} a ela. E o farol me viu… na janela. No terceiro e no quarto.</t>
        </is>
      </c>
      <c r="U10" s="13" t="inlineStr">
        <is>
          <t>No quarto clarão vi a mesa da ata pela porta de vidro, e você {g:obs:sentada|sentado} a ela. E o farol me viu na janela, no terceiro e no quarto… isso me ajuda, não ajuda?</t>
        </is>
      </c>
      <c r="V10" s="13" t="inlineStr">
        <is>
          <t>Vi, no quarto clarão, a mesa da ata pela porta de vidro, e você {g:obs:sentada|sentado} a ela. E o farol me viu na janela, no terceiro e no quarto.</t>
        </is>
      </c>
      <c r="W10" s="13" t="inlineStr">
        <is>
          <t>Aquela chuva sem fim… No quarto clarão, vi a mesa da ata pela porta de vidro, e você {g:obs:sentada|sentado} a ela. E o farol me viu na janela, no terceiro e no quarto.</t>
        </is>
      </c>
      <c r="X10" s="13" t="inlineStr">
        <is>
          <t>Quarto clarão: mesa da ata, vista pela porta de vidro, você {g:obs:sentada|sentado} a ela. Farol: me viu na janela, no terceiro e no quarto.</t>
        </is>
      </c>
      <c r="Y10" s="10">
        <f>SUMPRODUCT(($H10:$Q10&lt;&gt;"")*ISERROR(SEARCH($H10:$Q10,S10)))+SUMPRODUCT(($H10:$Q10&lt;&gt;"")*ISERROR(SEARCH($H10:$Q10,T10)))+SUMPRODUCT(($H10:$Q10&lt;&gt;"")*ISERROR(SEARCH($H10:$Q10,U10)))+SUMPRODUCT(($H10:$Q10&lt;&gt;"")*ISERROR(SEARCH($H10:$Q10,V10)))+SUMPRODUCT(($H10:$Q10&lt;&gt;"")*ISERROR(SEARCH($H10:$Q10,W10)))+SUMPRODUCT(($H10:$Q10&lt;&gt;"")*ISERROR(SEARCH($H10:$Q10,X10)))</f>
        <v/>
      </c>
      <c r="Z10" s="10" t="inlineStr">
        <is>
          <t>&lt;i&gt;"[1ª parte]"&lt;/i&gt;, disse {jor} {a:obs}. &lt;i&gt;"[2ª parte]"&lt;/i&gt; — uma fala só, partida depois de "sentada a ela".</t>
        </is>
      </c>
    </row>
    <row r="11" ht="46.25" customHeight="1" s="8">
      <c r="A11" s="10" t="inlineStr">
        <is>
          <t>c6-p2-01</t>
        </is>
      </c>
      <c r="B11" s="10" t="n">
        <v>2</v>
      </c>
      <c r="C11" s="10" t="inlineStr">
        <is>
          <t>Cap. 6: quem estava onde</t>
        </is>
      </c>
      <c r="D11" s="10" t="inlineStr">
        <is>
          <t>roteiro</t>
        </is>
      </c>
      <c r="E11" s="10" t="inlineStr">
        <is>
          <t>governanta</t>
        </is>
      </c>
      <c r="F11" s="10" t="inlineStr">
        <is>
          <t>grupo</t>
        </is>
      </c>
      <c r="G11" s="10" t="n"/>
      <c r="H11" s="10" t="inlineStr">
        <is>
          <t>mensagem</t>
        </is>
      </c>
      <c r="I11" s="10" t="inlineStr">
        <is>
          <t>olhei</t>
        </is>
      </c>
      <c r="J11" s="10" t="inlineStr">
        <is>
          <t>quarto clarão</t>
        </is>
      </c>
      <c r="K11" s="10" t="inlineStr">
        <is>
          <t>brilho pequeno</t>
        </is>
      </c>
      <c r="L11" s="10" t="inlineStr">
        <is>
          <t>dourado</t>
        </is>
      </c>
      <c r="M11" s="10" t="inlineStr">
        <is>
          <t>altura do pêndulo</t>
        </is>
      </c>
      <c r="N11" s="10" t="n"/>
      <c r="O11" s="10" t="n"/>
      <c r="P11" s="10" t="n"/>
      <c r="Q11" s="10" t="n"/>
      <c r="R11" s="10" t="inlineStr">
        <is>
          <t>A mensagem chegou e eu olhei. Desculpa. Mas no quarto clarão vi um brilho pequeno, dourado, na altura do pêndulo.</t>
        </is>
      </c>
      <c r="S11" s="13" t="inlineStr">
        <is>
          <t>A mensagem chegou e eu olhei, pronto. Mas no quarto clarão vi um brilho pequeno, dourado, na altura do pêndulo! Isso ninguém quer ouvir?</t>
        </is>
      </c>
      <c r="T11" s="13" t="inlineStr">
        <is>
          <t>A mensagem chegou… eu olhei. Desculpa. Mas no quarto clarão… um brilho pequeno. Dourado. Na altura do pêndulo.</t>
        </is>
      </c>
      <c r="U11" s="13" t="inlineStr">
        <is>
          <t>A mensagem chegou e eu olhei… desculpa, de verdade. Mas no quarto clarão eu vi um brilho pequeno, dourado, na altura do pêndulo. Isso vale alguma coisa, não vale?</t>
        </is>
      </c>
      <c r="V11" s="13" t="inlineStr">
        <is>
          <t>A mensagem chegou e eu olhei. Desculpem, foi falha minha. Mas no quarto clarão vi um brilho pequeno, dourado, na altura do pêndulo.</t>
        </is>
      </c>
      <c r="W11" s="13" t="inlineStr">
        <is>
          <t>A mensagem chegou e eu olhei. Desculpa, a demora cansa a gente. Mas no quarto clarão vi um brilho pequeno, dourado, na altura do pêndulo.</t>
        </is>
      </c>
      <c r="X11" s="13" t="inlineStr">
        <is>
          <t>Anoto contra mim: a mensagem chegou e eu olhei. No quarto clarão, um brilho pequeno, dourado, na altura do pêndulo.</t>
        </is>
      </c>
      <c r="Y11" s="10">
        <f>SUMPRODUCT(($H11:$Q11&lt;&gt;"")*ISERROR(SEARCH($H11:$Q11,S11)))+SUMPRODUCT(($H11:$Q11&lt;&gt;"")*ISERROR(SEARCH($H11:$Q11,T11)))+SUMPRODUCT(($H11:$Q11&lt;&gt;"")*ISERROR(SEARCH($H11:$Q11,U11)))+SUMPRODUCT(($H11:$Q11&lt;&gt;"")*ISERROR(SEARCH($H11:$Q11,V11)))+SUMPRODUCT(($H11:$Q11&lt;&gt;"")*ISERROR(SEARCH($H11:$Q11,W11)))+SUMPRODUCT(($H11:$Q11&lt;&gt;"")*ISERROR(SEARCH($H11:$Q11,X11)))</f>
        <v/>
      </c>
      <c r="Z11" s="10" t="inlineStr">
        <is>
          <t>&lt;i&gt;"[1ª parte]"&lt;/i&gt;, disse {gov}, que guardava a porta. &lt;i&gt;"[2ª parte]"&lt;/i&gt; — uma fala só, partida depois de "Desculpa".</t>
        </is>
      </c>
    </row>
    <row r="12" ht="35.05" customHeight="1" s="8">
      <c r="A12" s="10" t="inlineStr">
        <is>
          <t>c6-p2-02</t>
        </is>
      </c>
      <c r="B12" s="10" t="n">
        <v>2</v>
      </c>
      <c r="C12" s="10" t="inlineStr">
        <is>
          <t>Cap. 6: quem estava onde</t>
        </is>
      </c>
      <c r="D12" s="10" t="inlineStr">
        <is>
          <t>roteiro</t>
        </is>
      </c>
      <c r="E12" s="10" t="inlineStr">
        <is>
          <t>policial</t>
        </is>
      </c>
      <c r="F12" s="10" t="inlineStr">
        <is>
          <t>grupo</t>
        </is>
      </c>
      <c r="G12" s="10" t="n"/>
      <c r="H12" s="10" t="inlineStr">
        <is>
          <t>zíper</t>
        </is>
      </c>
      <c r="I12" s="10" t="inlineStr">
        <is>
          <t>prata</t>
        </is>
      </c>
      <c r="J12" s="10" t="inlineStr">
        <is>
          <t>farol</t>
        </is>
      </c>
      <c r="K12" s="10" t="inlineStr">
        <is>
          <t>minha voz</t>
        </is>
      </c>
      <c r="L12" s="10" t="inlineStr">
        <is>
          <t>o tempo todo</t>
        </is>
      </c>
      <c r="M12" s="10" t="n"/>
      <c r="N12" s="10" t="n"/>
      <c r="O12" s="10" t="n"/>
      <c r="P12" s="10" t="n"/>
      <c r="Q12" s="10" t="n"/>
      <c r="R12" s="10" t="inlineStr">
        <is>
          <t>Meu zíper é prata. E o farol ouviu minha voz o tempo todo.</t>
        </is>
      </c>
      <c r="S12" s="13" t="inlineStr">
        <is>
          <t>Meu zíper é prata! E o farol ouviu minha voz o tempo todo. Mais alguma pergunta?</t>
        </is>
      </c>
      <c r="T12" s="13" t="inlineStr">
        <is>
          <t>Meu zíper… é prata. E o farol ouviu minha voz. O tempo todo.</t>
        </is>
      </c>
      <c r="U12" s="13" t="inlineStr">
        <is>
          <t>Mas meu zíper é prata, olha… E o farol ouviu minha voz o tempo todo, não ouviu?</t>
        </is>
      </c>
      <c r="V12" s="13" t="inlineStr">
        <is>
          <t>Meu zíper é prata. E o farol ouviu minha voz o tempo todo. Não tenho o que esconder.</t>
        </is>
      </c>
      <c r="W12" s="13" t="inlineStr">
        <is>
          <t>Essa estrada, essa demora… Meu zíper é prata. E o farol ouviu minha voz o tempo todo.</t>
        </is>
      </c>
      <c r="X12" s="13" t="inlineStr">
        <is>
          <t>Zíper: prata. O farol ouviu minha voz o tempo todo.</t>
        </is>
      </c>
      <c r="Y12" s="10">
        <f>SUMPRODUCT(($H12:$Q12&lt;&gt;"")*ISERROR(SEARCH($H12:$Q12,S12)))+SUMPRODUCT(($H12:$Q12&lt;&gt;"")*ISERROR(SEARCH($H12:$Q12,T12)))+SUMPRODUCT(($H12:$Q12&lt;&gt;"")*ISERROR(SEARCH($H12:$Q12,U12)))+SUMPRODUCT(($H12:$Q12&lt;&gt;"")*ISERROR(SEARCH($H12:$Q12,V12)))+SUMPRODUCT(($H12:$Q12&lt;&gt;"")*ISERROR(SEARCH($H12:$Q12,W12)))+SUMPRODUCT(($H12:$Q12&lt;&gt;"")*ISERROR(SEARCH($H12:$Q12,X12)))</f>
        <v/>
      </c>
      <c r="Z12" s="10" t="inlineStr">
        <is>
          <t>&lt;i&gt;"[1ª parte]"&lt;/i&gt;, disse {pol}. &lt;i&gt;"[2ª parte]"&lt;/i&gt; — uma fala só, partida depois de "prata".</t>
        </is>
      </c>
    </row>
    <row r="13" ht="46.25" customHeight="1" s="8">
      <c r="A13" s="10" t="inlineStr">
        <is>
          <t>c6-p2-03</t>
        </is>
      </c>
      <c r="B13" s="10" t="n">
        <v>2</v>
      </c>
      <c r="C13" s="10" t="inlineStr">
        <is>
          <t>Cap. 6: quem estava onde</t>
        </is>
      </c>
      <c r="D13" s="10" t="inlineStr">
        <is>
          <t>roteiro</t>
        </is>
      </c>
      <c r="E13" s="10" t="inlineStr">
        <is>
          <t>investigador</t>
        </is>
      </c>
      <c r="F13" s="10" t="inlineStr">
        <is>
          <t>grupo</t>
        </is>
      </c>
      <c r="G13" s="10" t="n"/>
      <c r="H13" s="10" t="inlineStr">
        <is>
          <t>degrau da biblioteca</t>
        </is>
      </c>
      <c r="I13" s="10" t="inlineStr">
        <is>
          <t>cinquenta e oito</t>
        </is>
      </c>
      <c r="J13" s="10" t="inlineStr">
        <is>
          <t>cento e onze</t>
        </is>
      </c>
      <c r="K13" s="10" t="inlineStr">
        <is>
          <t>arrastar</t>
        </is>
      </c>
      <c r="L13" s="10" t="inlineStr">
        <is>
          <t>junto com a lata</t>
        </is>
      </c>
      <c r="M13" s="10" t="n"/>
      <c r="N13" s="10" t="n"/>
      <c r="O13" s="10" t="n"/>
      <c r="P13" s="10" t="n"/>
      <c r="Q13" s="10" t="n"/>
      <c r="R13" s="10" t="inlineStr">
        <is>
          <t>O degrau da biblioteca rangeu aos cinquenta e oito e aos cento e onze. E o arrastar veio junto com a lata.</t>
        </is>
      </c>
      <c r="S13" s="13" t="inlineStr">
        <is>
          <t>O degrau da biblioteca rangeu aos cinquenta e oito e aos cento e onze! E o arrastar veio junto com a lata. Não é difícil.</t>
        </is>
      </c>
      <c r="T13" s="13" t="inlineStr">
        <is>
          <t>O degrau da biblioteca… rangeu aos cinquenta e oito. E aos cento e onze. E o arrastar… veio junto com a lata.</t>
        </is>
      </c>
      <c r="U13" s="13" t="inlineStr">
        <is>
          <t>O degrau da biblioteca rangeu aos cinquenta e oito e aos cento e onze. E o arrastar veio junto com a lata… isso quer dizer alguma coisa, não quer?</t>
        </is>
      </c>
      <c r="V13" s="13" t="inlineStr">
        <is>
          <t>O degrau da biblioteca rangeu aos cinquenta e oito e aos cento e onze. O arrastar veio junto com a lata.</t>
        </is>
      </c>
      <c r="W13" s="13" t="inlineStr">
        <is>
          <t>O frio não dava trégua, mas o degrau da biblioteca rangeu aos cinquenta e oito e aos cento e onze. E o arrastar veio junto com a lata.</t>
        </is>
      </c>
      <c r="X13" s="13" t="inlineStr">
        <is>
          <t>Cinquenta e oito e cento e onze: degrau da biblioteca, rangido. Arrastar junto com a lata.</t>
        </is>
      </c>
      <c r="Y13" s="10">
        <f>SUMPRODUCT(($H13:$Q13&lt;&gt;"")*ISERROR(SEARCH($H13:$Q13,S13)))+SUMPRODUCT(($H13:$Q13&lt;&gt;"")*ISERROR(SEARCH($H13:$Q13,T13)))+SUMPRODUCT(($H13:$Q13&lt;&gt;"")*ISERROR(SEARCH($H13:$Q13,U13)))+SUMPRODUCT(($H13:$Q13&lt;&gt;"")*ISERROR(SEARCH($H13:$Q13,V13)))+SUMPRODUCT(($H13:$Q13&lt;&gt;"")*ISERROR(SEARCH($H13:$Q13,W13)))+SUMPRODUCT(($H13:$Q13&lt;&gt;"")*ISERROR(SEARCH($H13:$Q13,X13)))</f>
        <v/>
      </c>
      <c r="Z13" s="10" t="inlineStr">
        <is>
          <t>&lt;i&gt;"[1ª parte]"&lt;/i&gt;, disse {inv}. &lt;i&gt;"[2ª parte]"&lt;/i&gt; — uma fala só, partida depois de "cento e onze".</t>
        </is>
      </c>
    </row>
    <row r="14" ht="35.05" customHeight="1" s="8">
      <c r="A14" s="10" t="inlineStr">
        <is>
          <t>c6-p2-04</t>
        </is>
      </c>
      <c r="B14" s="10" t="n">
        <v>2</v>
      </c>
      <c r="C14" s="10" t="inlineStr">
        <is>
          <t>Cap. 6: quem estava onde</t>
        </is>
      </c>
      <c r="D14" s="10" t="inlineStr">
        <is>
          <t>roteiro</t>
        </is>
      </c>
      <c r="E14" s="10" t="inlineStr">
        <is>
          <t>residente</t>
        </is>
      </c>
      <c r="F14" s="10" t="inlineStr">
        <is>
          <t>grupo</t>
        </is>
      </c>
      <c r="G14" s="10" t="n"/>
      <c r="H14" s="10" t="inlineStr">
        <is>
          <t>lata caiu comigo</t>
        </is>
      </c>
      <c r="I14" s="10" t="inlineStr">
        <is>
          <t>tateava</t>
        </is>
      </c>
      <c r="J14" s="10" t="inlineStr">
        <is>
          <t>porta de serviço</t>
        </is>
      </c>
      <c r="K14" s="10" t="n"/>
      <c r="L14" s="10" t="n"/>
      <c r="M14" s="10" t="n"/>
      <c r="N14" s="10" t="n"/>
      <c r="O14" s="10" t="n"/>
      <c r="P14" s="10" t="n"/>
      <c r="Q14" s="10" t="n"/>
      <c r="R14" s="10" t="inlineStr">
        <is>
          <t>A lata caiu comigo. Eu tateava a porta de serviço.</t>
        </is>
      </c>
      <c r="S14" s="13" t="inlineStr">
        <is>
          <t>A lata caiu comigo, e daí? Eu tateava a porta de serviço!</t>
        </is>
      </c>
      <c r="T14" s="13" t="inlineStr">
        <is>
          <t>A lata caiu comigo. Eu tateava… a porta de serviço.</t>
        </is>
      </c>
      <c r="U14" s="13" t="inlineStr">
        <is>
          <t>A lata caiu comigo, desculpa… Eu tateava a porta de serviço.</t>
        </is>
      </c>
      <c r="V14" s="13" t="inlineStr">
        <is>
          <t>A lata caiu comigo. Eu tateava a porta de serviço. Não fujo disso.</t>
        </is>
      </c>
      <c r="W14" s="13" t="inlineStr">
        <is>
          <t>Fome, cansaço… A lata caiu comigo. Eu tateava a porta de serviço.</t>
        </is>
      </c>
      <c r="X14" s="13" t="inlineStr">
        <is>
          <t>Para a ata: a lata caiu comigo. Eu tateava a porta de serviço.</t>
        </is>
      </c>
      <c r="Y14" s="10">
        <f>SUMPRODUCT(($H14:$Q14&lt;&gt;"")*ISERROR(SEARCH($H14:$Q14,S14)))+SUMPRODUCT(($H14:$Q14&lt;&gt;"")*ISERROR(SEARCH($H14:$Q14,T14)))+SUMPRODUCT(($H14:$Q14&lt;&gt;"")*ISERROR(SEARCH($H14:$Q14,U14)))+SUMPRODUCT(($H14:$Q14&lt;&gt;"")*ISERROR(SEARCH($H14:$Q14,V14)))+SUMPRODUCT(($H14:$Q14&lt;&gt;"")*ISERROR(SEARCH($H14:$Q14,W14)))+SUMPRODUCT(($H14:$Q14&lt;&gt;"")*ISERROR(SEARCH($H14:$Q14,X14)))</f>
        <v/>
      </c>
      <c r="Z14" s="10" t="inlineStr">
        <is>
          <t>&lt;i&gt;"[1ª parte]"&lt;/i&gt;, disse {res}. &lt;i&gt;"[2ª parte]"&lt;/i&gt; — uma fala só, partida depois de "comigo".</t>
        </is>
      </c>
    </row>
    <row r="15" ht="23.85" customHeight="1" s="8">
      <c r="A15" s="10" t="inlineStr">
        <is>
          <t>c6-p2-05</t>
        </is>
      </c>
      <c r="B15" s="10" t="n">
        <v>2</v>
      </c>
      <c r="C15" s="10" t="inlineStr">
        <is>
          <t>Cap. 6: quem estava onde</t>
        </is>
      </c>
      <c r="D15" s="10" t="inlineStr">
        <is>
          <t>roteiro</t>
        </is>
      </c>
      <c r="E15" s="10" t="inlineStr">
        <is>
          <t>observadora</t>
        </is>
      </c>
      <c r="F15" s="10" t="inlineStr">
        <is>
          <t>residente</t>
        </is>
      </c>
      <c r="G15" s="10" t="n"/>
      <c r="H15" s="10" t="inlineStr">
        <is>
          <t>ouvi a lata</t>
        </is>
      </c>
      <c r="I15" s="10" t="inlineStr">
        <is>
          <t>praguejar</t>
        </is>
      </c>
      <c r="J15" s="10" t="n"/>
      <c r="K15" s="10" t="n"/>
      <c r="L15" s="10" t="n"/>
      <c r="M15" s="10" t="n"/>
      <c r="N15" s="10" t="n"/>
      <c r="O15" s="10" t="n"/>
      <c r="P15" s="10" t="n"/>
      <c r="Q15" s="10" t="n"/>
      <c r="R15" s="10" t="inlineStr">
        <is>
          <t>Ouvi a lata e ouvi você praguejar.</t>
        </is>
      </c>
      <c r="S15" s="13" t="inlineStr">
        <is>
          <t>Ouvi a lata e ouvi você praguejar! Isso eu garanto.</t>
        </is>
      </c>
      <c r="T15" s="13" t="inlineStr">
        <is>
          <t>Ouvi a lata… e ouvi você praguejar.</t>
        </is>
      </c>
      <c r="U15" s="13" t="inlineStr">
        <is>
          <t>Eu ouvi a lata e ouvi você praguejar… desculpa, mas ouvi.</t>
        </is>
      </c>
      <c r="V15" s="13" t="inlineStr">
        <is>
          <t>Ouvi a lata e ouvi você praguejar. Confirmo.</t>
        </is>
      </c>
      <c r="W15" s="13" t="inlineStr">
        <is>
          <t>Com a chuva lá fora, ainda assim ouvi a lata e ouvi você praguejar.</t>
        </is>
      </c>
      <c r="X15" s="13" t="inlineStr">
        <is>
          <t>Dois registros: ouvi a lata e ouvi você praguejar.</t>
        </is>
      </c>
      <c r="Y15" s="10">
        <f>SUMPRODUCT(($H15:$Q15&lt;&gt;"")*ISERROR(SEARCH($H15:$Q15,S15)))+SUMPRODUCT(($H15:$Q15&lt;&gt;"")*ISERROR(SEARCH($H15:$Q15,T15)))+SUMPRODUCT(($H15:$Q15&lt;&gt;"")*ISERROR(SEARCH($H15:$Q15,U15)))+SUMPRODUCT(($H15:$Q15&lt;&gt;"")*ISERROR(SEARCH($H15:$Q15,V15)))+SUMPRODUCT(($H15:$Q15&lt;&gt;"")*ISERROR(SEARCH($H15:$Q15,W15)))+SUMPRODUCT(($H15:$Q15&lt;&gt;"")*ISERROR(SEARCH($H15:$Q15,X15)))</f>
        <v/>
      </c>
      <c r="Z15" s="10" t="inlineStr">
        <is>
          <t>&lt;i&gt;"…"&lt;/i&gt;, disse {obs}, da sala de jantar.</t>
        </is>
      </c>
    </row>
    <row r="16" ht="23.85" customHeight="1" s="8">
      <c r="A16" s="10" t="inlineStr">
        <is>
          <t>c6-p2-06</t>
        </is>
      </c>
      <c r="B16" s="10" t="n">
        <v>2</v>
      </c>
      <c r="C16" s="10" t="inlineStr">
        <is>
          <t>Cap. 6: quem estava onde</t>
        </is>
      </c>
      <c r="D16" s="10" t="inlineStr">
        <is>
          <t>roteiro</t>
        </is>
      </c>
      <c r="E16" s="10" t="inlineStr">
        <is>
          <t>jornalista</t>
        </is>
      </c>
      <c r="F16" s="10" t="inlineStr">
        <is>
          <t>grupo</t>
        </is>
      </c>
      <c r="G16" s="10" t="n"/>
      <c r="H16" s="10" t="inlineStr">
        <is>
          <t>tela acesa</t>
        </is>
      </c>
      <c r="I16" s="10" t="inlineStr">
        <is>
          <t>parada</t>
        </is>
      </c>
      <c r="J16" s="10" t="inlineStr">
        <is>
          <t>porta da sala</t>
        </is>
      </c>
      <c r="K16" s="10" t="inlineStr">
        <is>
          <t>sessenta</t>
        </is>
      </c>
      <c r="L16" s="10" t="n"/>
      <c r="M16" s="10" t="n"/>
      <c r="N16" s="10" t="n"/>
      <c r="O16" s="10" t="n"/>
      <c r="P16" s="10" t="n"/>
      <c r="Q16" s="10" t="n"/>
      <c r="R16" s="10" t="inlineStr">
        <is>
          <t>E eu vi uma tela acesa parada na porta da sala, aos sessenta.</t>
        </is>
      </c>
      <c r="S16" s="13" t="inlineStr">
        <is>
          <t>E eu vi uma tela acesa parada na porta da sala, aos sessenta! Ninguém mais tem olhos?</t>
        </is>
      </c>
      <c r="T16" s="13" t="inlineStr">
        <is>
          <t>E eu vi… uma tela acesa. Parada na porta da sala. Aos sessenta.</t>
        </is>
      </c>
      <c r="U16" s="13" t="inlineStr">
        <is>
          <t>E eu vi uma tela acesa parada na porta da sala, aos sessenta… alguém mais viu?</t>
        </is>
      </c>
      <c r="V16" s="13" t="inlineStr">
        <is>
          <t>Eu vi uma tela acesa parada na porta da sala, aos sessenta.</t>
        </is>
      </c>
      <c r="W16" s="13" t="inlineStr">
        <is>
          <t>A chuva, a demora… E eu vi uma tela acesa parada na porta da sala, aos sessenta.</t>
        </is>
      </c>
      <c r="X16" s="13" t="inlineStr">
        <is>
          <t>Aos sessenta: tela acesa, parada na porta da sala.</t>
        </is>
      </c>
      <c r="Y16" s="10">
        <f>SUMPRODUCT(($H16:$Q16&lt;&gt;"")*ISERROR(SEARCH($H16:$Q16,S16)))+SUMPRODUCT(($H16:$Q16&lt;&gt;"")*ISERROR(SEARCH($H16:$Q16,T16)))+SUMPRODUCT(($H16:$Q16&lt;&gt;"")*ISERROR(SEARCH($H16:$Q16,U16)))+SUMPRODUCT(($H16:$Q16&lt;&gt;"")*ISERROR(SEARCH($H16:$Q16,V16)))+SUMPRODUCT(($H16:$Q16&lt;&gt;"")*ISERROR(SEARCH($H16:$Q16,W16)))+SUMPRODUCT(($H16:$Q16&lt;&gt;"")*ISERROR(SEARCH($H16:$Q16,X16)))</f>
        <v/>
      </c>
      <c r="Z16" s="10" t="inlineStr">
        <is>
          <t>&lt;i&gt;"…"&lt;/i&gt;, disse {jor}.</t>
        </is>
      </c>
    </row>
    <row r="17" ht="23.85" customHeight="1" s="8">
      <c r="A17" s="10" t="inlineStr">
        <is>
          <t>c6-p2-07</t>
        </is>
      </c>
      <c r="B17" s="10" t="n">
        <v>2</v>
      </c>
      <c r="C17" s="10" t="inlineStr">
        <is>
          <t>Cap. 6: quem estava onde</t>
        </is>
      </c>
      <c r="D17" s="10" t="inlineStr">
        <is>
          <t>roteiro</t>
        </is>
      </c>
      <c r="E17" s="10" t="inlineStr">
        <is>
          <t>investigador</t>
        </is>
      </c>
      <c r="F17" s="10" t="inlineStr">
        <is>
          <t>grupo</t>
        </is>
      </c>
      <c r="G17" s="10" t="n"/>
      <c r="H17" s="10" t="inlineStr">
        <is>
          <t>farol</t>
        </is>
      </c>
      <c r="I17" s="10" t="inlineStr">
        <is>
          <t>alguém</t>
        </is>
      </c>
      <c r="J17" s="10" t="inlineStr">
        <is>
          <t>janela do corredor</t>
        </is>
      </c>
      <c r="K17" s="10" t="n"/>
      <c r="L17" s="10" t="n"/>
      <c r="M17" s="10" t="n"/>
      <c r="N17" s="10" t="n"/>
      <c r="O17" s="10" t="n"/>
      <c r="P17" s="10" t="n"/>
      <c r="Q17" s="10" t="n"/>
      <c r="R17" s="10" t="inlineStr">
        <is>
          <t>E o farol viu alguém na janela do corredor.</t>
        </is>
      </c>
      <c r="S17" s="13" t="inlineStr">
        <is>
          <t>E o farol viu alguém na janela do corredor! Ninguém vai dizer nada?</t>
        </is>
      </c>
      <c r="T17" s="13" t="inlineStr">
        <is>
          <t>E o farol… viu alguém. Na janela do corredor.</t>
        </is>
      </c>
      <c r="U17" s="13" t="inlineStr">
        <is>
          <t>E o farol viu alguém na janela do corredor, não viu?</t>
        </is>
      </c>
      <c r="V17" s="13" t="inlineStr">
        <is>
          <t>O farol viu alguém na janela do corredor. Só digo isso.</t>
        </is>
      </c>
      <c r="W17" s="13" t="inlineStr">
        <is>
          <t>Lá na costa, com essa umidade… e o farol viu alguém na janela do corredor.</t>
        </is>
      </c>
      <c r="X17" s="13" t="inlineStr">
        <is>
          <t>Farol: alguém na janela do corredor.</t>
        </is>
      </c>
      <c r="Y17" s="10">
        <f>SUMPRODUCT(($H17:$Q17&lt;&gt;"")*ISERROR(SEARCH($H17:$Q17,S17)))+SUMPRODUCT(($H17:$Q17&lt;&gt;"")*ISERROR(SEARCH($H17:$Q17,T17)))+SUMPRODUCT(($H17:$Q17&lt;&gt;"")*ISERROR(SEARCH($H17:$Q17,U17)))+SUMPRODUCT(($H17:$Q17&lt;&gt;"")*ISERROR(SEARCH($H17:$Q17,V17)))+SUMPRODUCT(($H17:$Q17&lt;&gt;"")*ISERROR(SEARCH($H17:$Q17,W17)))+SUMPRODUCT(($H17:$Q17&lt;&gt;"")*ISERROR(SEARCH($H17:$Q17,X17)))</f>
        <v/>
      </c>
      <c r="Z17" s="10" t="inlineStr">
        <is>
          <t>&lt;i&gt;"…"&lt;/i&gt;, disse {inv}. {Tab} ajeitou a abotoadura sem perceber.</t>
        </is>
      </c>
    </row>
    <row r="18" ht="46.25" customHeight="1" s="8">
      <c r="A18" s="10" t="inlineStr">
        <is>
          <t>c6-p4-01</t>
        </is>
      </c>
      <c r="B18" s="10" t="n">
        <v>4</v>
      </c>
      <c r="C18" s="10" t="inlineStr">
        <is>
          <t>Cap. 6: quem estava onde</t>
        </is>
      </c>
      <c r="D18" s="10" t="inlineStr">
        <is>
          <t>roteiro</t>
        </is>
      </c>
      <c r="E18" s="10" t="inlineStr">
        <is>
          <t>residente</t>
        </is>
      </c>
      <c r="F18" s="10" t="inlineStr">
        <is>
          <t>grupo</t>
        </is>
      </c>
      <c r="G18" s="10" t="n"/>
      <c r="H18" s="10" t="inlineStr">
        <is>
          <t>cinquenta e oito</t>
        </is>
      </c>
      <c r="I18" s="10" t="inlineStr">
        <is>
          <t>passos</t>
        </is>
      </c>
      <c r="J18" s="10" t="inlineStr">
        <is>
          <t>dentro da parede</t>
        </is>
      </c>
      <c r="K18" s="10" t="inlineStr">
        <is>
          <t>despensa</t>
        </is>
      </c>
      <c r="L18" s="10" t="inlineStr">
        <is>
          <t>luz</t>
        </is>
      </c>
      <c r="M18" s="10" t="inlineStr">
        <is>
          <t>frestas do painel</t>
        </is>
      </c>
      <c r="N18" s="10" t="n"/>
      <c r="O18" s="10" t="n"/>
      <c r="P18" s="10" t="n"/>
      <c r="Q18" s="10" t="n"/>
      <c r="R18" s="10" t="inlineStr">
        <is>
          <t>Aos cinquenta e oito, passos dentro da parede. Vindo da despensa. E uma luz passando pelas frestas do painel.</t>
        </is>
      </c>
      <c r="S18" s="13" t="inlineStr">
        <is>
          <t>Aos cinquenta e oito, passos dentro da parede, vindo da despensa! E uma luz passando pelas frestas do painel. Ninguém mais ouviu?</t>
        </is>
      </c>
      <c r="T18" s="13" t="inlineStr">
        <is>
          <t>Aos cinquenta e oito… passos dentro da parede. Vindo da despensa. E uma luz… passando pelas frestas do painel.</t>
        </is>
      </c>
      <c r="U18" s="13" t="inlineStr">
        <is>
          <t>Aos cinquenta e oito, passos dentro da parede, vindo da despensa. E uma luz passando pelas frestas do painel… vocês também perceberam?</t>
        </is>
      </c>
      <c r="V18" s="13" t="inlineStr">
        <is>
          <t>Aos cinquenta e oito, passos dentro da parede. Vindo da despensa. E uma luz passando pelas frestas do painel. Foi o que ouvi e vi.</t>
        </is>
      </c>
      <c r="W18" s="13" t="inlineStr">
        <is>
          <t>Aquele cansaço todo… Mas aos cinquenta e oito, passos dentro da parede. Vindo da despensa. E uma luz passando pelas frestas do painel.</t>
        </is>
      </c>
      <c r="X18" s="13" t="inlineStr">
        <is>
          <t>Cinquenta e oito: passos dentro da parede. Procedência: despensa. Uma luz passando pelas frestas do painel.</t>
        </is>
      </c>
      <c r="Y18" s="10">
        <f>SUMPRODUCT(($H18:$Q18&lt;&gt;"")*ISERROR(SEARCH($H18:$Q18,S18)))+SUMPRODUCT(($H18:$Q18&lt;&gt;"")*ISERROR(SEARCH($H18:$Q18,T18)))+SUMPRODUCT(($H18:$Q18&lt;&gt;"")*ISERROR(SEARCH($H18:$Q18,U18)))+SUMPRODUCT(($H18:$Q18&lt;&gt;"")*ISERROR(SEARCH($H18:$Q18,V18)))+SUMPRODUCT(($H18:$Q18&lt;&gt;"")*ISERROR(SEARCH($H18:$Q18,W18)))+SUMPRODUCT(($H18:$Q18&lt;&gt;"")*ISERROR(SEARCH($H18:$Q18,X18)))</f>
        <v/>
      </c>
      <c r="Z18" s="10" t="inlineStr">
        <is>
          <t>&lt;i&gt;"[1ª parte]"&lt;/i&gt;, disse {res}. &lt;i&gt;"[2ª parte]"&lt;/i&gt; — uma fala só, partida depois de "parede".</t>
        </is>
      </c>
    </row>
    <row r="19" ht="23.85" customHeight="1" s="8">
      <c r="A19" s="10" t="inlineStr">
        <is>
          <t>c6-p4-02</t>
        </is>
      </c>
      <c r="B19" s="10" t="n">
        <v>4</v>
      </c>
      <c r="C19" s="10" t="inlineStr">
        <is>
          <t>Cap. 6: quem estava onde</t>
        </is>
      </c>
      <c r="D19" s="10" t="inlineStr">
        <is>
          <t>roteiro</t>
        </is>
      </c>
      <c r="E19" s="10" t="inlineStr">
        <is>
          <t>jardineiro</t>
        </is>
      </c>
      <c r="F19" s="10" t="inlineStr">
        <is>
          <t>grupo</t>
        </is>
      </c>
      <c r="G19" s="10" t="n"/>
      <c r="H19" s="10" t="inlineStr">
        <is>
          <t>quarto clarão</t>
        </is>
      </c>
      <c r="I19" s="10" t="inlineStr">
        <is>
          <t>coisa clara</t>
        </is>
      </c>
      <c r="J19" s="10" t="inlineStr">
        <is>
          <t>altura do pêndulo</t>
        </is>
      </c>
      <c r="K19" s="10" t="n"/>
      <c r="L19" s="10" t="n"/>
      <c r="M19" s="10" t="n"/>
      <c r="N19" s="10" t="n"/>
      <c r="O19" s="10" t="n"/>
      <c r="P19" s="10" t="n"/>
      <c r="Q19" s="10" t="n"/>
      <c r="R19" s="10" t="inlineStr">
        <is>
          <t>No quarto clarão, uma coisa clara na altura do pêndulo.</t>
        </is>
      </c>
      <c r="S19" s="13" t="inlineStr">
        <is>
          <t>No quarto clarão, uma coisa clara na altura do pêndulo! Querem que eu desenhe?</t>
        </is>
      </c>
      <c r="T19" s="13" t="inlineStr">
        <is>
          <t>No quarto clarão… uma coisa clara. Na altura do pêndulo.</t>
        </is>
      </c>
      <c r="U19" s="13" t="inlineStr">
        <is>
          <t>No quarto clarão, uma coisa clara na altura do pêndulo… não sei dizer o quê, desculpa.</t>
        </is>
      </c>
      <c r="V19" s="13" t="inlineStr">
        <is>
          <t>No quarto clarão, uma coisa clara na altura do pêndulo. Não digo mais do que vi.</t>
        </is>
      </c>
      <c r="W19" s="13" t="inlineStr">
        <is>
          <t>Com a chuva batendo, no quarto clarão, uma coisa clara na altura do pêndulo.</t>
        </is>
      </c>
      <c r="X19" s="13" t="inlineStr">
        <is>
          <t>Quarto clarão: coisa clara, altura do pêndulo.</t>
        </is>
      </c>
      <c r="Y19" s="10">
        <f>SUMPRODUCT(($H19:$Q19&lt;&gt;"")*ISERROR(SEARCH($H19:$Q19,S19)))+SUMPRODUCT(($H19:$Q19&lt;&gt;"")*ISERROR(SEARCH($H19:$Q19,T19)))+SUMPRODUCT(($H19:$Q19&lt;&gt;"")*ISERROR(SEARCH($H19:$Q19,U19)))+SUMPRODUCT(($H19:$Q19&lt;&gt;"")*ISERROR(SEARCH($H19:$Q19,V19)))+SUMPRODUCT(($H19:$Q19&lt;&gt;"")*ISERROR(SEARCH($H19:$Q19,W19)))+SUMPRODUCT(($H19:$Q19&lt;&gt;"")*ISERROR(SEARCH($H19:$Q19,X19)))</f>
        <v/>
      </c>
      <c r="Z19" s="10" t="inlineStr">
        <is>
          <t>&lt;i&gt;"…"&lt;/i&gt;, disse {jar}, da porta.</t>
        </is>
      </c>
    </row>
    <row r="20" ht="23.85" customHeight="1" s="8">
      <c r="A20" s="10" t="inlineStr">
        <is>
          <t>c6-p4-03</t>
        </is>
      </c>
      <c r="B20" s="10" t="n">
        <v>4</v>
      </c>
      <c r="C20" s="10" t="inlineStr">
        <is>
          <t>Cap. 6: quem estava onde</t>
        </is>
      </c>
      <c r="D20" s="10" t="inlineStr">
        <is>
          <t>roteiro</t>
        </is>
      </c>
      <c r="E20" s="10" t="inlineStr">
        <is>
          <t>advogado</t>
        </is>
      </c>
      <c r="F20" s="10" t="inlineStr">
        <is>
          <t>grupo</t>
        </is>
      </c>
      <c r="G20" s="10" t="n"/>
      <c r="H20" s="10" t="inlineStr">
        <is>
          <t>ouvi</t>
        </is>
      </c>
      <c r="I20" s="10" t="inlineStr">
        <is>
          <t>grito da porta</t>
        </is>
      </c>
      <c r="J20" s="10" t="n"/>
      <c r="K20" s="10" t="n"/>
      <c r="L20" s="10" t="n"/>
      <c r="M20" s="10" t="n"/>
      <c r="N20" s="10" t="n"/>
      <c r="O20" s="10" t="n"/>
      <c r="P20" s="10" t="n"/>
      <c r="Q20" s="10" t="n"/>
      <c r="R20" s="10" t="inlineStr">
        <is>
          <t>E eu ouvi o grito da porta.</t>
        </is>
      </c>
      <c r="S20" s="13" t="inlineStr">
        <is>
          <t>E eu ouvi o grito da porta. Ouvi muito bem!</t>
        </is>
      </c>
      <c r="T20" s="13" t="inlineStr">
        <is>
          <t>E eu ouvi… o grito da porta.</t>
        </is>
      </c>
      <c r="U20" s="13" t="inlineStr">
        <is>
          <t>E eu ouvi o grito da porta… isso ajuda?</t>
        </is>
      </c>
      <c r="V20" s="13" t="inlineStr">
        <is>
          <t>Eu ouvi o grito da porta.</t>
        </is>
      </c>
      <c r="W20" s="13" t="inlineStr">
        <is>
          <t>Lá fora o frio apertando… e eu ouvi o grito da porta.</t>
        </is>
      </c>
      <c r="X20" s="13" t="inlineStr">
        <is>
          <t>Anoto: ouvi o grito da porta.</t>
        </is>
      </c>
      <c r="Y20" s="10">
        <f>SUMPRODUCT(($H20:$Q20&lt;&gt;"")*ISERROR(SEARCH($H20:$Q20,S20)))+SUMPRODUCT(($H20:$Q20&lt;&gt;"")*ISERROR(SEARCH($H20:$Q20,T20)))+SUMPRODUCT(($H20:$Q20&lt;&gt;"")*ISERROR(SEARCH($H20:$Q20,U20)))+SUMPRODUCT(($H20:$Q20&lt;&gt;"")*ISERROR(SEARCH($H20:$Q20,V20)))+SUMPRODUCT(($H20:$Q20&lt;&gt;"")*ISERROR(SEARCH($H20:$Q20,W20)))+SUMPRODUCT(($H20:$Q20&lt;&gt;"")*ISERROR(SEARCH($H20:$Q20,X20)))</f>
        <v/>
      </c>
      <c r="Z20" s="10" t="inlineStr">
        <is>
          <t>&lt;i&gt;"…"&lt;/i&gt;, disse {adv}.</t>
        </is>
      </c>
    </row>
    <row r="21" ht="23.85" customHeight="1" s="8">
      <c r="A21" s="10" t="inlineStr">
        <is>
          <t>c6-p4-04</t>
        </is>
      </c>
      <c r="B21" s="10" t="n">
        <v>4</v>
      </c>
      <c r="C21" s="10" t="inlineStr">
        <is>
          <t>Cap. 6: quem estava onde</t>
        </is>
      </c>
      <c r="D21" s="10" t="inlineStr">
        <is>
          <t>roteiro</t>
        </is>
      </c>
      <c r="E21" s="10" t="inlineStr">
        <is>
          <t>governanta</t>
        </is>
      </c>
      <c r="F21" s="10" t="inlineStr">
        <is>
          <t>grupo</t>
        </is>
      </c>
      <c r="G21" s="10" t="n"/>
      <c r="H21" s="10" t="inlineStr">
        <is>
          <t>derrubei a louça</t>
        </is>
      </c>
      <c r="I21" s="10" t="inlineStr">
        <is>
          <t>oitenta</t>
        </is>
      </c>
      <c r="J21" s="10" t="inlineStr">
        <is>
          <t>procurando vela</t>
        </is>
      </c>
      <c r="K21" s="10" t="n"/>
      <c r="L21" s="10" t="n"/>
      <c r="M21" s="10" t="n"/>
      <c r="N21" s="10" t="n"/>
      <c r="O21" s="10" t="n"/>
      <c r="P21" s="10" t="n"/>
      <c r="Q21" s="10" t="n"/>
      <c r="R21" s="10" t="inlineStr">
        <is>
          <t>Derrubei a louça aos oitenta, procurando vela.</t>
        </is>
      </c>
      <c r="S21" s="13" t="inlineStr">
        <is>
          <t>Derrubei a louça aos oitenta, procurando vela. Vai virar crime agora?</t>
        </is>
      </c>
      <c r="T21" s="13" t="inlineStr">
        <is>
          <t>Derrubei a louça… aos oitenta. Procurando vela.</t>
        </is>
      </c>
      <c r="U21" s="13" t="inlineStr">
        <is>
          <t>Derrubei a louça aos oitenta, procurando vela… desculpa, foi sem querer.</t>
        </is>
      </c>
      <c r="V21" s="13" t="inlineStr">
        <is>
          <t>Derrubei a louça aos oitenta, procurando vela. Assumo.</t>
        </is>
      </c>
      <c r="W21" s="13" t="inlineStr">
        <is>
          <t>Com aquela fome… Derrubei a louça aos oitenta, procurando vela.</t>
        </is>
      </c>
      <c r="X21" s="13" t="inlineStr">
        <is>
          <t>Oitenta: derrubei a louça, procurando vela.</t>
        </is>
      </c>
      <c r="Y21" s="10">
        <f>SUMPRODUCT(($H21:$Q21&lt;&gt;"")*ISERROR(SEARCH($H21:$Q21,S21)))+SUMPRODUCT(($H21:$Q21&lt;&gt;"")*ISERROR(SEARCH($H21:$Q21,T21)))+SUMPRODUCT(($H21:$Q21&lt;&gt;"")*ISERROR(SEARCH($H21:$Q21,U21)))+SUMPRODUCT(($H21:$Q21&lt;&gt;"")*ISERROR(SEARCH($H21:$Q21,V21)))+SUMPRODUCT(($H21:$Q21&lt;&gt;"")*ISERROR(SEARCH($H21:$Q21,W21)))+SUMPRODUCT(($H21:$Q21&lt;&gt;"")*ISERROR(SEARCH($H21:$Q21,X21)))</f>
        <v/>
      </c>
      <c r="Z21" s="10" t="inlineStr">
        <is>
          <t>&lt;i&gt;"…"&lt;/i&gt;, disse {gov}.</t>
        </is>
      </c>
    </row>
    <row r="22" ht="35.05" customHeight="1" s="8">
      <c r="A22" s="10" t="inlineStr">
        <is>
          <t>c6-p4-05</t>
        </is>
      </c>
      <c r="B22" s="10" t="n">
        <v>4</v>
      </c>
      <c r="C22" s="10" t="inlineStr">
        <is>
          <t>Cap. 6: quem estava onde</t>
        </is>
      </c>
      <c r="D22" s="10" t="inlineStr">
        <is>
          <t>roteiro</t>
        </is>
      </c>
      <c r="E22" s="10" t="inlineStr">
        <is>
          <t>advogado</t>
        </is>
      </c>
      <c r="F22" s="10" t="inlineStr">
        <is>
          <t>grupo</t>
        </is>
      </c>
      <c r="G22" s="10" t="n"/>
      <c r="H22" s="10" t="inlineStr">
        <is>
          <t>raspado</t>
        </is>
      </c>
      <c r="I22" s="10" t="inlineStr">
        <is>
          <t>junto com a louça</t>
        </is>
      </c>
      <c r="J22" s="10" t="inlineStr">
        <is>
          <t>um em cima do outro</t>
        </is>
      </c>
      <c r="K22" s="10" t="n"/>
      <c r="L22" s="10" t="n"/>
      <c r="M22" s="10" t="n"/>
      <c r="N22" s="10" t="n"/>
      <c r="O22" s="10" t="n"/>
      <c r="P22" s="10" t="n"/>
      <c r="Q22" s="10" t="n"/>
      <c r="R22" s="10" t="inlineStr">
        <is>
          <t>O raspado veio junto com a louça. Um em cima do outro.</t>
        </is>
      </c>
      <c r="S22" s="13" t="inlineStr">
        <is>
          <t>O raspado veio junto com a louça! Um em cima do outro. Ninguém percebeu?</t>
        </is>
      </c>
      <c r="T22" s="13" t="inlineStr">
        <is>
          <t>O raspado… veio junto com a louça. Um em cima do outro.</t>
        </is>
      </c>
      <c r="U22" s="13" t="inlineStr">
        <is>
          <t>O raspado veio junto com a louça, não veio? Um em cima do outro, eu ouvi.</t>
        </is>
      </c>
      <c r="V22" s="13" t="inlineStr">
        <is>
          <t>O raspado veio junto com a louça. Um em cima do outro.</t>
        </is>
      </c>
      <c r="W22" s="13" t="inlineStr">
        <is>
          <t>A chuva no telhado, aquela demora… O raspado veio junto com a louça. Um em cima do outro.</t>
        </is>
      </c>
      <c r="X22" s="13" t="inlineStr">
        <is>
          <t>Simultâneo: o raspado veio junto com a louça. Um em cima do outro.</t>
        </is>
      </c>
      <c r="Y22" s="10">
        <f>SUMPRODUCT(($H22:$Q22&lt;&gt;"")*ISERROR(SEARCH($H22:$Q22,S22)))+SUMPRODUCT(($H22:$Q22&lt;&gt;"")*ISERROR(SEARCH($H22:$Q22,T22)))+SUMPRODUCT(($H22:$Q22&lt;&gt;"")*ISERROR(SEARCH($H22:$Q22,U22)))+SUMPRODUCT(($H22:$Q22&lt;&gt;"")*ISERROR(SEARCH($H22:$Q22,V22)))+SUMPRODUCT(($H22:$Q22&lt;&gt;"")*ISERROR(SEARCH($H22:$Q22,W22)))+SUMPRODUCT(($H22:$Q22&lt;&gt;"")*ISERROR(SEARCH($H22:$Q22,X22)))</f>
        <v/>
      </c>
      <c r="Z22" s="10" t="inlineStr">
        <is>
          <t>&lt;i&gt;"[1ª parte]"&lt;/i&gt;, disse {adv}. &lt;i&gt;"[2ª parte]"&lt;/i&gt; — uma fala só, partida depois de "louça".</t>
        </is>
      </c>
    </row>
    <row r="23" ht="35.05" customHeight="1" s="8">
      <c r="A23" s="10" t="inlineStr">
        <is>
          <t>c6-p4-06</t>
        </is>
      </c>
      <c r="B23" s="10" t="n">
        <v>4</v>
      </c>
      <c r="C23" s="10" t="inlineStr">
        <is>
          <t>Cap. 6: quem estava onde</t>
        </is>
      </c>
      <c r="D23" s="10" t="inlineStr">
        <is>
          <t>roteiro</t>
        </is>
      </c>
      <c r="E23" s="10" t="inlineStr">
        <is>
          <t>governanta</t>
        </is>
      </c>
      <c r="F23" s="10" t="inlineStr">
        <is>
          <t>grupo</t>
        </is>
      </c>
      <c r="G23" s="10" t="n"/>
      <c r="H23" s="10" t="inlineStr">
        <is>
          <t>{res}</t>
        </is>
      </c>
      <c r="I23" s="10" t="inlineStr">
        <is>
          <t>porta trancada</t>
        </is>
      </c>
      <c r="J23" s="10" t="inlineStr">
        <is>
          <t>terceiro e o quarto</t>
        </is>
      </c>
      <c r="K23" s="10" t="inlineStr">
        <is>
          <t>grito do porão</t>
        </is>
      </c>
      <c r="L23" s="10" t="inlineStr">
        <is>
          <t>setenta segundos</t>
        </is>
      </c>
      <c r="M23" s="10" t="n"/>
      <c r="N23" s="10" t="n"/>
      <c r="O23" s="10" t="n"/>
      <c r="P23" s="10" t="n"/>
      <c r="Q23" s="10" t="n"/>
      <c r="R23" s="10" t="inlineStr">
        <is>
          <t>Eu ouvi {res} falar com a porta trancada, entre o terceiro e o quarto. E ouvi o grito do porão, uns setenta segundos.</t>
        </is>
      </c>
      <c r="S23" s="13" t="inlineStr">
        <is>
          <t>Eu ouvi {res} falar com a porta trancada, entre o terceiro e o quarto! E ouvi o grito do porão, uns setenta segundos. Mais claro impossível.</t>
        </is>
      </c>
      <c r="T23" s="13" t="inlineStr">
        <is>
          <t>Eu ouvi {res}… falar com a porta trancada. Entre o terceiro e o quarto. E o grito do porão… uns setenta segundos.</t>
        </is>
      </c>
      <c r="U23" s="13" t="inlineStr">
        <is>
          <t>Eu ouvi {res} falar com a porta trancada, entre o terceiro e o quarto. E ouvi o grito do porão, uns setenta segundos… alguém mais ouviu?</t>
        </is>
      </c>
      <c r="V23" s="13" t="inlineStr">
        <is>
          <t>Ouvi {res} falar com a porta trancada, entre o terceiro e o quarto. E ouvi o grito do porão, uns setenta segundos.</t>
        </is>
      </c>
      <c r="W23" s="13" t="inlineStr">
        <is>
          <t>Essa chuva não para… Eu ouvi {res} falar com a porta trancada, entre o terceiro e o quarto. E ouvi o grito do porão, uns setenta segundos.</t>
        </is>
      </c>
      <c r="X23" s="13" t="inlineStr">
        <is>
          <t>Entre o terceiro e o quarto: {res} falando com a porta trancada. Uns setenta segundos: grito do porão.</t>
        </is>
      </c>
      <c r="Y23" s="10">
        <f>SUMPRODUCT(($H23:$Q23&lt;&gt;"")*ISERROR(SEARCH($H23:$Q23,S23)))+SUMPRODUCT(($H23:$Q23&lt;&gt;"")*ISERROR(SEARCH($H23:$Q23,T23)))+SUMPRODUCT(($H23:$Q23&lt;&gt;"")*ISERROR(SEARCH($H23:$Q23,U23)))+SUMPRODUCT(($H23:$Q23&lt;&gt;"")*ISERROR(SEARCH($H23:$Q23,V23)))+SUMPRODUCT(($H23:$Q23&lt;&gt;"")*ISERROR(SEARCH($H23:$Q23,W23)))+SUMPRODUCT(($H23:$Q23&lt;&gt;"")*ISERROR(SEARCH($H23:$Q23,X23)))</f>
        <v/>
      </c>
      <c r="Z23" s="10" t="inlineStr">
        <is>
          <t>&lt;i&gt;"[1ª parte]"&lt;/i&gt;, disse {gov}. &lt;i&gt;"[2ª parte]"&lt;/i&gt; — uma fala só, partida depois de "o quarto".</t>
        </is>
      </c>
    </row>
    <row r="24" ht="57.45" customHeight="1" s="8">
      <c r="A24" s="10" t="inlineStr">
        <is>
          <t>c6-p4-07</t>
        </is>
      </c>
      <c r="B24" s="10" t="n">
        <v>4</v>
      </c>
      <c r="C24" s="10" t="inlineStr">
        <is>
          <t>Cap. 6: quem estava onde</t>
        </is>
      </c>
      <c r="D24" s="10" t="inlineStr">
        <is>
          <t>roteiro</t>
        </is>
      </c>
      <c r="E24" s="10" t="inlineStr">
        <is>
          <t>tabeliao</t>
        </is>
      </c>
      <c r="F24" s="10" t="inlineStr">
        <is>
          <t>grupo</t>
        </is>
      </c>
      <c r="G24" s="10" t="n"/>
      <c r="H24" s="10" t="inlineStr">
        <is>
          <t>nós dois</t>
        </is>
      </c>
      <c r="I24" s="10" t="inlineStr">
        <is>
          <t>falamos baixo</t>
        </is>
      </c>
      <c r="J24" s="10" t="inlineStr">
        <is>
          <t>à mesa</t>
        </is>
      </c>
      <c r="K24" s="10" t="inlineStr">
        <is>
          <t>o tempo todo</t>
        </is>
      </c>
      <c r="L24" s="10" t="n"/>
      <c r="M24" s="10" t="n"/>
      <c r="N24" s="10" t="n"/>
      <c r="O24" s="10" t="n"/>
      <c r="P24" s="10" t="n"/>
      <c r="Q24" s="10" t="n"/>
      <c r="R24" s="10" t="inlineStr">
        <is>
          <t>Nós dois falamos baixo um com o outro à mesa o tempo todo.</t>
        </is>
      </c>
      <c r="S24" s="13" t="inlineStr">
        <is>
          <t>Nós dois falamos baixo um com o outro à mesa o tempo todo! O tempo todo, entendeu?</t>
        </is>
      </c>
      <c r="T24" s="13" t="inlineStr">
        <is>
          <t>Nós dois… falamos baixo. Um com o outro. À mesa… o tempo todo.</t>
        </is>
      </c>
      <c r="U24" s="13" t="inlineStr">
        <is>
          <t>Nós dois falamos baixo um com o outro à mesa o tempo todo… não foi?</t>
        </is>
      </c>
      <c r="V24" s="13" t="inlineStr">
        <is>
          <t>Nós dois falamos baixo um com o outro à mesa o tempo todo. Respondo por isso.</t>
        </is>
      </c>
      <c r="W24" s="13" t="inlineStr">
        <is>
          <t>Noite fria, a gente fala pra passar o tempo… Nós dois falamos baixo um com o outro à mesa o tempo todo.</t>
        </is>
      </c>
      <c r="X24" s="13" t="inlineStr">
        <is>
          <t>Consta: nós dois falamos baixo um com o outro à mesa o tempo todo.</t>
        </is>
      </c>
      <c r="Y24" s="10">
        <f>SUMPRODUCT(($H24:$Q24&lt;&gt;"")*ISERROR(SEARCH($H24:$Q24,S24)))+SUMPRODUCT(($H24:$Q24&lt;&gt;"")*ISERROR(SEARCH($H24:$Q24,T24)))+SUMPRODUCT(($H24:$Q24&lt;&gt;"")*ISERROR(SEARCH($H24:$Q24,U24)))+SUMPRODUCT(($H24:$Q24&lt;&gt;"")*ISERROR(SEARCH($H24:$Q24,V24)))+SUMPRODUCT(($H24:$Q24&lt;&gt;"")*ISERROR(SEARCH($H24:$Q24,W24)))+SUMPRODUCT(($H24:$Q24&lt;&gt;"")*ISERROR(SEARCH($H24:$Q24,X24)))</f>
        <v/>
      </c>
      <c r="Z24" s="10" t="inlineStr">
        <is>
          <t>&lt;i&gt;"…"&lt;/i&gt;, disse {tab}, e {obs} confirmou. O farol tinha visto um vulto de lã escura parado na varanda, e alguém na janela do corredor. ("nós dois" = tabelião e observadora)</t>
        </is>
      </c>
    </row>
    <row r="25" ht="23.85" customHeight="1" s="8">
      <c r="A25" s="10" t="inlineStr">
        <is>
          <t>c6-p4-08</t>
        </is>
      </c>
      <c r="B25" s="10" t="n">
        <v>4</v>
      </c>
      <c r="C25" s="10" t="inlineStr">
        <is>
          <t>Cap. 6: quem estava onde</t>
        </is>
      </c>
      <c r="D25" s="10" t="inlineStr">
        <is>
          <t>roteiro</t>
        </is>
      </c>
      <c r="E25" s="10" t="inlineStr">
        <is>
          <t>observadora</t>
        </is>
      </c>
      <c r="F25" s="10" t="inlineStr">
        <is>
          <t>chefe_de_cozinha</t>
        </is>
      </c>
      <c r="G25" s="10" t="n"/>
      <c r="H25" s="10" t="inlineStr">
        <is>
          <t>teia no cabelo</t>
        </is>
      </c>
      <c r="I25" s="10" t="inlineStr">
        <is>
          <t>teia de passagem</t>
        </is>
      </c>
      <c r="J25" s="10" t="n"/>
      <c r="K25" s="10" t="n"/>
      <c r="L25" s="10" t="n"/>
      <c r="M25" s="10" t="n"/>
      <c r="N25" s="10" t="n"/>
      <c r="O25" s="10" t="n"/>
      <c r="P25" s="10" t="n"/>
      <c r="Q25" s="10" t="n"/>
      <c r="R25" s="10" t="inlineStr">
        <is>
          <t>Tem teia no seu cabelo. Teia de passagem.</t>
        </is>
      </c>
      <c r="S25" s="13" t="inlineStr">
        <is>
          <t>Tem teia no seu cabelo! Teia de passagem. Bonito, hein.</t>
        </is>
      </c>
      <c r="T25" s="13" t="inlineStr">
        <is>
          <t>Teia… no seu cabelo. Teia de passagem.</t>
        </is>
      </c>
      <c r="U25" s="13" t="inlineStr">
        <is>
          <t>Tem teia no seu cabelo, sabia? Teia de passagem…</t>
        </is>
      </c>
      <c r="V25" s="13" t="inlineStr">
        <is>
          <t>Tem teia no seu cabelo. Teia de passagem. Só digo o que vejo.</t>
        </is>
      </c>
      <c r="W25" s="13" t="inlineStr">
        <is>
          <t>Que noite comprida… Tem teia no seu cabelo. Teia de passagem.</t>
        </is>
      </c>
      <c r="X25" s="13" t="inlineStr">
        <is>
          <t>Observação: tem teia no seu cabelo. Teia de passagem.</t>
        </is>
      </c>
      <c r="Y25" s="10">
        <f>SUMPRODUCT(($H25:$Q25&lt;&gt;"")*ISERROR(SEARCH($H25:$Q25,S25)))+SUMPRODUCT(($H25:$Q25&lt;&gt;"")*ISERROR(SEARCH($H25:$Q25,T25)))+SUMPRODUCT(($H25:$Q25&lt;&gt;"")*ISERROR(SEARCH($H25:$Q25,U25)))+SUMPRODUCT(($H25:$Q25&lt;&gt;"")*ISERROR(SEARCH($H25:$Q25,V25)))+SUMPRODUCT(($H25:$Q25&lt;&gt;"")*ISERROR(SEARCH($H25:$Q25,W25)))+SUMPRODUCT(($H25:$Q25&lt;&gt;"")*ISERROR(SEARCH($H25:$Q25,X25)))</f>
        <v/>
      </c>
      <c r="Z25" s="10" t="inlineStr">
        <is>
          <t>{Obs} olhou para {che}: &lt;i&gt;"…"&lt;/i&gt;</t>
        </is>
      </c>
    </row>
    <row r="26" ht="57.45" customHeight="1" s="8">
      <c r="A26" s="10" t="inlineStr">
        <is>
          <t>c6-p4-09</t>
        </is>
      </c>
      <c r="B26" s="10" t="n">
        <v>4</v>
      </c>
      <c r="C26" s="10" t="inlineStr">
        <is>
          <t>Cap. 6: quem estava onde</t>
        </is>
      </c>
      <c r="D26" s="10" t="inlineStr">
        <is>
          <t>roteiro</t>
        </is>
      </c>
      <c r="E26" s="10" t="inlineStr">
        <is>
          <t>chefe_de_cozinha</t>
        </is>
      </c>
      <c r="F26" s="10" t="inlineStr">
        <is>
          <t>observadora</t>
        </is>
      </c>
      <c r="G26" s="10" t="n"/>
      <c r="H26" s="10" t="inlineStr">
        <is>
          <t>de despensa</t>
        </is>
      </c>
      <c r="I26" s="10" t="n"/>
      <c r="J26" s="10" t="n"/>
      <c r="K26" s="10" t="n"/>
      <c r="L26" s="10" t="n"/>
      <c r="M26" s="10" t="n"/>
      <c r="N26" s="10" t="n"/>
      <c r="O26" s="10" t="n"/>
      <c r="P26" s="10" t="n"/>
      <c r="Q26" s="10" t="n"/>
      <c r="R26" s="10" t="inlineStr">
        <is>
          <t>De despensa.</t>
        </is>
      </c>
      <c r="S26" s="13" t="inlineStr">
        <is>
          <t>De despensa!</t>
        </is>
      </c>
      <c r="T26" s="13" t="inlineStr">
        <is>
          <t>… De despensa.</t>
        </is>
      </c>
      <c r="U26" s="13" t="inlineStr">
        <is>
          <t>De despensa…</t>
        </is>
      </c>
      <c r="V26" s="13" t="inlineStr">
        <is>
          <t>De despensa.</t>
        </is>
      </c>
      <c r="W26" s="13" t="inlineStr">
        <is>
          <t>Ah… de despensa.</t>
        </is>
      </c>
      <c r="X26" s="13" t="inlineStr">
        <is>
          <t>De despensa.</t>
        </is>
      </c>
      <c r="Y26" s="10">
        <f>SUMPRODUCT(($H26:$Q26&lt;&gt;"")*ISERROR(SEARCH($H26:$Q26,S26)))+SUMPRODUCT(($H26:$Q26&lt;&gt;"")*ISERROR(SEARCH($H26:$Q26,T26)))+SUMPRODUCT(($H26:$Q26&lt;&gt;"")*ISERROR(SEARCH($H26:$Q26,U26)))+SUMPRODUCT(($H26:$Q26&lt;&gt;"")*ISERROR(SEARCH($H26:$Q26,V26)))+SUMPRODUCT(($H26:$Q26&lt;&gt;"")*ISERROR(SEARCH($H26:$Q26,W26)))+SUMPRODUCT(($H26:$Q26&lt;&gt;"")*ISERROR(SEARCH($H26:$Q26,X26)))</f>
        <v/>
      </c>
      <c r="Z26" s="10" t="inlineStr">
        <is>
          <t>Fala sem "disse" no original, logo após a da observadora: &lt;i&gt;"…"&lt;/i&gt;. Lida como réplica do chefe de cozinha (ATRIBUIÇÃO A CONFIRMAR: pode ser a própria observadora completando).</t>
        </is>
      </c>
    </row>
    <row r="27" ht="35.05" customHeight="1" s="8">
      <c r="A27" s="10" t="inlineStr">
        <is>
          <t>c6-p5-01</t>
        </is>
      </c>
      <c r="B27" s="10" t="n">
        <v>5</v>
      </c>
      <c r="C27" s="10" t="inlineStr">
        <is>
          <t>Cap. 6: quem estava onde</t>
        </is>
      </c>
      <c r="D27" s="10" t="inlineStr">
        <is>
          <t>roteiro</t>
        </is>
      </c>
      <c r="E27" s="10" t="inlineStr">
        <is>
          <t>jornalista</t>
        </is>
      </c>
      <c r="F27" s="10" t="inlineStr">
        <is>
          <t>grupo</t>
        </is>
      </c>
      <c r="G27" s="10" t="n"/>
      <c r="H27" s="10" t="inlineStr">
        <is>
          <t>cinquenta e cinco</t>
        </is>
      </c>
      <c r="I27" s="10" t="inlineStr">
        <is>
          <t>luzinha verde</t>
        </is>
      </c>
      <c r="J27" s="10" t="inlineStr">
        <is>
          <t>fundo do corredor</t>
        </is>
      </c>
      <c r="K27" s="10" t="inlineStr">
        <is>
          <t>entrou na biblioteca</t>
        </is>
      </c>
      <c r="L27" s="10" t="n"/>
      <c r="M27" s="10" t="n"/>
      <c r="N27" s="10" t="n"/>
      <c r="O27" s="10" t="n"/>
      <c r="P27" s="10" t="n"/>
      <c r="Q27" s="10" t="n"/>
      <c r="R27" s="10" t="inlineStr">
        <is>
          <t>Aos cinquenta e cinco, uma luzinha verde andou do fundo do corredor e entrou na biblioteca.</t>
        </is>
      </c>
      <c r="S27" s="13" t="inlineStr">
        <is>
          <t>Aos cinquenta e cinco, uma luzinha verde andou do fundo do corredor e entrou na biblioteca! Eu vi, não inventei.</t>
        </is>
      </c>
      <c r="T27" s="13" t="inlineStr">
        <is>
          <t>Aos cinquenta e cinco… uma luzinha verde. Andou do fundo do corredor… entrou na biblioteca.</t>
        </is>
      </c>
      <c r="U27" s="13" t="inlineStr">
        <is>
          <t>Aos cinquenta e cinco, uma luzinha verde andou do fundo do corredor e entrou na biblioteca… mais alguém viu?</t>
        </is>
      </c>
      <c r="V27" s="13" t="inlineStr">
        <is>
          <t>Aos cinquenta e cinco, uma luzinha verde andou do fundo do corredor e entrou na biblioteca. Eu vi.</t>
        </is>
      </c>
      <c r="W27" s="13" t="inlineStr">
        <is>
          <t>Que demora, essa noite. Aos cinquenta e cinco, uma luzinha verde andou do fundo do corredor e entrou na biblioteca.</t>
        </is>
      </c>
      <c r="X27" s="13" t="inlineStr">
        <is>
          <t>Cinquenta e cinco: luzinha verde, do fundo do corredor, entrou na biblioteca.</t>
        </is>
      </c>
      <c r="Y27" s="10">
        <f>SUMPRODUCT(($H27:$Q27&lt;&gt;"")*ISERROR(SEARCH($H27:$Q27,S27)))+SUMPRODUCT(($H27:$Q27&lt;&gt;"")*ISERROR(SEARCH($H27:$Q27,T27)))+SUMPRODUCT(($H27:$Q27&lt;&gt;"")*ISERROR(SEARCH($H27:$Q27,U27)))+SUMPRODUCT(($H27:$Q27&lt;&gt;"")*ISERROR(SEARCH($H27:$Q27,V27)))+SUMPRODUCT(($H27:$Q27&lt;&gt;"")*ISERROR(SEARCH($H27:$Q27,W27)))+SUMPRODUCT(($H27:$Q27&lt;&gt;"")*ISERROR(SEARCH($H27:$Q27,X27)))</f>
        <v/>
      </c>
      <c r="Z27" s="10" t="inlineStr">
        <is>
          <t>&lt;i&gt;"…"&lt;/i&gt;, disse {jor}, do patamar.</t>
        </is>
      </c>
    </row>
    <row r="28" ht="35.05" customHeight="1" s="8">
      <c r="A28" s="10" t="inlineStr">
        <is>
          <t>c6-p5-02</t>
        </is>
      </c>
      <c r="B28" s="10" t="n">
        <v>5</v>
      </c>
      <c r="C28" s="10" t="inlineStr">
        <is>
          <t>Cap. 6: quem estava onde</t>
        </is>
      </c>
      <c r="D28" s="10" t="inlineStr">
        <is>
          <t>roteiro</t>
        </is>
      </c>
      <c r="E28" s="10" t="inlineStr">
        <is>
          <t>investigador</t>
        </is>
      </c>
      <c r="F28" s="10" t="inlineStr">
        <is>
          <t>grupo</t>
        </is>
      </c>
      <c r="G28" s="10" t="n"/>
      <c r="H28" s="10" t="inlineStr">
        <is>
          <t>degrau da biblioteca</t>
        </is>
      </c>
      <c r="I28" s="10" t="inlineStr">
        <is>
          <t>sessenta e dois</t>
        </is>
      </c>
      <c r="J28" s="10" t="inlineStr">
        <is>
          <t>cento e doze</t>
        </is>
      </c>
      <c r="K28" s="10" t="n"/>
      <c r="L28" s="10" t="n"/>
      <c r="M28" s="10" t="n"/>
      <c r="N28" s="10" t="n"/>
      <c r="O28" s="10" t="n"/>
      <c r="P28" s="10" t="n"/>
      <c r="Q28" s="10" t="n"/>
      <c r="R28" s="10" t="inlineStr">
        <is>
          <t>O degrau da biblioteca rangeu aos sessenta e dois e aos cento e doze.</t>
        </is>
      </c>
      <c r="S28" s="13" t="inlineStr">
        <is>
          <t>O degrau da biblioteca rangeu aos sessenta e dois e aos cento e doze! Duas vezes.</t>
        </is>
      </c>
      <c r="T28" s="13" t="inlineStr">
        <is>
          <t>O degrau da biblioteca… rangeu aos sessenta e dois. E aos cento e doze.</t>
        </is>
      </c>
      <c r="U28" s="13" t="inlineStr">
        <is>
          <t>O degrau da biblioteca rangeu aos sessenta e dois e aos cento e doze. Ouvi direito, não ouvi?</t>
        </is>
      </c>
      <c r="V28" s="13" t="inlineStr">
        <is>
          <t>O degrau da biblioteca rangeu aos sessenta e dois e aos cento e doze.</t>
        </is>
      </c>
      <c r="W28" s="13" t="inlineStr">
        <is>
          <t>Esse frio não cansa de entrar… O degrau da biblioteca rangeu aos sessenta e dois e aos cento e doze.</t>
        </is>
      </c>
      <c r="X28" s="13" t="inlineStr">
        <is>
          <t>Sessenta e dois e cento e doze: rangido do degrau da biblioteca.</t>
        </is>
      </c>
      <c r="Y28" s="10">
        <f>SUMPRODUCT(($H28:$Q28&lt;&gt;"")*ISERROR(SEARCH($H28:$Q28,S28)))+SUMPRODUCT(($H28:$Q28&lt;&gt;"")*ISERROR(SEARCH($H28:$Q28,T28)))+SUMPRODUCT(($H28:$Q28&lt;&gt;"")*ISERROR(SEARCH($H28:$Q28,U28)))+SUMPRODUCT(($H28:$Q28&lt;&gt;"")*ISERROR(SEARCH($H28:$Q28,V28)))+SUMPRODUCT(($H28:$Q28&lt;&gt;"")*ISERROR(SEARCH($H28:$Q28,W28)))+SUMPRODUCT(($H28:$Q28&lt;&gt;"")*ISERROR(SEARCH($H28:$Q28,X28)))</f>
        <v/>
      </c>
      <c r="Z28" s="10" t="inlineStr">
        <is>
          <t>&lt;i&gt;"…"&lt;/i&gt;, disse {inv}, da porta. (Segue-se a fala seguinte, do mesmo falante, em aspas separadas.)</t>
        </is>
      </c>
    </row>
    <row r="29" ht="46.25" customHeight="1" s="8">
      <c r="A29" s="10" t="inlineStr">
        <is>
          <t>c6-p5-03</t>
        </is>
      </c>
      <c r="B29" s="10" t="n">
        <v>5</v>
      </c>
      <c r="C29" s="10" t="inlineStr">
        <is>
          <t>Cap. 6: quem estava onde</t>
        </is>
      </c>
      <c r="D29" s="10" t="inlineStr">
        <is>
          <t>roteiro</t>
        </is>
      </c>
      <c r="E29" s="10" t="inlineStr">
        <is>
          <t>investigador</t>
        </is>
      </c>
      <c r="F29" s="10" t="inlineStr">
        <is>
          <t>grupo</t>
        </is>
      </c>
      <c r="G29" s="10" t="n"/>
      <c r="H29" s="10" t="inlineStr">
        <is>
          <t>quarto clarão</t>
        </is>
      </c>
      <c r="I29" s="10" t="inlineStr">
        <is>
          <t>junto ao pêndulo</t>
        </is>
      </c>
      <c r="J29" s="10" t="inlineStr">
        <is>
          <t>punho cinza</t>
        </is>
      </c>
      <c r="K29" s="10" t="inlineStr">
        <is>
          <t>sem brilho nenhum</t>
        </is>
      </c>
      <c r="L29" s="10" t="inlineStr">
        <is>
          <t>porta de correr</t>
        </is>
      </c>
      <c r="M29" s="10" t="inlineStr">
        <is>
          <t>aberta</t>
        </is>
      </c>
      <c r="N29" s="10" t="inlineStr">
        <is>
          <t>{tab} {g:tab:sentada|sentado} à mesa</t>
        </is>
      </c>
      <c r="O29" s="10" t="inlineStr">
        <is>
          <t>abotoadura brilhando</t>
        </is>
      </c>
      <c r="P29" s="10" t="n"/>
      <c r="Q29" s="10" t="n"/>
      <c r="R29" s="10" t="inlineStr">
        <is>
          <t>E no quarto clarão, junto ao pêndulo, um punho cinza. Sem brilho nenhum. Pela porta de correr, aberta, vi {tab} {g:tab:sentada|sentado} à mesa, com a abotoadura brilhando.</t>
        </is>
      </c>
      <c r="S29" s="13" t="inlineStr">
        <is>
          <t>E no quarto clarão, junto ao pêndulo, um punho cinza. Sem brilho nenhum! E pela porta de correr, aberta, vi {tab} {g:tab:sentada|sentado} à mesa, com a abotoadura brilhando.</t>
        </is>
      </c>
      <c r="T29" s="13" t="inlineStr">
        <is>
          <t>No quarto clarão… junto ao pêndulo, um punho cinza. Sem brilho nenhum. Pela porta de correr… aberta… {tab} {g:tab:sentada|sentado} à mesa. A abotoadura brilhando.</t>
        </is>
      </c>
      <c r="U29" s="13" t="inlineStr">
        <is>
          <t>E no quarto clarão, junto ao pêndulo, um punho cinza. Sem brilho nenhum. Pela porta de correr, aberta, vi {tab} {g:tab:sentada|sentado} à mesa, com a abotoadura brilhando… faz sentido?</t>
        </is>
      </c>
      <c r="V29" s="13" t="inlineStr">
        <is>
          <t>No quarto clarão, junto ao pêndulo, um punho cinza. Sem brilho nenhum. Pela porta de correr, aberta, vi {tab} {g:tab:sentada|sentado} à mesa, com a abotoadura brilhando.</t>
        </is>
      </c>
      <c r="W29" s="13" t="inlineStr">
        <is>
          <t>E no quarto clarão, junto ao pêndulo, um punho cinza. Sem brilho nenhum. Fazia um frio… Pela porta de correr, aberta, vi {tab} {g:tab:sentada|sentado} à mesa, com a abotoadura brilhando.</t>
        </is>
      </c>
      <c r="X29" s="13" t="inlineStr">
        <is>
          <t>Quarto clarão, junto ao pêndulo: punho cinza, sem brilho nenhum. Pela porta de correr, aberta: {tab} {g:tab:sentada|sentado} à mesa, abotoadura brilhando.</t>
        </is>
      </c>
      <c r="Y29" s="10">
        <f>SUMPRODUCT(($H29:$Q29&lt;&gt;"")*ISERROR(SEARCH($H29:$Q29,S29)))+SUMPRODUCT(($H29:$Q29&lt;&gt;"")*ISERROR(SEARCH($H29:$Q29,T29)))+SUMPRODUCT(($H29:$Q29&lt;&gt;"")*ISERROR(SEARCH($H29:$Q29,U29)))+SUMPRODUCT(($H29:$Q29&lt;&gt;"")*ISERROR(SEARCH($H29:$Q29,V29)))+SUMPRODUCT(($H29:$Q29&lt;&gt;"")*ISERROR(SEARCH($H29:$Q29,W29)))+SUMPRODUCT(($H29:$Q29&lt;&gt;"")*ISERROR(SEARCH($H29:$Q29,X29)))</f>
        <v/>
      </c>
      <c r="Z29" s="10" t="inlineStr">
        <is>
          <t>Continuação do investigador, em aspas próprias logo após a fala anterior: &lt;i&gt;"…"&lt;/i&gt;</t>
        </is>
      </c>
    </row>
    <row r="30" ht="35.05" customHeight="1" s="8">
      <c r="A30" s="10" t="inlineStr">
        <is>
          <t>c6-p5-04</t>
        </is>
      </c>
      <c r="B30" s="10" t="n">
        <v>5</v>
      </c>
      <c r="C30" s="10" t="inlineStr">
        <is>
          <t>Cap. 6: quem estava onde</t>
        </is>
      </c>
      <c r="D30" s="10" t="inlineStr">
        <is>
          <t>roteiro</t>
        </is>
      </c>
      <c r="E30" s="10" t="inlineStr">
        <is>
          <t>tabeliao</t>
        </is>
      </c>
      <c r="F30" s="10" t="inlineStr">
        <is>
          <t>grupo</t>
        </is>
      </c>
      <c r="G30" s="10" t="n"/>
      <c r="H30" s="10" t="inlineStr">
        <is>
          <t>biblioteca</t>
        </is>
      </c>
      <c r="I30" s="10" t="inlineStr">
        <is>
          <t>ninguém se mexeu</t>
        </is>
      </c>
      <c r="J30" s="10" t="inlineStr">
        <is>
          <t>ata</t>
        </is>
      </c>
      <c r="K30" s="10" t="n"/>
      <c r="L30" s="10" t="n"/>
      <c r="M30" s="10" t="n"/>
      <c r="N30" s="10" t="n"/>
      <c r="O30" s="10" t="n"/>
      <c r="P30" s="10" t="n"/>
      <c r="Q30" s="10" t="n"/>
      <c r="R30" s="10" t="inlineStr">
        <is>
          <t>Na biblioteca ninguém se mexeu. Está na ata.</t>
        </is>
      </c>
      <c r="S30" s="13" t="inlineStr">
        <is>
          <t>Na biblioteca ninguém se mexeu! Está na ata.</t>
        </is>
      </c>
      <c r="T30" s="13" t="inlineStr">
        <is>
          <t>Na biblioteca… ninguém se mexeu. Está na ata.</t>
        </is>
      </c>
      <c r="U30" s="13" t="inlineStr">
        <is>
          <t>Na biblioteca ninguém se mexeu… está na ata, podem ver.</t>
        </is>
      </c>
      <c r="V30" s="13" t="inlineStr">
        <is>
          <t>Na biblioteca ninguém se mexeu. Está na ata. Assino embaixo.</t>
        </is>
      </c>
      <c r="W30" s="13" t="inlineStr">
        <is>
          <t>Noite longa, essa… Na biblioteca ninguém se mexeu. Está na ata.</t>
        </is>
      </c>
      <c r="X30" s="13" t="inlineStr">
        <is>
          <t>Consta: na biblioteca ninguém se mexeu. Está na ata.</t>
        </is>
      </c>
      <c r="Y30" s="10">
        <f>SUMPRODUCT(($H30:$Q30&lt;&gt;"")*ISERROR(SEARCH($H30:$Q30,S30)))+SUMPRODUCT(($H30:$Q30&lt;&gt;"")*ISERROR(SEARCH($H30:$Q30,T30)))+SUMPRODUCT(($H30:$Q30&lt;&gt;"")*ISERROR(SEARCH($H30:$Q30,U30)))+SUMPRODUCT(($H30:$Q30&lt;&gt;"")*ISERROR(SEARCH($H30:$Q30,V30)))+SUMPRODUCT(($H30:$Q30&lt;&gt;"")*ISERROR(SEARCH($H30:$Q30,W30)))+SUMPRODUCT(($H30:$Q30&lt;&gt;"")*ISERROR(SEARCH($H30:$Q30,X30)))</f>
        <v/>
      </c>
      <c r="Z30" s="10" t="inlineStr">
        <is>
          <t>&lt;i&gt;"[1ª parte]"&lt;/i&gt;, disse {tab}. &lt;i&gt;"[2ª parte]"&lt;/i&gt; — uma fala só, partida depois de "mexeu".</t>
        </is>
      </c>
    </row>
    <row r="31" ht="57.45" customHeight="1" s="8">
      <c r="A31" s="10" t="inlineStr">
        <is>
          <t>c6-p5-05</t>
        </is>
      </c>
      <c r="B31" s="10" t="n">
        <v>5</v>
      </c>
      <c r="C31" s="10" t="inlineStr">
        <is>
          <t>Cap. 6: quem estava onde</t>
        </is>
      </c>
      <c r="D31" s="10" t="inlineStr">
        <is>
          <t>roteiro</t>
        </is>
      </c>
      <c r="E31" s="10" t="inlineStr">
        <is>
          <t>investigador</t>
        </is>
      </c>
      <c r="F31" s="10" t="inlineStr">
        <is>
          <t>tabeliao</t>
        </is>
      </c>
      <c r="G31" s="10" t="n"/>
      <c r="H31" s="10" t="inlineStr">
        <is>
          <t>você escreveu</t>
        </is>
      </c>
      <c r="I31" s="10" t="inlineStr">
        <is>
          <t>antes de alguém perguntar</t>
        </is>
      </c>
      <c r="J31" s="10" t="n"/>
      <c r="K31" s="10" t="n"/>
      <c r="L31" s="10" t="n"/>
      <c r="M31" s="10" t="n"/>
      <c r="N31" s="10" t="n"/>
      <c r="O31" s="10" t="n"/>
      <c r="P31" s="10" t="n"/>
      <c r="Q31" s="10" t="n"/>
      <c r="R31" s="10" t="inlineStr">
        <is>
          <t>Você escreveu isso antes de alguém perguntar.</t>
        </is>
      </c>
      <c r="S31" s="13" t="inlineStr">
        <is>
          <t>Você escreveu isso antes de alguém perguntar! Que pressa, hein.</t>
        </is>
      </c>
      <c r="T31" s="13" t="inlineStr">
        <is>
          <t>Você escreveu isso… antes de alguém perguntar.</t>
        </is>
      </c>
      <c r="U31" s="13" t="inlineStr">
        <is>
          <t>Mas você escreveu isso antes de alguém perguntar… por quê?</t>
        </is>
      </c>
      <c r="V31" s="13" t="inlineStr">
        <is>
          <t>Você escreveu isso antes de alguém perguntar. Só constato.</t>
        </is>
      </c>
      <c r="W31" s="13" t="inlineStr">
        <is>
          <t>Essa demora toda… Você escreveu isso antes de alguém perguntar.</t>
        </is>
      </c>
      <c r="X31" s="13" t="inlineStr">
        <is>
          <t>Observo: você escreveu isso antes de alguém perguntar.</t>
        </is>
      </c>
      <c r="Y31" s="10">
        <f>SUMPRODUCT(($H31:$Q31&lt;&gt;"")*ISERROR(SEARCH($H31:$Q31,S31)))+SUMPRODUCT(($H31:$Q31&lt;&gt;"")*ISERROR(SEARCH($H31:$Q31,T31)))+SUMPRODUCT(($H31:$Q31&lt;&gt;"")*ISERROR(SEARCH($H31:$Q31,U31)))+SUMPRODUCT(($H31:$Q31&lt;&gt;"")*ISERROR(SEARCH($H31:$Q31,V31)))+SUMPRODUCT(($H31:$Q31&lt;&gt;"")*ISERROR(SEARCH($H31:$Q31,W31)))+SUMPRODUCT(($H31:$Q31&lt;&gt;"")*ISERROR(SEARCH($H31:$Q31,X31)))</f>
        <v/>
      </c>
      <c r="Z31" s="10" t="inlineStr">
        <is>
          <t>Fala sem "disse" no original, logo após a do tabelião: &lt;i&gt;"…"&lt;/i&gt;. ATRIBUÍDA ao investigador por dedução (ver ev "depois": ata escrita sem ninguém perguntar); confirmar.</t>
        </is>
      </c>
    </row>
    <row r="32" ht="23.85" customHeight="1" s="8">
      <c r="A32" s="10" t="inlineStr">
        <is>
          <t>c6-p5-06</t>
        </is>
      </c>
      <c r="B32" s="10" t="n">
        <v>5</v>
      </c>
      <c r="C32" s="10" t="inlineStr">
        <is>
          <t>Cap. 6: quem estava onde</t>
        </is>
      </c>
      <c r="D32" s="10" t="inlineStr">
        <is>
          <t>roteiro</t>
        </is>
      </c>
      <c r="E32" s="10" t="inlineStr">
        <is>
          <t>observadora</t>
        </is>
      </c>
      <c r="F32" s="10" t="inlineStr">
        <is>
          <t>grupo</t>
        </is>
      </c>
      <c r="G32" s="10" t="n"/>
      <c r="H32" s="10" t="inlineStr">
        <is>
          <t>{res}</t>
        </is>
      </c>
      <c r="I32" s="10" t="inlineStr">
        <is>
          <t>bater</t>
        </is>
      </c>
      <c r="J32" s="10" t="inlineStr">
        <is>
          <t>porta do quarto</t>
        </is>
      </c>
      <c r="K32" s="10" t="inlineStr">
        <is>
          <t>terceiro e o quarto</t>
        </is>
      </c>
      <c r="L32" s="10" t="n"/>
      <c r="M32" s="10" t="n"/>
      <c r="N32" s="10" t="n"/>
      <c r="O32" s="10" t="n"/>
      <c r="P32" s="10" t="n"/>
      <c r="Q32" s="10" t="n"/>
      <c r="R32" s="10" t="inlineStr">
        <is>
          <t>Ouvi {res} bater na porta do quarto, entre o terceiro e o quarto.</t>
        </is>
      </c>
      <c r="S32" s="13" t="inlineStr">
        <is>
          <t>Ouvi {res} bater na porta do quarto, entre o terceiro e o quarto! Ouvi direitinho.</t>
        </is>
      </c>
      <c r="T32" s="13" t="inlineStr">
        <is>
          <t>Ouvi {res}… bater na porta do quarto. Entre o terceiro e o quarto.</t>
        </is>
      </c>
      <c r="U32" s="13" t="inlineStr">
        <is>
          <t>Eu ouvi {res} bater na porta do quarto, entre o terceiro e o quarto… isso conta?</t>
        </is>
      </c>
      <c r="V32" s="13" t="inlineStr">
        <is>
          <t>Ouvi {res} bater na porta do quarto, entre o terceiro e o quarto.</t>
        </is>
      </c>
      <c r="W32" s="13" t="inlineStr">
        <is>
          <t>A fome, a espera… Ouvi {res} bater na porta do quarto, entre o terceiro e o quarto.</t>
        </is>
      </c>
      <c r="X32" s="13" t="inlineStr">
        <is>
          <t>Entre o terceiro e o quarto, ouvi {res} bater na porta do quarto.</t>
        </is>
      </c>
      <c r="Y32" s="10">
        <f>SUMPRODUCT(($H32:$Q32&lt;&gt;"")*ISERROR(SEARCH($H32:$Q32,S32)))+SUMPRODUCT(($H32:$Q32&lt;&gt;"")*ISERROR(SEARCH($H32:$Q32,T32)))+SUMPRODUCT(($H32:$Q32&lt;&gt;"")*ISERROR(SEARCH($H32:$Q32,U32)))+SUMPRODUCT(($H32:$Q32&lt;&gt;"")*ISERROR(SEARCH($H32:$Q32,V32)))+SUMPRODUCT(($H32:$Q32&lt;&gt;"")*ISERROR(SEARCH($H32:$Q32,W32)))+SUMPRODUCT(($H32:$Q32&lt;&gt;"")*ISERROR(SEARCH($H32:$Q32,X32)))</f>
        <v/>
      </c>
      <c r="Z32" s="10" t="inlineStr">
        <is>
          <t>&lt;i&gt;"…"&lt;/i&gt;, disse {obs}, do fogão.</t>
        </is>
      </c>
    </row>
    <row r="33" ht="35.05" customHeight="1" s="8">
      <c r="A33" s="10" t="inlineStr">
        <is>
          <t>c6-p5-07</t>
        </is>
      </c>
      <c r="B33" s="10" t="n">
        <v>5</v>
      </c>
      <c r="C33" s="10" t="inlineStr">
        <is>
          <t>Cap. 6: quem estava onde</t>
        </is>
      </c>
      <c r="D33" s="10" t="inlineStr">
        <is>
          <t>roteiro</t>
        </is>
      </c>
      <c r="E33" s="10" t="inlineStr">
        <is>
          <t>jornalista</t>
        </is>
      </c>
      <c r="F33" s="10" t="inlineStr">
        <is>
          <t>grupo</t>
        </is>
      </c>
      <c r="G33" s="10" t="n"/>
      <c r="H33" s="10" t="inlineStr">
        <is>
          <t>patamar</t>
        </is>
      </c>
      <c r="I33" s="10" t="inlineStr">
        <is>
          <t>tela acesa</t>
        </is>
      </c>
      <c r="J33" s="10" t="inlineStr">
        <is>
          <t>parada</t>
        </is>
      </c>
      <c r="K33" s="10" t="inlineStr">
        <is>
          <t>porta da sala</t>
        </is>
      </c>
      <c r="L33" s="10" t="inlineStr">
        <is>
          <t>o tempo todo</t>
        </is>
      </c>
      <c r="M33" s="10" t="n"/>
      <c r="N33" s="10" t="n"/>
      <c r="O33" s="10" t="n"/>
      <c r="P33" s="10" t="n"/>
      <c r="Q33" s="10" t="n"/>
      <c r="R33" s="10" t="inlineStr">
        <is>
          <t>E eu via, do patamar, uma tela acesa parada na porta da sala, o tempo todo.</t>
        </is>
      </c>
      <c r="S33" s="13" t="inlineStr">
        <is>
          <t>E eu via, do patamar, uma tela acesa parada na porta da sala! O tempo todo.</t>
        </is>
      </c>
      <c r="T33" s="13" t="inlineStr">
        <is>
          <t>E eu via… do patamar. Uma tela acesa, parada na porta da sala. O tempo todo.</t>
        </is>
      </c>
      <c r="U33" s="13" t="inlineStr">
        <is>
          <t>E eu via, do patamar, uma tela acesa parada na porta da sala, o tempo todo… isso é importante?</t>
        </is>
      </c>
      <c r="V33" s="13" t="inlineStr">
        <is>
          <t>Do patamar, eu via uma tela acesa parada na porta da sala, o tempo todo.</t>
        </is>
      </c>
      <c r="W33" s="13" t="inlineStr">
        <is>
          <t>Lá do patamar, com esse frio… eu via uma tela acesa parada na porta da sala, o tempo todo.</t>
        </is>
      </c>
      <c r="X33" s="13" t="inlineStr">
        <is>
          <t>Do patamar: tela acesa, parada na porta da sala, o tempo todo.</t>
        </is>
      </c>
      <c r="Y33" s="10">
        <f>SUMPRODUCT(($H33:$Q33&lt;&gt;"")*ISERROR(SEARCH($H33:$Q33,S33)))+SUMPRODUCT(($H33:$Q33&lt;&gt;"")*ISERROR(SEARCH($H33:$Q33,T33)))+SUMPRODUCT(($H33:$Q33&lt;&gt;"")*ISERROR(SEARCH($H33:$Q33,U33)))+SUMPRODUCT(($H33:$Q33&lt;&gt;"")*ISERROR(SEARCH($H33:$Q33,V33)))+SUMPRODUCT(($H33:$Q33&lt;&gt;"")*ISERROR(SEARCH($H33:$Q33,W33)))+SUMPRODUCT(($H33:$Q33&lt;&gt;"")*ISERROR(SEARCH($H33:$Q33,X33)))</f>
        <v/>
      </c>
      <c r="Z33" s="10" t="inlineStr">
        <is>
          <t>&lt;i&gt;"…"&lt;/i&gt;, disse {jor}.</t>
        </is>
      </c>
    </row>
    <row r="34" ht="23.85" customHeight="1" s="8">
      <c r="A34" s="10" t="inlineStr">
        <is>
          <t>c6-p5-08</t>
        </is>
      </c>
      <c r="B34" s="10" t="n">
        <v>5</v>
      </c>
      <c r="C34" s="10" t="inlineStr">
        <is>
          <t>Cap. 6: quem estava onde</t>
        </is>
      </c>
      <c r="D34" s="10" t="inlineStr">
        <is>
          <t>roteiro</t>
        </is>
      </c>
      <c r="E34" s="10" t="inlineStr">
        <is>
          <t>faroleiro</t>
        </is>
      </c>
      <c r="F34" s="10" t="inlineStr">
        <is>
          <t>grupo</t>
        </is>
      </c>
      <c r="G34" s="10" t="n"/>
      <c r="H34" s="10" t="inlineStr">
        <is>
          <t>vulto amarelo</t>
        </is>
      </c>
      <c r="I34" s="10" t="inlineStr">
        <is>
          <t>parado</t>
        </is>
      </c>
      <c r="J34" s="10" t="inlineStr">
        <is>
          <t>varanda</t>
        </is>
      </c>
      <c r="K34" s="10" t="inlineStr">
        <is>
          <t>dois clarões</t>
        </is>
      </c>
      <c r="L34" s="10" t="n"/>
      <c r="M34" s="10" t="n"/>
      <c r="N34" s="10" t="n"/>
      <c r="O34" s="10" t="n"/>
      <c r="P34" s="10" t="n"/>
      <c r="Q34" s="10" t="n"/>
      <c r="R34" s="10" t="inlineStr">
        <is>
          <t>Vulto amarelo parado na varanda, nos dois clarões.</t>
        </is>
      </c>
      <c r="S34" s="13" t="inlineStr">
        <is>
          <t>Vulto amarelo parado na varanda, nos dois clarões! Ouviram?</t>
        </is>
      </c>
      <c r="T34" s="13" t="inlineStr">
        <is>
          <t>Vulto amarelo… parado na varanda. Nos dois clarões.</t>
        </is>
      </c>
      <c r="U34" s="13" t="inlineStr">
        <is>
          <t>Vulto amarelo parado na varanda, nos dois clarões… ouviram aí?</t>
        </is>
      </c>
      <c r="V34" s="13" t="inlineStr">
        <is>
          <t>Vulto amarelo parado na varanda, nos dois clarões. Confirmo daqui.</t>
        </is>
      </c>
      <c r="W34" s="13" t="inlineStr">
        <is>
          <t>Daqui, com esse frio e essa umidade… Vulto amarelo parado na varanda, nos dois clarões.</t>
        </is>
      </c>
      <c r="X34" s="13" t="inlineStr">
        <is>
          <t>Farol informa: vulto amarelo parado na varanda, nos dois clarões.</t>
        </is>
      </c>
      <c r="Y34" s="10">
        <f>SUMPRODUCT(($H34:$Q34&lt;&gt;"")*ISERROR(SEARCH($H34:$Q34,S34)))+SUMPRODUCT(($H34:$Q34&lt;&gt;"")*ISERROR(SEARCH($H34:$Q34,T34)))+SUMPRODUCT(($H34:$Q34&lt;&gt;"")*ISERROR(SEARCH($H34:$Q34,U34)))+SUMPRODUCT(($H34:$Q34&lt;&gt;"")*ISERROR(SEARCH($H34:$Q34,V34)))+SUMPRODUCT(($H34:$Q34&lt;&gt;"")*ISERROR(SEARCH($H34:$Q34,W34)))+SUMPRODUCT(($H34:$Q34&lt;&gt;"")*ISERROR(SEARCH($H34:$Q34,X34)))</f>
        <v/>
      </c>
      <c r="Z34" s="10" t="inlineStr">
        <is>
          <t>O rádio: &lt;i&gt;"…"&lt;/i&gt; (o Faroleiro, pelo rádio)</t>
        </is>
      </c>
    </row>
    <row r="35" ht="46.25" customHeight="1" s="8">
      <c r="A35" s="10" t="inlineStr">
        <is>
          <t>c6-p6-01</t>
        </is>
      </c>
      <c r="B35" s="10" t="n">
        <v>6</v>
      </c>
      <c r="C35" s="10" t="inlineStr">
        <is>
          <t>Cap. 6: quem estava onde</t>
        </is>
      </c>
      <c r="D35" s="10" t="inlineStr">
        <is>
          <t>roteiro</t>
        </is>
      </c>
      <c r="E35" s="10" t="inlineStr">
        <is>
          <t>policial</t>
        </is>
      </c>
      <c r="F35" s="10" t="inlineStr">
        <is>
          <t>grupo</t>
        </is>
      </c>
      <c r="G35" s="10" t="n"/>
      <c r="H35" s="10" t="inlineStr">
        <is>
          <t>sessenta segundos</t>
        </is>
      </c>
      <c r="I35" s="10" t="inlineStr">
        <is>
          <t>luzinha</t>
        </is>
      </c>
      <c r="J35" s="10" t="inlineStr">
        <is>
          <t>dentro da sala</t>
        </is>
      </c>
      <c r="K35" s="10" t="inlineStr">
        <is>
          <t>perto do relógio</t>
        </is>
      </c>
      <c r="L35" s="10" t="inlineStr">
        <is>
          <t>mesma hora</t>
        </is>
      </c>
      <c r="M35" s="10" t="inlineStr">
        <is>
          <t>grupo vibrou</t>
        </is>
      </c>
      <c r="N35" s="10" t="n"/>
      <c r="O35" s="10" t="n"/>
      <c r="P35" s="10" t="n"/>
      <c r="Q35" s="10" t="n"/>
      <c r="R35" s="10" t="inlineStr">
        <is>
          <t>Aos sessenta segundos, uma luzinha dentro da sala, perto do relógio. Na mesma hora o grupo vibrou.</t>
        </is>
      </c>
      <c r="S35" s="13" t="inlineStr">
        <is>
          <t>Aos sessenta segundos, uma luzinha dentro da sala, perto do relógio! Na mesma hora o grupo vibrou. Demorou pra alguém falar.</t>
        </is>
      </c>
      <c r="T35" s="13" t="inlineStr">
        <is>
          <t>Aos sessenta segundos… uma luzinha. Dentro da sala, perto do relógio. Na mesma hora… o grupo vibrou.</t>
        </is>
      </c>
      <c r="U35" s="13" t="inlineStr">
        <is>
          <t>Aos sessenta segundos, uma luzinha dentro da sala, perto do relógio… e na mesma hora o grupo vibrou, não foi?</t>
        </is>
      </c>
      <c r="V35" s="13" t="inlineStr">
        <is>
          <t>Aos sessenta segundos, uma luzinha dentro da sala, perto do relógio. Na mesma hora o grupo vibrou. Vi com estes olhos.</t>
        </is>
      </c>
      <c r="W35" s="13" t="inlineStr">
        <is>
          <t>Que demora pra essa noite acabar… Aos sessenta segundos, uma luzinha dentro da sala, perto do relógio. Na mesma hora o grupo vibrou.</t>
        </is>
      </c>
      <c r="X35" s="13" t="inlineStr">
        <is>
          <t>Sessenta segundos: luzinha dentro da sala, perto do relógio. Mesma hora: o grupo vibrou.</t>
        </is>
      </c>
      <c r="Y35" s="10">
        <f>SUMPRODUCT(($H35:$Q35&lt;&gt;"")*ISERROR(SEARCH($H35:$Q35,S35)))+SUMPRODUCT(($H35:$Q35&lt;&gt;"")*ISERROR(SEARCH($H35:$Q35,T35)))+SUMPRODUCT(($H35:$Q35&lt;&gt;"")*ISERROR(SEARCH($H35:$Q35,U35)))+SUMPRODUCT(($H35:$Q35&lt;&gt;"")*ISERROR(SEARCH($H35:$Q35,V35)))+SUMPRODUCT(($H35:$Q35&lt;&gt;"")*ISERROR(SEARCH($H35:$Q35,W35)))+SUMPRODUCT(($H35:$Q35&lt;&gt;"")*ISERROR(SEARCH($H35:$Q35,X35)))</f>
        <v/>
      </c>
      <c r="Z35" s="10" t="inlineStr">
        <is>
          <t>&lt;i&gt;"[1ª parte]"&lt;/i&gt;, disse {pol}. &lt;i&gt;"[2ª parte]"&lt;/i&gt; — uma fala só, partida depois de "relógio".</t>
        </is>
      </c>
    </row>
    <row r="36" ht="57.45" customHeight="1" s="8">
      <c r="A36" s="10" t="inlineStr">
        <is>
          <t>c6-p6-02</t>
        </is>
      </c>
      <c r="B36" s="10" t="n">
        <v>6</v>
      </c>
      <c r="C36" s="10" t="inlineStr">
        <is>
          <t>Cap. 6: quem estava onde</t>
        </is>
      </c>
      <c r="D36" s="10" t="inlineStr">
        <is>
          <t>roteiro</t>
        </is>
      </c>
      <c r="E36" s="10" t="inlineStr">
        <is>
          <t>investigador</t>
        </is>
      </c>
      <c r="F36" s="10" t="inlineStr">
        <is>
          <t>grupo</t>
        </is>
      </c>
      <c r="G36" s="10" t="n"/>
      <c r="H36" s="10" t="inlineStr">
        <is>
          <t>luz acendeu</t>
        </is>
      </c>
      <c r="I36" s="10" t="inlineStr">
        <is>
          <t>dentro da sala</t>
        </is>
      </c>
      <c r="J36" s="10" t="inlineStr">
        <is>
          <t>junto ao relógio</t>
        </is>
      </c>
      <c r="K36" s="10" t="inlineStr">
        <is>
          <t>hora da mensagem</t>
        </is>
      </c>
      <c r="L36" s="10" t="inlineStr">
        <is>
          <t>visto ou ouvido</t>
        </is>
      </c>
      <c r="M36" s="10" t="inlineStr">
        <is>
          <t>outro lugar</t>
        </is>
      </c>
      <c r="N36" s="10" t="inlineStr">
        <is>
          <t>lá dentro</t>
        </is>
      </c>
      <c r="O36" s="10" t="inlineStr">
        <is>
          <t>nenhum de nós</t>
        </is>
      </c>
      <c r="P36" s="10" t="n"/>
      <c r="Q36" s="10" t="n"/>
      <c r="R36" s="10" t="inlineStr">
        <is>
          <t>A luz acendeu dentro da sala, junto ao relógio, na hora da mensagem. E cada um de nós foi visto ou ouvido em outro lugar nessa hora. Quem escreveu estava lá dentro, e não era nenhum de nós.</t>
        </is>
      </c>
      <c r="S36" s="13" t="inlineStr">
        <is>
          <t>A luz acendeu dentro da sala, junto ao relógio, na hora da mensagem. E cada um de nós foi visto ou ouvido em outro lugar nessa hora. Quem escreveu estava lá dentro, e não era nenhum de nós!</t>
        </is>
      </c>
      <c r="T36" s="13" t="inlineStr">
        <is>
          <t>A luz acendeu… dentro da sala. Junto ao relógio. Na hora da mensagem. Cada um de nós… visto ou ouvido em outro lugar. Quem escreveu estava lá dentro. E não era nenhum de nós.</t>
        </is>
      </c>
      <c r="U36" s="13" t="inlineStr">
        <is>
          <t>A luz acendeu dentro da sala, junto ao relógio, na hora da mensagem. E cada um de nós foi visto ou ouvido em outro lugar nessa hora. Então quem escreveu estava lá dentro, e não era nenhum de nós… certo?</t>
        </is>
      </c>
      <c r="V36" s="13" t="inlineStr">
        <is>
          <t>A luz acendeu dentro da sala, junto ao relógio, na hora da mensagem. Cada um de nós foi visto ou ouvido em outro lugar nessa hora. Quem escreveu estava lá dentro, e não era nenhum de nós. Disso não abro mão.</t>
        </is>
      </c>
      <c r="W36" s="13" t="inlineStr">
        <is>
          <t>A luz acendeu dentro da sala, junto ao relógio, na hora da mensagem. Noite comprida, essa. E cada um de nós foi visto ou ouvido em outro lugar nessa hora. Quem escreveu estava lá dentro, e não era nenhum de nós.</t>
        </is>
      </c>
      <c r="X36" s="13" t="inlineStr">
        <is>
          <t>Primeiro: a luz acendeu dentro da sala, junto ao relógio, na hora da mensagem. Segundo: cada um de nós foi visto ou ouvido em outro lugar nessa hora. Logo, quem escreveu estava lá dentro, e não era nenhum de nós.</t>
        </is>
      </c>
      <c r="Y36" s="10">
        <f>SUMPRODUCT(($H36:$Q36&lt;&gt;"")*ISERROR(SEARCH($H36:$Q36,S36)))+SUMPRODUCT(($H36:$Q36&lt;&gt;"")*ISERROR(SEARCH($H36:$Q36,T36)))+SUMPRODUCT(($H36:$Q36&lt;&gt;"")*ISERROR(SEARCH($H36:$Q36,U36)))+SUMPRODUCT(($H36:$Q36&lt;&gt;"")*ISERROR(SEARCH($H36:$Q36,V36)))+SUMPRODUCT(($H36:$Q36&lt;&gt;"")*ISERROR(SEARCH($H36:$Q36,W36)))+SUMPRODUCT(($H36:$Q36&lt;&gt;"")*ISERROR(SEARCH($H36:$Q36,X36)))</f>
        <v/>
      </c>
      <c r="Z36" s="10" t="inlineStr">
        <is>
          <t>&lt;i&gt;"[1ª parte]"&lt;/i&gt;, disse {inv}. &lt;i&gt;"[2ª parte]"&lt;/i&gt; — uma fala só, partida depois de "mensagem".</t>
        </is>
      </c>
    </row>
    <row r="37" ht="35.05" customHeight="1" s="8">
      <c r="A37" s="10" t="inlineStr">
        <is>
          <t>c6-p6-03</t>
        </is>
      </c>
      <c r="B37" s="10" t="n">
        <v>6</v>
      </c>
      <c r="C37" s="10" t="inlineStr">
        <is>
          <t>Cap. 6: quem estava onde</t>
        </is>
      </c>
      <c r="D37" s="10" t="inlineStr">
        <is>
          <t>roteiro</t>
        </is>
      </c>
      <c r="E37" s="10" t="inlineStr">
        <is>
          <t>jornalista</t>
        </is>
      </c>
      <c r="F37" s="10" t="inlineStr">
        <is>
          <t>grupo</t>
        </is>
      </c>
      <c r="G37" s="10" t="n"/>
      <c r="H37" s="10" t="inlineStr">
        <is>
          <t>não morreu desta vez</t>
        </is>
      </c>
      <c r="I37" s="10" t="inlineStr">
        <is>
          <t>ouçam</t>
        </is>
      </c>
      <c r="J37" s="10" t="n"/>
      <c r="K37" s="10" t="n"/>
      <c r="L37" s="10" t="n"/>
      <c r="M37" s="10" t="n"/>
      <c r="N37" s="10" t="n"/>
      <c r="O37" s="10" t="n"/>
      <c r="P37" s="10" t="n"/>
      <c r="Q37" s="10" t="n"/>
      <c r="R37" s="10" t="inlineStr">
        <is>
          <t>Não morreu desta vez. Ouçam.</t>
        </is>
      </c>
      <c r="S37" s="13" t="inlineStr">
        <is>
          <t>Não morreu desta vez! Ouçam.</t>
        </is>
      </c>
      <c r="T37" s="13" t="inlineStr">
        <is>
          <t>Não morreu desta vez… Ouçam.</t>
        </is>
      </c>
      <c r="U37" s="13" t="inlineStr">
        <is>
          <t>Não morreu desta vez… Ouçam, por favor.</t>
        </is>
      </c>
      <c r="V37" s="13" t="inlineStr">
        <is>
          <t>Não morreu desta vez. Ouçam.</t>
        </is>
      </c>
      <c r="W37" s="13" t="inlineStr">
        <is>
          <t>Valeu a demora. Não morreu desta vez. Ouçam.</t>
        </is>
      </c>
      <c r="X37" s="13" t="inlineStr">
        <is>
          <t>Para a ata: não morreu desta vez. Ouçam.</t>
        </is>
      </c>
      <c r="Y37" s="10">
        <f>SUMPRODUCT(($H37:$Q37&lt;&gt;"")*ISERROR(SEARCH($H37:$Q37,S37)))+SUMPRODUCT(($H37:$Q37&lt;&gt;"")*ISERROR(SEARCH($H37:$Q37,T37)))+SUMPRODUCT(($H37:$Q37&lt;&gt;"")*ISERROR(SEARCH($H37:$Q37,U37)))+SUMPRODUCT(($H37:$Q37&lt;&gt;"")*ISERROR(SEARCH($H37:$Q37,V37)))+SUMPRODUCT(($H37:$Q37&lt;&gt;"")*ISERROR(SEARCH($H37:$Q37,W37)))+SUMPRODUCT(($H37:$Q37&lt;&gt;"")*ISERROR(SEARCH($H37:$Q37,X37)))</f>
        <v/>
      </c>
      <c r="Z37" s="10" t="inlineStr">
        <is>
          <t>{Jor} pôs na mesa o gravador que tinha prendido atrás do relógio. &lt;i&gt;"…"&lt;/i&gt; (segue narração da gravação, sem fala)</t>
        </is>
      </c>
    </row>
    <row r="38" ht="35.05" customHeight="1" s="8">
      <c r="A38" s="10" t="inlineStr">
        <is>
          <t>c6-p6-04</t>
        </is>
      </c>
      <c r="B38" s="10" t="n">
        <v>6</v>
      </c>
      <c r="C38" s="10" t="inlineStr">
        <is>
          <t>Cap. 6: quem estava onde</t>
        </is>
      </c>
      <c r="D38" s="10" t="inlineStr">
        <is>
          <t>roteiro</t>
        </is>
      </c>
      <c r="E38" s="10" t="inlineStr">
        <is>
          <t>observadora</t>
        </is>
      </c>
      <c r="F38" s="10" t="inlineStr">
        <is>
          <t>grupo</t>
        </is>
      </c>
      <c r="G38" s="10" t="n"/>
      <c r="H38" s="10" t="inlineStr">
        <is>
          <t>fio de lã crua</t>
        </is>
      </c>
      <c r="I38" s="10" t="inlineStr">
        <is>
          <t>trinco</t>
        </is>
      </c>
      <c r="J38" s="10" t="inlineStr">
        <is>
          <t>ninguém nesta sala</t>
        </is>
      </c>
      <c r="K38" s="10" t="inlineStr">
        <is>
          <t>veste lã crua</t>
        </is>
      </c>
      <c r="L38" s="10" t="n"/>
      <c r="M38" s="10" t="n"/>
      <c r="N38" s="10" t="n"/>
      <c r="O38" s="10" t="n"/>
      <c r="P38" s="10" t="n"/>
      <c r="Q38" s="10" t="n"/>
      <c r="R38" s="10" t="inlineStr">
        <is>
          <t>Tem um fio de lã crua preso no trinco. Ninguém nesta sala veste lã crua.</t>
        </is>
      </c>
      <c r="S38" s="13" t="inlineStr">
        <is>
          <t>Tem um fio de lã crua preso no trinco! E ninguém nesta sala veste lã crua.</t>
        </is>
      </c>
      <c r="T38" s="13" t="inlineStr">
        <is>
          <t>Um fio de lã crua… preso no trinco. Ninguém nesta sala… veste lã crua.</t>
        </is>
      </c>
      <c r="U38" s="13" t="inlineStr">
        <is>
          <t>Tem um fio de lã crua preso no trinco, viram? E ninguém nesta sala veste lã crua, não é?</t>
        </is>
      </c>
      <c r="V38" s="13" t="inlineStr">
        <is>
          <t>Tem um fio de lã crua preso no trinco. Ninguém nesta sala veste lã crua. Ninguém.</t>
        </is>
      </c>
      <c r="W38" s="13" t="inlineStr">
        <is>
          <t>Que noite cansativa… Tem um fio de lã crua preso no trinco. Ninguém nesta sala veste lã crua.</t>
        </is>
      </c>
      <c r="X38" s="13" t="inlineStr">
        <is>
          <t>Achado: fio de lã crua preso no trinco. Ninguém nesta sala veste lã crua.</t>
        </is>
      </c>
      <c r="Y38" s="10">
        <f>SUMPRODUCT(($H38:$Q38&lt;&gt;"")*ISERROR(SEARCH($H38:$Q38,S38)))+SUMPRODUCT(($H38:$Q38&lt;&gt;"")*ISERROR(SEARCH($H38:$Q38,T38)))+SUMPRODUCT(($H38:$Q38&lt;&gt;"")*ISERROR(SEARCH($H38:$Q38,U38)))+SUMPRODUCT(($H38:$Q38&lt;&gt;"")*ISERROR(SEARCH($H38:$Q38,V38)))+SUMPRODUCT(($H38:$Q38&lt;&gt;"")*ISERROR(SEARCH($H38:$Q38,W38)))+SUMPRODUCT(($H38:$Q38&lt;&gt;"")*ISERROR(SEARCH($H38:$Q38,X38)))</f>
        <v/>
      </c>
      <c r="Z38" s="10" t="inlineStr">
        <is>
          <t>&lt;i&gt;"[1ª parte]"&lt;/i&gt;, disse {obs}. &lt;i&gt;"[2ª parte]"&lt;/i&gt; — uma fala só, partida depois de "trinco".</t>
        </is>
      </c>
    </row>
    <row r="39" ht="23.85" customHeight="1" s="8">
      <c r="A39" s="10" t="inlineStr">
        <is>
          <t>c6-p6-05</t>
        </is>
      </c>
      <c r="B39" s="10" t="n">
        <v>6</v>
      </c>
      <c r="C39" s="10" t="inlineStr">
        <is>
          <t>Cap. 6: quem estava onde</t>
        </is>
      </c>
      <c r="D39" s="10" t="inlineStr">
        <is>
          <t>roteiro</t>
        </is>
      </c>
      <c r="E39" s="10" t="inlineStr">
        <is>
          <t>observadora</t>
        </is>
      </c>
      <c r="F39" s="10" t="inlineStr">
        <is>
          <t>grupo</t>
        </is>
      </c>
      <c r="G39" s="10" t="n"/>
      <c r="H39" s="10" t="inlineStr">
        <is>
          <t>derrubei a lupa</t>
        </is>
      </c>
      <c r="I39" s="10" t="inlineStr">
        <is>
          <t>setenta</t>
        </is>
      </c>
      <c r="J39" s="10" t="n"/>
      <c r="K39" s="10" t="n"/>
      <c r="L39" s="10" t="n"/>
      <c r="M39" s="10" t="n"/>
      <c r="N39" s="10" t="n"/>
      <c r="O39" s="10" t="n"/>
      <c r="P39" s="10" t="n"/>
      <c r="Q39" s="10" t="n"/>
      <c r="R39" s="10" t="inlineStr">
        <is>
          <t>Derrubei a lupa aos setenta.</t>
        </is>
      </c>
      <c r="S39" s="13" t="inlineStr">
        <is>
          <t>Derrubei a lupa aos setenta! Pronto, falei.</t>
        </is>
      </c>
      <c r="T39" s="13" t="inlineStr">
        <is>
          <t>Derrubei a lupa… aos setenta.</t>
        </is>
      </c>
      <c r="U39" s="13" t="inlineStr">
        <is>
          <t>Eu derrubei a lupa aos setenta… desculpa.</t>
        </is>
      </c>
      <c r="V39" s="13" t="inlineStr">
        <is>
          <t>Derrubei a lupa aos setenta. Assumo.</t>
        </is>
      </c>
      <c r="W39" s="13" t="inlineStr">
        <is>
          <t>Cansaço… derrubei a lupa aos setenta.</t>
        </is>
      </c>
      <c r="X39" s="13" t="inlineStr">
        <is>
          <t>Setenta: derrubei a lupa.</t>
        </is>
      </c>
      <c r="Y39" s="10">
        <f>SUMPRODUCT(($H39:$Q39&lt;&gt;"")*ISERROR(SEARCH($H39:$Q39,S39)))+SUMPRODUCT(($H39:$Q39&lt;&gt;"")*ISERROR(SEARCH($H39:$Q39,T39)))+SUMPRODUCT(($H39:$Q39&lt;&gt;"")*ISERROR(SEARCH($H39:$Q39,U39)))+SUMPRODUCT(($H39:$Q39&lt;&gt;"")*ISERROR(SEARCH($H39:$Q39,V39)))+SUMPRODUCT(($H39:$Q39&lt;&gt;"")*ISERROR(SEARCH($H39:$Q39,W39)))+SUMPRODUCT(($H39:$Q39&lt;&gt;"")*ISERROR(SEARCH($H39:$Q39,X39)))</f>
        <v/>
      </c>
      <c r="Z39" s="10" t="inlineStr">
        <is>
          <t>&lt;i&gt;"…"&lt;/i&gt;, disse {obs}.</t>
        </is>
      </c>
    </row>
    <row r="40" ht="15" customHeight="1" s="8">
      <c r="A40" s="10" t="inlineStr">
        <is>
          <t>c6-p6-06</t>
        </is>
      </c>
      <c r="B40" s="10" t="n">
        <v>6</v>
      </c>
      <c r="C40" s="10" t="inlineStr">
        <is>
          <t>Cap. 6: quem estava onde</t>
        </is>
      </c>
      <c r="D40" s="10" t="inlineStr">
        <is>
          <t>roteiro</t>
        </is>
      </c>
      <c r="E40" s="10" t="inlineStr">
        <is>
          <t>policial</t>
        </is>
      </c>
      <c r="F40" s="10" t="inlineStr">
        <is>
          <t>grupo</t>
        </is>
      </c>
      <c r="G40" s="10" t="n"/>
      <c r="H40" s="10" t="inlineStr">
        <is>
          <t>ouvi</t>
        </is>
      </c>
      <c r="I40" s="10" t="inlineStr">
        <is>
          <t>da porta</t>
        </is>
      </c>
      <c r="J40" s="10" t="n"/>
      <c r="K40" s="10" t="n"/>
      <c r="L40" s="10" t="n"/>
      <c r="M40" s="10" t="n"/>
      <c r="N40" s="10" t="n"/>
      <c r="O40" s="10" t="n"/>
      <c r="P40" s="10" t="n"/>
      <c r="Q40" s="10" t="n"/>
      <c r="R40" s="10" t="inlineStr">
        <is>
          <t>Ouvi, da porta.</t>
        </is>
      </c>
      <c r="S40" s="13" t="inlineStr">
        <is>
          <t>Ouvi, da porta!</t>
        </is>
      </c>
      <c r="T40" s="13" t="inlineStr">
        <is>
          <t>Ouvi,… da porta.</t>
        </is>
      </c>
      <c r="U40" s="13" t="inlineStr">
        <is>
          <t>Ouvi, da porta…</t>
        </is>
      </c>
      <c r="V40" s="13" t="inlineStr">
        <is>
          <t>Ouvi, da porta.</t>
        </is>
      </c>
      <c r="W40" s="13" t="inlineStr">
        <is>
          <t>Ouvi, da porta.</t>
        </is>
      </c>
      <c r="X40" s="13" t="inlineStr">
        <is>
          <t>Ouvi, da porta.</t>
        </is>
      </c>
      <c r="Y40" s="10">
        <f>SUMPRODUCT(($H40:$Q40&lt;&gt;"")*ISERROR(SEARCH($H40:$Q40,S40)))+SUMPRODUCT(($H40:$Q40&lt;&gt;"")*ISERROR(SEARCH($H40:$Q40,T40)))+SUMPRODUCT(($H40:$Q40&lt;&gt;"")*ISERROR(SEARCH($H40:$Q40,U40)))+SUMPRODUCT(($H40:$Q40&lt;&gt;"")*ISERROR(SEARCH($H40:$Q40,V40)))+SUMPRODUCT(($H40:$Q40&lt;&gt;"")*ISERROR(SEARCH($H40:$Q40,W40)))+SUMPRODUCT(($H40:$Q40&lt;&gt;"")*ISERROR(SEARCH($H40:$Q40,X40)))</f>
        <v/>
      </c>
      <c r="Z40" s="10" t="inlineStr">
        <is>
          <t>&lt;i&gt;"…"&lt;/i&gt;, disse {pol}.</t>
        </is>
      </c>
    </row>
    <row r="41" ht="35.05" customHeight="1" s="8">
      <c r="A41" s="10" t="inlineStr">
        <is>
          <t>c6-p6-07</t>
        </is>
      </c>
      <c r="B41" s="10" t="n">
        <v>6</v>
      </c>
      <c r="C41" s="10" t="inlineStr">
        <is>
          <t>Cap. 6: quem estava onde</t>
        </is>
      </c>
      <c r="D41" s="10" t="inlineStr">
        <is>
          <t>roteiro</t>
        </is>
      </c>
      <c r="E41" s="10" t="inlineStr">
        <is>
          <t>jornalista</t>
        </is>
      </c>
      <c r="F41" s="10" t="inlineStr">
        <is>
          <t>grupo</t>
        </is>
      </c>
      <c r="G41" s="10" t="n"/>
      <c r="H41" s="10" t="inlineStr">
        <is>
          <t>porta ocupada</t>
        </is>
      </c>
      <c r="I41" s="10" t="inlineStr">
        <is>
          <t>terceiro e no quarto</t>
        </is>
      </c>
      <c r="J41" s="10" t="n"/>
      <c r="K41" s="10" t="n"/>
      <c r="L41" s="10" t="n"/>
      <c r="M41" s="10" t="n"/>
      <c r="N41" s="10" t="n"/>
      <c r="O41" s="10" t="n"/>
      <c r="P41" s="10" t="n"/>
      <c r="Q41" s="10" t="n"/>
      <c r="R41" s="10" t="inlineStr">
        <is>
          <t>E eu vi a porta ocupada no terceiro e no quarto.</t>
        </is>
      </c>
      <c r="S41" s="13" t="inlineStr">
        <is>
          <t>E eu vi a porta ocupada no terceiro e no quarto! Ocupada.</t>
        </is>
      </c>
      <c r="T41" s="13" t="inlineStr">
        <is>
          <t>E eu vi… a porta ocupada. No terceiro e no quarto.</t>
        </is>
      </c>
      <c r="U41" s="13" t="inlineStr">
        <is>
          <t>E eu vi a porta ocupada no terceiro e no quarto… ajuda?</t>
        </is>
      </c>
      <c r="V41" s="13" t="inlineStr">
        <is>
          <t>Vi a porta ocupada no terceiro e no quarto.</t>
        </is>
      </c>
      <c r="W41" s="13" t="inlineStr">
        <is>
          <t>Aquela chuva toda… E eu vi a porta ocupada no terceiro e no quarto.</t>
        </is>
      </c>
      <c r="X41" s="13" t="inlineStr">
        <is>
          <t>No terceiro e no quarto: porta ocupada.</t>
        </is>
      </c>
      <c r="Y41" s="10">
        <f>SUMPRODUCT(($H41:$Q41&lt;&gt;"")*ISERROR(SEARCH($H41:$Q41,S41)))+SUMPRODUCT(($H41:$Q41&lt;&gt;"")*ISERROR(SEARCH($H41:$Q41,T41)))+SUMPRODUCT(($H41:$Q41&lt;&gt;"")*ISERROR(SEARCH($H41:$Q41,U41)))+SUMPRODUCT(($H41:$Q41&lt;&gt;"")*ISERROR(SEARCH($H41:$Q41,V41)))+SUMPRODUCT(($H41:$Q41&lt;&gt;"")*ISERROR(SEARCH($H41:$Q41,W41)))+SUMPRODUCT(($H41:$Q41&lt;&gt;"")*ISERROR(SEARCH($H41:$Q41,X41)))</f>
        <v/>
      </c>
      <c r="Z41" s="10" t="inlineStr">
        <is>
          <t>&lt;i&gt;"…"&lt;/i&gt;, disse {jor}. O rádio tinha visto uma faixa que brilha parada na varanda, nos dois clarões.</t>
        </is>
      </c>
    </row>
    <row r="42" ht="35.05" customHeight="1" s="8">
      <c r="A42" s="10" t="inlineStr">
        <is>
          <t>c6-p7-01</t>
        </is>
      </c>
      <c r="B42" s="10" t="n">
        <v>7</v>
      </c>
      <c r="C42" s="10" t="inlineStr">
        <is>
          <t>Cap. 6: quem estava onde</t>
        </is>
      </c>
      <c r="D42" s="10" t="inlineStr">
        <is>
          <t>roteiro</t>
        </is>
      </c>
      <c r="E42" s="10" t="inlineStr">
        <is>
          <t>observadora</t>
        </is>
      </c>
      <c r="F42" s="10" t="inlineStr">
        <is>
          <t>grupo</t>
        </is>
      </c>
      <c r="G42" s="10" t="n"/>
      <c r="H42" s="10" t="inlineStr">
        <is>
          <t>quarto clarão</t>
        </is>
      </c>
      <c r="I42" s="10" t="inlineStr">
        <is>
          <t>porta da sala</t>
        </is>
      </c>
      <c r="J42" s="10" t="inlineStr">
        <is>
          <t>sem ninguém</t>
        </is>
      </c>
      <c r="K42" s="10" t="inlineStr">
        <is>
          <t>lá dentro</t>
        </is>
      </c>
      <c r="L42" s="10" t="inlineStr">
        <is>
          <t>junto ao pêndulo</t>
        </is>
      </c>
      <c r="M42" s="10" t="inlineStr">
        <is>
          <t>antebraço nu</t>
        </is>
      </c>
      <c r="N42" s="10" t="n"/>
      <c r="O42" s="10" t="n"/>
      <c r="P42" s="10" t="n"/>
      <c r="Q42" s="10" t="n"/>
      <c r="R42" s="10" t="inlineStr">
        <is>
          <t>No quarto clarão, a porta da sala estava sem ninguém. E lá dentro, junto ao pêndulo, um antebraço nu.</t>
        </is>
      </c>
      <c r="S42" s="13" t="inlineStr">
        <is>
          <t>No quarto clarão, a porta da sala estava sem ninguém! E lá dentro, junto ao pêndulo, um antebraço nu.</t>
        </is>
      </c>
      <c r="T42" s="13" t="inlineStr">
        <is>
          <t>No quarto clarão… a porta da sala, sem ninguém. E lá dentro… junto ao pêndulo… um antebraço nu.</t>
        </is>
      </c>
      <c r="U42" s="13" t="inlineStr">
        <is>
          <t>No quarto clarão, a porta da sala estava sem ninguém. E lá dentro, junto ao pêndulo, um antebraço nu… eu vi mesmo, juro.</t>
        </is>
      </c>
      <c r="V42" s="13" t="inlineStr">
        <is>
          <t>No quarto clarão, a porta da sala estava sem ninguém. E lá dentro, junto ao pêndulo, um antebraço nu. Não acuso ninguém.</t>
        </is>
      </c>
      <c r="W42" s="13" t="inlineStr">
        <is>
          <t>A chuva, o frio… No quarto clarão, a porta da sala estava sem ninguém. E lá dentro, junto ao pêndulo, um antebraço nu.</t>
        </is>
      </c>
      <c r="X42" s="13" t="inlineStr">
        <is>
          <t>Quarto clarão: porta da sala sem ninguém. Lá dentro, junto ao pêndulo, um antebraço nu.</t>
        </is>
      </c>
      <c r="Y42" s="10">
        <f>SUMPRODUCT(($H42:$Q42&lt;&gt;"")*ISERROR(SEARCH($H42:$Q42,S42)))+SUMPRODUCT(($H42:$Q42&lt;&gt;"")*ISERROR(SEARCH($H42:$Q42,T42)))+SUMPRODUCT(($H42:$Q42&lt;&gt;"")*ISERROR(SEARCH($H42:$Q42,U42)))+SUMPRODUCT(($H42:$Q42&lt;&gt;"")*ISERROR(SEARCH($H42:$Q42,V42)))+SUMPRODUCT(($H42:$Q42&lt;&gt;"")*ISERROR(SEARCH($H42:$Q42,W42)))+SUMPRODUCT(($H42:$Q42&lt;&gt;"")*ISERROR(SEARCH($H42:$Q42,X42)))</f>
        <v/>
      </c>
      <c r="Z42" s="10" t="inlineStr">
        <is>
          <t>&lt;i&gt;"[1ª parte]"&lt;/i&gt;, disse {obs}, da janela dos retratos. &lt;i&gt;"[2ª parte]"&lt;/i&gt; — uma fala só, partida depois de "ninguém".</t>
        </is>
      </c>
    </row>
    <row r="43" ht="23.85" customHeight="1" s="8">
      <c r="A43" s="10" t="inlineStr">
        <is>
          <t>c6-p7-02</t>
        </is>
      </c>
      <c r="B43" s="10" t="n">
        <v>7</v>
      </c>
      <c r="C43" s="10" t="inlineStr">
        <is>
          <t>Cap. 6: quem estava onde</t>
        </is>
      </c>
      <c r="D43" s="10" t="inlineStr">
        <is>
          <t>roteiro</t>
        </is>
      </c>
      <c r="E43" s="10" t="inlineStr">
        <is>
          <t>investigador</t>
        </is>
      </c>
      <c r="F43" s="10" t="inlineStr">
        <is>
          <t>grupo</t>
        </is>
      </c>
      <c r="G43" s="10" t="n"/>
      <c r="H43" s="10" t="inlineStr">
        <is>
          <t>eu saí</t>
        </is>
      </c>
      <c r="I43" s="10" t="inlineStr">
        <is>
          <t>luz</t>
        </is>
      </c>
      <c r="J43" s="10" t="inlineStr">
        <is>
          <t>corredor de serviço</t>
        </is>
      </c>
      <c r="K43" s="10" t="n"/>
      <c r="L43" s="10" t="n"/>
      <c r="M43" s="10" t="n"/>
      <c r="N43" s="10" t="n"/>
      <c r="O43" s="10" t="n"/>
      <c r="P43" s="10" t="n"/>
      <c r="Q43" s="10" t="n"/>
      <c r="R43" s="10" t="inlineStr">
        <is>
          <t>Eu saí atrás de uma luz no corredor de serviço.</t>
        </is>
      </c>
      <c r="S43" s="13" t="inlineStr">
        <is>
          <t>Eu saí atrás de uma luz no corredor de serviço, sim! Alguém tinha que ir.</t>
        </is>
      </c>
      <c r="T43" s="13" t="inlineStr">
        <is>
          <t>Eu saí… atrás de uma luz. No corredor de serviço.</t>
        </is>
      </c>
      <c r="U43" s="13" t="inlineStr">
        <is>
          <t>Eu saí atrás de uma luz no corredor de serviço… desculpa, eu sei.</t>
        </is>
      </c>
      <c r="V43" s="13" t="inlineStr">
        <is>
          <t>Eu saí atrás de uma luz no corredor de serviço. Admito.</t>
        </is>
      </c>
      <c r="W43" s="13" t="inlineStr">
        <is>
          <t>Que demora, aquela… Eu saí atrás de uma luz no corredor de serviço.</t>
        </is>
      </c>
      <c r="X43" s="13" t="inlineStr">
        <is>
          <t>Retifico: eu saí atrás de uma luz no corredor de serviço.</t>
        </is>
      </c>
      <c r="Y43" s="10">
        <f>SUMPRODUCT(($H43:$Q43&lt;&gt;"")*ISERROR(SEARCH($H43:$Q43,S43)))+SUMPRODUCT(($H43:$Q43&lt;&gt;"")*ISERROR(SEARCH($H43:$Q43,T43)))+SUMPRODUCT(($H43:$Q43&lt;&gt;"")*ISERROR(SEARCH($H43:$Q43,U43)))+SUMPRODUCT(($H43:$Q43&lt;&gt;"")*ISERROR(SEARCH($H43:$Q43,V43)))+SUMPRODUCT(($H43:$Q43&lt;&gt;"")*ISERROR(SEARCH($H43:$Q43,W43)))+SUMPRODUCT(($H43:$Q43&lt;&gt;"")*ISERROR(SEARCH($H43:$Q43,X43)))</f>
        <v/>
      </c>
      <c r="Z43" s="10" t="inlineStr">
        <is>
          <t>&lt;i&gt;"…"&lt;/i&gt;, admitiu {inv}.</t>
        </is>
      </c>
    </row>
    <row r="44" ht="46.25" customHeight="1" s="8">
      <c r="A44" s="10" t="inlineStr">
        <is>
          <t>c6-p7-03</t>
        </is>
      </c>
      <c r="B44" s="10" t="n">
        <v>7</v>
      </c>
      <c r="C44" s="10" t="inlineStr">
        <is>
          <t>Cap. 6: quem estava onde</t>
        </is>
      </c>
      <c r="D44" s="10" t="inlineStr">
        <is>
          <t>roteiro</t>
        </is>
      </c>
      <c r="E44" s="10" t="inlineStr">
        <is>
          <t>residente</t>
        </is>
      </c>
      <c r="F44" s="10" t="inlineStr">
        <is>
          <t>grupo</t>
        </is>
      </c>
      <c r="G44" s="10" t="n"/>
      <c r="H44" s="10" t="inlineStr">
        <is>
          <t>era a minha</t>
        </is>
      </c>
      <c r="I44" s="10" t="inlineStr">
        <is>
          <t>despensa</t>
        </is>
      </c>
      <c r="J44" s="10" t="inlineStr">
        <is>
          <t>fechadura</t>
        </is>
      </c>
      <c r="K44" s="10" t="inlineStr">
        <is>
          <t>cinquenta e oito</t>
        </is>
      </c>
      <c r="L44" s="10" t="inlineStr">
        <is>
          <t>degrau</t>
        </is>
      </c>
      <c r="M44" s="10" t="inlineStr">
        <is>
          <t>dentro da parede</t>
        </is>
      </c>
      <c r="N44" s="10" t="inlineStr">
        <is>
          <t>lado da sala</t>
        </is>
      </c>
      <c r="O44" s="10" t="n"/>
      <c r="P44" s="10" t="n"/>
      <c r="Q44" s="10" t="n"/>
      <c r="R44" s="10" t="inlineStr">
        <is>
          <t>Era a minha, na despensa, olhando a fechadura. E aos cinquenta e oito ouvi um degrau dentro da parede, indo para o lado da sala.</t>
        </is>
      </c>
      <c r="S44" s="13" t="inlineStr">
        <is>
          <t>Era a minha, na despensa, olhando a fechadura! E aos cinquenta e oito ouvi um degrau dentro da parede, indo para o lado da sala. Ninguém liga pra isso?</t>
        </is>
      </c>
      <c r="T44" s="13" t="inlineStr">
        <is>
          <t>Era a minha… na despensa. Olhando a fechadura. E aos cinquenta e oito… um degrau. Dentro da parede. Indo para o lado da sala.</t>
        </is>
      </c>
      <c r="U44" s="13" t="inlineStr">
        <is>
          <t>Era a minha, na despensa, olhando a fechadura… E aos cinquenta e oito ouvi um degrau dentro da parede, indo para o lado da sala. Estranho, não é?</t>
        </is>
      </c>
      <c r="V44" s="13" t="inlineStr">
        <is>
          <t>Era a minha, na despensa, olhando a fechadura. E aos cinquenta e oito ouvi um degrau dentro da parede, indo para o lado da sala.</t>
        </is>
      </c>
      <c r="W44" s="13" t="inlineStr">
        <is>
          <t>A chuva, a demora… Era a minha, na despensa, olhando a fechadura. E aos cinquenta e oito ouvi um degrau dentro da parede, indo para o lado da sala.</t>
        </is>
      </c>
      <c r="X44" s="13" t="inlineStr">
        <is>
          <t>Item um: era a minha, na despensa, olhando a fechadura. Item dois: aos cinquenta e oito, um degrau dentro da parede, indo para o lado da sala.</t>
        </is>
      </c>
      <c r="Y44" s="10">
        <f>SUMPRODUCT(($H44:$Q44&lt;&gt;"")*ISERROR(SEARCH($H44:$Q44,S44)))+SUMPRODUCT(($H44:$Q44&lt;&gt;"")*ISERROR(SEARCH($H44:$Q44,T44)))+SUMPRODUCT(($H44:$Q44&lt;&gt;"")*ISERROR(SEARCH($H44:$Q44,U44)))+SUMPRODUCT(($H44:$Q44&lt;&gt;"")*ISERROR(SEARCH($H44:$Q44,V44)))+SUMPRODUCT(($H44:$Q44&lt;&gt;"")*ISERROR(SEARCH($H44:$Q44,W44)))+SUMPRODUCT(($H44:$Q44&lt;&gt;"")*ISERROR(SEARCH($H44:$Q44,X44)))</f>
        <v/>
      </c>
      <c r="Z44" s="10" t="inlineStr">
        <is>
          <t>&lt;i&gt;"[1ª parte]"&lt;/i&gt;, disse {res}. &lt;i&gt;"[2ª parte]"&lt;/i&gt; — uma fala só, partida depois de "fechadura".</t>
        </is>
      </c>
    </row>
    <row r="45" ht="46.25" customHeight="1" s="8">
      <c r="A45" s="10" t="inlineStr">
        <is>
          <t>c6-p7-04</t>
        </is>
      </c>
      <c r="B45" s="10" t="n">
        <v>7</v>
      </c>
      <c r="C45" s="10" t="inlineStr">
        <is>
          <t>Cap. 6: quem estava onde</t>
        </is>
      </c>
      <c r="D45" s="10" t="inlineStr">
        <is>
          <t>roteiro</t>
        </is>
      </c>
      <c r="E45" s="10" t="inlineStr">
        <is>
          <t>jornalista</t>
        </is>
      </c>
      <c r="F45" s="10" t="inlineStr">
        <is>
          <t>grupo</t>
        </is>
      </c>
      <c r="G45" s="10" t="n"/>
      <c r="H45" s="10" t="inlineStr">
        <is>
          <t>filmando</t>
        </is>
      </c>
      <c r="I45" s="10" t="inlineStr">
        <is>
          <t>sala de jantar</t>
        </is>
      </c>
      <c r="J45" s="10" t="inlineStr">
        <is>
          <t>vídeo</t>
        </is>
      </c>
      <c r="K45" s="10" t="inlineStr">
        <is>
          <t>onde eu estava</t>
        </is>
      </c>
      <c r="L45" s="10" t="inlineStr">
        <is>
          <t>louça que eu derrubei</t>
        </is>
      </c>
      <c r="M45" s="10" t="n"/>
      <c r="N45" s="10" t="n"/>
      <c r="O45" s="10" t="n"/>
      <c r="P45" s="10" t="n"/>
      <c r="Q45" s="10" t="n"/>
      <c r="R45" s="10" t="inlineStr">
        <is>
          <t>Eu estava filmando a sala de jantar. O vídeo mostra onde eu estava. E a louça que eu derrubei.</t>
        </is>
      </c>
      <c r="S45" s="13" t="inlineStr">
        <is>
          <t>Eu estava filmando a sala de jantar! O vídeo mostra onde eu estava. E a louça que eu derrubei. Querem prova melhor?</t>
        </is>
      </c>
      <c r="T45" s="13" t="inlineStr">
        <is>
          <t>Eu estava filmando… a sala de jantar. O vídeo mostra onde eu estava. E a louça que eu derrubei.</t>
        </is>
      </c>
      <c r="U45" s="13" t="inlineStr">
        <is>
          <t>Eu estava filmando a sala de jantar. O vídeo mostra onde eu estava… e a louça que eu derrubei, desculpa.</t>
        </is>
      </c>
      <c r="V45" s="13" t="inlineStr">
        <is>
          <t>Eu estava filmando a sala de jantar. O vídeo mostra onde eu estava. E a louça que eu derrubei. Não escondo nada.</t>
        </is>
      </c>
      <c r="W45" s="13" t="inlineStr">
        <is>
          <t>Cada um se vira como pode numa demora dessas. Eu estava filmando a sala de jantar. O vídeo mostra onde eu estava. E a louça que eu derrubei.</t>
        </is>
      </c>
      <c r="X45" s="13" t="inlineStr">
        <is>
          <t>Prova: o vídeo. Eu estava filmando a sala de jantar; o vídeo mostra onde eu estava. E a louça que eu derrubei.</t>
        </is>
      </c>
      <c r="Y45" s="10">
        <f>SUMPRODUCT(($H45:$Q45&lt;&gt;"")*ISERROR(SEARCH($H45:$Q45,S45)))+SUMPRODUCT(($H45:$Q45&lt;&gt;"")*ISERROR(SEARCH($H45:$Q45,T45)))+SUMPRODUCT(($H45:$Q45&lt;&gt;"")*ISERROR(SEARCH($H45:$Q45,U45)))+SUMPRODUCT(($H45:$Q45&lt;&gt;"")*ISERROR(SEARCH($H45:$Q45,V45)))+SUMPRODUCT(($H45:$Q45&lt;&gt;"")*ISERROR(SEARCH($H45:$Q45,W45)))+SUMPRODUCT(($H45:$Q45&lt;&gt;"")*ISERROR(SEARCH($H45:$Q45,X45)))</f>
        <v/>
      </c>
      <c r="Z45" s="10" t="inlineStr">
        <is>
          <t>&lt;i&gt;"[1ª parte]"&lt;/i&gt;, disse {jor}. &lt;i&gt;"[2ª parte]"&lt;/i&gt; — uma fala só, partida depois de "jantar".</t>
        </is>
      </c>
    </row>
    <row r="46" ht="23.85" customHeight="1" s="8">
      <c r="A46" s="10" t="inlineStr">
        <is>
          <t>c6-p7-05</t>
        </is>
      </c>
      <c r="B46" s="10" t="n">
        <v>7</v>
      </c>
      <c r="C46" s="10" t="inlineStr">
        <is>
          <t>Cap. 6: quem estava onde</t>
        </is>
      </c>
      <c r="D46" s="10" t="inlineStr">
        <is>
          <t>roteiro</t>
        </is>
      </c>
      <c r="E46" s="10" t="inlineStr">
        <is>
          <t>observadora</t>
        </is>
      </c>
      <c r="F46" s="10" t="inlineStr">
        <is>
          <t>grupo</t>
        </is>
      </c>
      <c r="G46" s="10" t="n"/>
      <c r="H46" s="10" t="inlineStr">
        <is>
          <t>{tab}</t>
        </is>
      </c>
      <c r="I46" s="10" t="inlineStr">
        <is>
          <t>à mesa</t>
        </is>
      </c>
      <c r="J46" s="10" t="inlineStr">
        <is>
          <t>porta de vidro</t>
        </is>
      </c>
      <c r="K46" s="10" t="inlineStr">
        <is>
          <t>quarto clarão</t>
        </is>
      </c>
      <c r="L46" s="10" t="n"/>
      <c r="M46" s="10" t="n"/>
      <c r="N46" s="10" t="n"/>
      <c r="O46" s="10" t="n"/>
      <c r="P46" s="10" t="n"/>
      <c r="Q46" s="10" t="n"/>
      <c r="R46" s="10" t="inlineStr">
        <is>
          <t>E eu vi {tab} à mesa, pela porta de vidro, no quarto clarão.</t>
        </is>
      </c>
      <c r="S46" s="13" t="inlineStr">
        <is>
          <t>E eu vi {tab} à mesa, pela porta de vidro, no quarto clarão! Mais alguma dúvida?</t>
        </is>
      </c>
      <c r="T46" s="13" t="inlineStr">
        <is>
          <t>E eu vi {tab}… à mesa. Pela porta de vidro. No quarto clarão.</t>
        </is>
      </c>
      <c r="U46" s="13" t="inlineStr">
        <is>
          <t>E eu vi {tab} à mesa, pela porta de vidro, no quarto clarão… isso ajuda, não é?</t>
        </is>
      </c>
      <c r="V46" s="13" t="inlineStr">
        <is>
          <t>Eu vi {tab} à mesa, pela porta de vidro, no quarto clarão. Isso eu garanto.</t>
        </is>
      </c>
      <c r="W46" s="13" t="inlineStr">
        <is>
          <t>Aquela chuva toda… E eu vi {tab} à mesa, pela porta de vidro, no quarto clarão.</t>
        </is>
      </c>
      <c r="X46" s="13" t="inlineStr">
        <is>
          <t>Quarto clarão: {tab} à mesa, visto pela porta de vidro.</t>
        </is>
      </c>
      <c r="Y46" s="10">
        <f>SUMPRODUCT(($H46:$Q46&lt;&gt;"")*ISERROR(SEARCH($H46:$Q46,S46)))+SUMPRODUCT(($H46:$Q46&lt;&gt;"")*ISERROR(SEARCH($H46:$Q46,T46)))+SUMPRODUCT(($H46:$Q46&lt;&gt;"")*ISERROR(SEARCH($H46:$Q46,U46)))+SUMPRODUCT(($H46:$Q46&lt;&gt;"")*ISERROR(SEARCH($H46:$Q46,V46)))+SUMPRODUCT(($H46:$Q46&lt;&gt;"")*ISERROR(SEARCH($H46:$Q46,W46)))+SUMPRODUCT(($H46:$Q46&lt;&gt;"")*ISERROR(SEARCH($H46:$Q46,X46)))</f>
        <v/>
      </c>
      <c r="Z46" s="10" t="inlineStr">
        <is>
          <t>&lt;i&gt;"…"&lt;/i&gt;, disse {obs}. (C6_ONDE[7][2] é só narração: não entra.)</t>
        </is>
      </c>
    </row>
    <row r="47" ht="57.45" customHeight="1" s="8">
      <c r="A47" s="10" t="inlineStr">
        <is>
          <t>c6-p4-med</t>
        </is>
      </c>
      <c r="B47" s="10" t="n">
        <v>4</v>
      </c>
      <c r="C47" s="10" t="inlineStr">
        <is>
          <t>Cap. 6: quem estava onde (o Médico)</t>
        </is>
      </c>
      <c r="D47" s="10" t="inlineStr">
        <is>
          <t>roteiro</t>
        </is>
      </c>
      <c r="E47" s="10" t="inlineStr">
        <is>
          <t>medico</t>
        </is>
      </c>
      <c r="F47" s="10" t="inlineStr">
        <is>
          <t>grupo</t>
        </is>
      </c>
      <c r="G47" s="10" t="inlineStr">
        <is>
          <t>Médico na casa</t>
        </is>
      </c>
      <c r="H47" s="10" t="inlineStr">
        <is>
          <t>sala de jantar</t>
        </is>
      </c>
      <c r="I47" s="10" t="inlineStr">
        <is>
          <t>{jor}</t>
        </is>
      </c>
      <c r="J47" s="10" t="inlineStr">
        <is>
          <t>falando</t>
        </is>
      </c>
      <c r="K47" s="10" t="inlineStr">
        <is>
          <t>tempo todo</t>
        </is>
      </c>
      <c r="L47" s="10" t="n"/>
      <c r="M47" s="10" t="n"/>
      <c r="N47" s="10" t="n"/>
      <c r="O47" s="10" t="n"/>
      <c r="P47" s="10" t="n"/>
      <c r="Q47" s="10" t="n"/>
      <c r="R47" s="10" t="inlineStr">
        <is>
          <t>Fiquei na sala de jantar com {jor}, falando, o tempo todo.</t>
        </is>
      </c>
      <c r="S47" s="13" t="inlineStr">
        <is>
          <t>Fiquei na sala de jantar com {jor}, falando, o tempo todo! Quantas vezes vou repetir?</t>
        </is>
      </c>
      <c r="T47" s="13" t="inlineStr">
        <is>
          <t>Sala de jantar. Com {jor}. Falando… o tempo todo.</t>
        </is>
      </c>
      <c r="U47" s="13" t="inlineStr">
        <is>
          <t>Fiquei na sala de jantar com {jor}, falando, o tempo todo… não foi?</t>
        </is>
      </c>
      <c r="V47" s="13" t="inlineStr">
        <is>
          <t>Fiquei na sala de jantar com {jor}, falando, o tempo todo.</t>
        </is>
      </c>
      <c r="W47" s="13" t="inlineStr">
        <is>
          <t>Com aquela umidade toda… Fiquei na sala de jantar com {jor}, falando, o tempo todo.</t>
        </is>
      </c>
      <c r="X47" s="13" t="inlineStr">
        <is>
          <t>Para a ata: sala de jantar, com {jor}, falando, o tempo todo.</t>
        </is>
      </c>
      <c r="Y47" s="10">
        <f>SUMPRODUCT(($H47:$Q47&lt;&gt;"")*ISERROR(SEARCH($H47:$Q47,S47)))+SUMPRODUCT(($H47:$Q47&lt;&gt;"")*ISERROR(SEARCH($H47:$Q47,T47)))+SUMPRODUCT(($H47:$Q47&lt;&gt;"")*ISERROR(SEARCH($H47:$Q47,U47)))+SUMPRODUCT(($H47:$Q47&lt;&gt;"")*ISERROR(SEARCH($H47:$Q47,V47)))+SUMPRODUCT(($H47:$Q47&lt;&gt;"")*ISERROR(SEARCH($H47:$Q47,W47)))+SUMPRODUCT(($H47:$Q47&lt;&gt;"")*ISERROR(SEARCH($H47:$Q47,X47)))</f>
        <v/>
      </c>
      <c r="Z47" s="10" t="inlineStr">
        <is>
          <t>&lt;i&gt;"…"&lt;/i&gt;, disse {med}, e {jor} confirmou. Médico (02/10): 13º personagem, só com 12 humanos, então é sempre humano; os tipos servem ao narrador.</t>
        </is>
      </c>
    </row>
    <row r="48" ht="46.25" customHeight="1" s="8">
      <c r="A48" s="10" t="inlineStr">
        <is>
          <t>c6-p3-01</t>
        </is>
      </c>
      <c r="B48" s="10" t="n">
        <v>3</v>
      </c>
      <c r="C48" s="10" t="inlineStr">
        <is>
          <t>Cap. 6: quem estava onde</t>
        </is>
      </c>
      <c r="D48" s="10" t="inlineStr">
        <is>
          <t>roteiro</t>
        </is>
      </c>
      <c r="E48" s="10" t="inlineStr">
        <is>
          <t>investigador</t>
        </is>
      </c>
      <c r="F48" s="10" t="inlineStr">
        <is>
          <t>grupo</t>
        </is>
      </c>
      <c r="G48" s="10" t="n"/>
      <c r="H48" s="10" t="inlineStr">
        <is>
          <t>capa</t>
        </is>
      </c>
      <c r="I48" s="10" t="inlineStr">
        <is>
          <t>nove e quinze</t>
        </is>
      </c>
      <c r="J48" s="10" t="inlineStr">
        <is>
          <t>biblioteca</t>
        </is>
      </c>
      <c r="K48" s="10" t="inlineStr">
        <is>
          <t>gelada</t>
        </is>
      </c>
      <c r="L48" s="10" t="n"/>
      <c r="M48" s="10" t="n"/>
      <c r="N48" s="10" t="n"/>
      <c r="O48" s="10" t="n"/>
      <c r="P48" s="10" t="n"/>
      <c r="Q48" s="10" t="n"/>
      <c r="R48" s="10" t="inlineStr">
        <is>
          <t>Emprestei minha capa às nove e quinze. A biblioteca estava gelada.</t>
        </is>
      </c>
      <c r="S48" s="13" t="inlineStr">
        <is>
          <t>Emprestei minha capa às nove e quinze! A biblioteca estava gelada.</t>
        </is>
      </c>
      <c r="T48" s="13" t="inlineStr">
        <is>
          <t>Emprestei minha capa… às nove e quinze. A biblioteca, gelada.</t>
        </is>
      </c>
      <c r="U48" s="13" t="inlineStr">
        <is>
          <t>Emprestei minha capa às nove e quinze. A biblioteca estava gelada, lembram?</t>
        </is>
      </c>
      <c r="V48" s="13" t="inlineStr">
        <is>
          <t>Emprestei minha capa às nove e quinze. A biblioteca estava gelada.</t>
        </is>
      </c>
      <c r="W48" s="13" t="inlineStr">
        <is>
          <t>Aquele frio… emprestei minha capa às nove e quinze. A biblioteca estava gelada.</t>
        </is>
      </c>
      <c r="X48" s="13" t="inlineStr">
        <is>
          <t>Nove e quinze: emprestei minha capa. Motivo: biblioteca gelada.</t>
        </is>
      </c>
      <c r="Y48" s="10">
        <f>SUMPRODUCT(($H48:$Q48&lt;&gt;"")*ISERROR(SEARCH($H48:$Q48,S48)))+SUMPRODUCT(($H48:$Q48&lt;&gt;"")*ISERROR(SEARCH($H48:$Q48,T48)))+SUMPRODUCT(($H48:$Q48&lt;&gt;"")*ISERROR(SEARCH($H48:$Q48,U48)))+SUMPRODUCT(($H48:$Q48&lt;&gt;"")*ISERROR(SEARCH($H48:$Q48,V48)))+SUMPRODUCT(($H48:$Q48&lt;&gt;"")*ISERROR(SEARCH($H48:$Q48,W48)))+SUMPRODUCT(($H48:$Q48&lt;&gt;"")*ISERROR(SEARCH($H48:$Q48,X48)))</f>
        <v/>
      </c>
      <c r="Z48" s="10" t="inlineStr">
        <is>
          <t>&lt;i&gt;"…"&lt;/i&gt;, disse {inv}. A capa é a manga clara e larga vista junto ao pêndulo. P3/P11 como casa de 6 (02/10). Falas do cânone.</t>
        </is>
      </c>
    </row>
    <row r="49" ht="35.05" customHeight="1" s="8">
      <c r="A49" s="10" t="inlineStr">
        <is>
          <t>c6-p3-02</t>
        </is>
      </c>
      <c r="B49" s="10" t="n">
        <v>3</v>
      </c>
      <c r="C49" s="10" t="inlineStr">
        <is>
          <t>Cap. 6: quem estava onde</t>
        </is>
      </c>
      <c r="D49" s="10" t="inlineStr">
        <is>
          <t>roteiro</t>
        </is>
      </c>
      <c r="E49" s="10" t="inlineStr">
        <is>
          <t>herdeira</t>
        </is>
      </c>
      <c r="F49" s="10" t="inlineStr">
        <is>
          <t>grupo</t>
        </is>
      </c>
      <c r="G49" s="10" t="n"/>
      <c r="H49" s="10" t="inlineStr">
        <is>
          <t>devolvi</t>
        </is>
      </c>
      <c r="I49" s="10" t="inlineStr">
        <is>
          <t>nove e vinte</t>
        </is>
      </c>
      <c r="J49" s="10" t="n"/>
      <c r="K49" s="10" t="n"/>
      <c r="L49" s="10" t="n"/>
      <c r="M49" s="10" t="n"/>
      <c r="N49" s="10" t="n"/>
      <c r="O49" s="10" t="n"/>
      <c r="P49" s="10" t="n"/>
      <c r="Q49" s="10" t="n"/>
      <c r="R49" s="10" t="inlineStr">
        <is>
          <t>Devolvi às nove e vinte.</t>
        </is>
      </c>
      <c r="S49" s="13" t="inlineStr">
        <is>
          <t>Devolvi às nove e vinte!</t>
        </is>
      </c>
      <c r="T49" s="13" t="inlineStr">
        <is>
          <t>Devolvi… às nove e vinte.</t>
        </is>
      </c>
      <c r="U49" s="13" t="inlineStr">
        <is>
          <t>Devolvi às nove e vinte, não foi?</t>
        </is>
      </c>
      <c r="V49" s="13" t="inlineStr">
        <is>
          <t>Devolvi às nove e vinte.</t>
        </is>
      </c>
      <c r="W49" s="13" t="inlineStr">
        <is>
          <t>Devolvi às nove e vinte, com aquela demora toda.</t>
        </is>
      </c>
      <c r="X49" s="13" t="inlineStr">
        <is>
          <t>Devolvi às nove e vinte. Consta.</t>
        </is>
      </c>
      <c r="Y49" s="10">
        <f>SUMPRODUCT(($H49:$Q49&lt;&gt;"")*ISERROR(SEARCH($H49:$Q49,S49)))+SUMPRODUCT(($H49:$Q49&lt;&gt;"")*ISERROR(SEARCH($H49:$Q49,T49)))+SUMPRODUCT(($H49:$Q49&lt;&gt;"")*ISERROR(SEARCH($H49:$Q49,U49)))+SUMPRODUCT(($H49:$Q49&lt;&gt;"")*ISERROR(SEARCH($H49:$Q49,V49)))+SUMPRODUCT(($H49:$Q49&lt;&gt;"")*ISERROR(SEARCH($H49:$Q49,W49)))+SUMPRODUCT(($H49:$Q49&lt;&gt;"")*ISERROR(SEARCH($H49:$Q49,X49)))</f>
        <v/>
      </c>
      <c r="Z49" s="10" t="inlineStr">
        <is>
          <t>&lt;i&gt;"…"&lt;/i&gt;, disse {her}. Mentira da Herdeira sobre a capa. P3/P11 como casa de 6 (02/10). Falas do cânone.</t>
        </is>
      </c>
    </row>
    <row r="50" ht="35.05" customHeight="1" s="8">
      <c r="A50" s="10" t="inlineStr">
        <is>
          <t>c6-p3-03</t>
        </is>
      </c>
      <c r="B50" s="10" t="n">
        <v>3</v>
      </c>
      <c r="C50" s="10" t="inlineStr">
        <is>
          <t>Cap. 6: quem estava onde</t>
        </is>
      </c>
      <c r="D50" s="10" t="inlineStr">
        <is>
          <t>roteiro</t>
        </is>
      </c>
      <c r="E50" s="10" t="inlineStr">
        <is>
          <t>investigador</t>
        </is>
      </c>
      <c r="F50" s="10" t="inlineStr">
        <is>
          <t>grupo</t>
        </is>
      </c>
      <c r="G50" s="10" t="n"/>
      <c r="H50" s="10" t="inlineStr">
        <is>
          <t>cadeira da biblioteca</t>
        </is>
      </c>
      <c r="I50" s="10" t="inlineStr">
        <is>
          <t>molhada no punho</t>
        </is>
      </c>
      <c r="J50" s="10" t="inlineStr">
        <is>
          <t>graxa</t>
        </is>
      </c>
      <c r="K50" s="10" t="n"/>
      <c r="L50" s="10" t="n"/>
      <c r="M50" s="10" t="n"/>
      <c r="N50" s="10" t="n"/>
      <c r="O50" s="10" t="n"/>
      <c r="P50" s="10" t="n"/>
      <c r="Q50" s="10" t="n"/>
      <c r="R50" s="10" t="inlineStr">
        <is>
          <t>Estava na cadeira da biblioteca. Molhada no punho. Com graxa.</t>
        </is>
      </c>
      <c r="S50" s="13" t="inlineStr">
        <is>
          <t>Estava na cadeira da biblioteca! Molhada no punho. Com graxa.</t>
        </is>
      </c>
      <c r="T50" s="13" t="inlineStr">
        <is>
          <t>Na cadeira da biblioteca. … Molhada no punho. Com graxa.</t>
        </is>
      </c>
      <c r="U50" s="13" t="inlineStr">
        <is>
          <t>Estava na cadeira da biblioteca. Molhada no punho, com graxa… por quê?</t>
        </is>
      </c>
      <c r="V50" s="13" t="inlineStr">
        <is>
          <t>Estava na cadeira da biblioteca. Molhada no punho. Com graxa.</t>
        </is>
      </c>
      <c r="W50" s="13" t="inlineStr">
        <is>
          <t>Estava na cadeira da biblioteca, úmida como tudo aqui. Molhada no punho. Com graxa.</t>
        </is>
      </c>
      <c r="X50" s="13" t="inlineStr">
        <is>
          <t>Local: cadeira da biblioteca. Estado: molhada no punho, com graxa.</t>
        </is>
      </c>
      <c r="Y50" s="10">
        <f>SUMPRODUCT(($H50:$Q50&lt;&gt;"")*ISERROR(SEARCH($H50:$Q50,S50)))+SUMPRODUCT(($H50:$Q50&lt;&gt;"")*ISERROR(SEARCH($H50:$Q50,T50)))+SUMPRODUCT(($H50:$Q50&lt;&gt;"")*ISERROR(SEARCH($H50:$Q50,U50)))+SUMPRODUCT(($H50:$Q50&lt;&gt;"")*ISERROR(SEARCH($H50:$Q50,V50)))+SUMPRODUCT(($H50:$Q50&lt;&gt;"")*ISERROR(SEARCH($H50:$Q50,W50)))+SUMPRODUCT(($H50:$Q50&lt;&gt;"")*ISERROR(SEARCH($H50:$Q50,X50)))</f>
        <v/>
      </c>
      <c r="Z50" s="10" t="inlineStr">
        <is>
          <t>&lt;i&gt;"…"&lt;/i&gt;, respondeu {inv}. P3/P11 como casa de 6 (02/10). Falas do cânone.</t>
        </is>
      </c>
    </row>
    <row r="51" ht="35.05" customHeight="1" s="8">
      <c r="A51" s="10" t="inlineStr">
        <is>
          <t>c6-p3-04</t>
        </is>
      </c>
      <c r="B51" s="10" t="n">
        <v>3</v>
      </c>
      <c r="C51" s="10" t="inlineStr">
        <is>
          <t>Cap. 6: quem estava onde</t>
        </is>
      </c>
      <c r="D51" s="10" t="inlineStr">
        <is>
          <t>roteiro</t>
        </is>
      </c>
      <c r="E51" s="10" t="inlineStr">
        <is>
          <t>policial</t>
        </is>
      </c>
      <c r="F51" s="10" t="inlineStr">
        <is>
          <t>grupo</t>
        </is>
      </c>
      <c r="G51" s="10" t="n"/>
      <c r="H51" s="10" t="inlineStr">
        <is>
          <t>quarto clarão</t>
        </is>
      </c>
      <c r="I51" s="10" t="inlineStr">
        <is>
          <t>manga clara</t>
        </is>
      </c>
      <c r="J51" s="10" t="inlineStr">
        <is>
          <t>larga</t>
        </is>
      </c>
      <c r="K51" s="10" t="inlineStr">
        <is>
          <t>junto ao pêndulo</t>
        </is>
      </c>
      <c r="L51" s="10" t="inlineStr">
        <is>
          <t>estalo de madeira</t>
        </is>
      </c>
      <c r="M51" s="10" t="inlineStr">
        <is>
          <t>de que lado</t>
        </is>
      </c>
      <c r="N51" s="10" t="n"/>
      <c r="O51" s="10" t="n"/>
      <c r="P51" s="10" t="n"/>
      <c r="Q51" s="10" t="n"/>
      <c r="R51" s="10" t="inlineStr">
        <is>
          <t>No quarto clarão vi uma manga clara, larga, junto ao pêndulo. E um estalo de madeira. Não sei de que lado.</t>
        </is>
      </c>
      <c r="S51" s="13" t="inlineStr">
        <is>
          <t>No quarto clarão vi uma manga clara, larga, junto ao pêndulo! E um estalo de madeira. Não sei de que lado.</t>
        </is>
      </c>
      <c r="T51" s="13" t="inlineStr">
        <is>
          <t>No quarto clarão… uma manga clara, larga. Junto ao pêndulo. E um estalo de madeira. De que lado… não sei.</t>
        </is>
      </c>
      <c r="U51" s="13" t="inlineStr">
        <is>
          <t>No quarto clarão vi uma manga clara, larga, junto ao pêndulo. E um estalo de madeira… não sei de que lado.</t>
        </is>
      </c>
      <c r="V51" s="13" t="inlineStr">
        <is>
          <t>No quarto clarão vi uma manga clara, larga, junto ao pêndulo. E um estalo de madeira. Não sei de que lado.</t>
        </is>
      </c>
      <c r="W51" s="13" t="inlineStr">
        <is>
          <t>Escuro e chuva… no quarto clarão vi uma manga clara, larga, junto ao pêndulo. E um estalo de madeira. Não sei de que lado.</t>
        </is>
      </c>
      <c r="X51" s="13" t="inlineStr">
        <is>
          <t>Quarto clarão: manga clara, larga, junto ao pêndulo. Estalo de madeira, não sei de que lado.</t>
        </is>
      </c>
      <c r="Y51" s="10">
        <f>SUMPRODUCT(($H51:$Q51&lt;&gt;"")*ISERROR(SEARCH($H51:$Q51,S51)))+SUMPRODUCT(($H51:$Q51&lt;&gt;"")*ISERROR(SEARCH($H51:$Q51,T51)))+SUMPRODUCT(($H51:$Q51&lt;&gt;"")*ISERROR(SEARCH($H51:$Q51,U51)))+SUMPRODUCT(($H51:$Q51&lt;&gt;"")*ISERROR(SEARCH($H51:$Q51,V51)))+SUMPRODUCT(($H51:$Q51&lt;&gt;"")*ISERROR(SEARCH($H51:$Q51,W51)))+SUMPRODUCT(($H51:$Q51&lt;&gt;"")*ISERROR(SEARCH($H51:$Q51,X51)))</f>
        <v/>
      </c>
      <c r="Z51" s="10" t="inlineStr">
        <is>
          <t>&lt;i&gt;"…"&lt;/i&gt;, disse {pol}. P3/P11 como casa de 6 (02/10). Falas do cânone.</t>
        </is>
      </c>
    </row>
    <row r="52" ht="46.25" customHeight="1" s="8">
      <c r="A52" s="10" t="inlineStr">
        <is>
          <t>c6-p3-05</t>
        </is>
      </c>
      <c r="B52" s="10" t="n">
        <v>3</v>
      </c>
      <c r="C52" s="10" t="inlineStr">
        <is>
          <t>Cap. 6: quem estava onde</t>
        </is>
      </c>
      <c r="D52" s="10" t="inlineStr">
        <is>
          <t>roteiro</t>
        </is>
      </c>
      <c r="E52" s="10" t="inlineStr">
        <is>
          <t>residente</t>
        </is>
      </c>
      <c r="F52" s="10" t="inlineStr">
        <is>
          <t>grupo</t>
        </is>
      </c>
      <c r="G52" s="10" t="n"/>
      <c r="H52" s="10" t="inlineStr">
        <is>
          <t>varanda</t>
        </is>
      </c>
      <c r="I52" s="10" t="inlineStr">
        <is>
          <t>falei com ela</t>
        </is>
      </c>
      <c r="J52" s="10" t="inlineStr">
        <is>
          <t>janela da biblioteca</t>
        </is>
      </c>
      <c r="K52" s="10" t="n"/>
      <c r="L52" s="10" t="n"/>
      <c r="M52" s="10" t="n"/>
      <c r="N52" s="10" t="n"/>
      <c r="O52" s="10" t="n"/>
      <c r="P52" s="10" t="n"/>
      <c r="Q52" s="10" t="n"/>
      <c r="R52" s="10" t="inlineStr">
        <is>
          <t>Eu estava na varanda. Falei com ela pela janela da biblioteca.</t>
        </is>
      </c>
      <c r="S52" s="13" t="inlineStr">
        <is>
          <t>Eu estava na varanda! Falei com ela pela janela da biblioteca.</t>
        </is>
      </c>
      <c r="T52" s="13" t="inlineStr">
        <is>
          <t>Eu estava na varanda. Falei com ela… pela janela da biblioteca.</t>
        </is>
      </c>
      <c r="U52" s="13" t="inlineStr">
        <is>
          <t>Eu estava na varanda. Falei com ela pela janela da biblioteca, não falei?</t>
        </is>
      </c>
      <c r="V52" s="13" t="inlineStr">
        <is>
          <t>Eu estava na varanda. Falei com ela pela janela da biblioteca.</t>
        </is>
      </c>
      <c r="W52" s="13" t="inlineStr">
        <is>
          <t>Molhado até os ossos… eu estava na varanda. Falei com ela pela janela da biblioteca.</t>
        </is>
      </c>
      <c r="X52" s="13" t="inlineStr">
        <is>
          <t>Posição: varanda. Falei com ela pela janela da biblioteca.</t>
        </is>
      </c>
      <c r="Y52" s="10">
        <f>SUMPRODUCT(($H52:$Q52&lt;&gt;"")*ISERROR(SEARCH($H52:$Q52,S52)))+SUMPRODUCT(($H52:$Q52&lt;&gt;"")*ISERROR(SEARCH($H52:$Q52,T52)))+SUMPRODUCT(($H52:$Q52&lt;&gt;"")*ISERROR(SEARCH($H52:$Q52,U52)))+SUMPRODUCT(($H52:$Q52&lt;&gt;"")*ISERROR(SEARCH($H52:$Q52,V52)))+SUMPRODUCT(($H52:$Q52&lt;&gt;"")*ISERROR(SEARCH($H52:$Q52,W52)))+SUMPRODUCT(($H52:$Q52&lt;&gt;"")*ISERROR(SEARCH($H52:$Q52,X52)))</f>
        <v/>
      </c>
      <c r="Z52" s="10" t="inlineStr">
        <is>
          <t>&lt;i&gt;"…"&lt;/i&gt;, disse {res}. É a mentira do ajudante (para esconder a calha). P3/P11 como casa de 6 (02/10). Falas do cânone.</t>
        </is>
      </c>
    </row>
    <row r="53" ht="35.05" customHeight="1" s="8">
      <c r="A53" s="10" t="inlineStr">
        <is>
          <t>c6-p3-06</t>
        </is>
      </c>
      <c r="B53" s="10" t="n">
        <v>3</v>
      </c>
      <c r="C53" s="10" t="inlineStr">
        <is>
          <t>Cap. 6: quem estava onde</t>
        </is>
      </c>
      <c r="D53" s="10" t="inlineStr">
        <is>
          <t>roteiro</t>
        </is>
      </c>
      <c r="E53" s="10" t="inlineStr">
        <is>
          <t>policial</t>
        </is>
      </c>
      <c r="F53" s="10" t="inlineStr">
        <is>
          <t>grupo</t>
        </is>
      </c>
      <c r="G53" s="10" t="n"/>
      <c r="H53" s="10" t="inlineStr">
        <is>
          <t>quinto clarão</t>
        </is>
      </c>
      <c r="I53" s="10" t="inlineStr">
        <is>
          <t>varanda</t>
        </is>
      </c>
      <c r="J53" s="10" t="inlineStr">
        <is>
          <t>vazia</t>
        </is>
      </c>
      <c r="K53" s="10" t="n"/>
      <c r="L53" s="10" t="n"/>
      <c r="M53" s="10" t="n"/>
      <c r="N53" s="10" t="n"/>
      <c r="O53" s="10" t="n"/>
      <c r="P53" s="10" t="n"/>
      <c r="Q53" s="10" t="n"/>
      <c r="R53" s="10" t="inlineStr">
        <is>
          <t>No quinto clarão a varanda estava vazia.</t>
        </is>
      </c>
      <c r="S53" s="13" t="inlineStr">
        <is>
          <t>No quinto clarão a varanda estava vazia!</t>
        </is>
      </c>
      <c r="T53" s="13" t="inlineStr">
        <is>
          <t>No quinto clarão… a varanda. Vazia.</t>
        </is>
      </c>
      <c r="U53" s="13" t="inlineStr">
        <is>
          <t>No quinto clarão a varanda estava vazia… estava, sim.</t>
        </is>
      </c>
      <c r="V53" s="13" t="inlineStr">
        <is>
          <t>No quinto clarão a varanda estava vazia.</t>
        </is>
      </c>
      <c r="W53" s="13" t="inlineStr">
        <is>
          <t>No quinto clarão, com aquela chuva, a varanda estava vazia.</t>
        </is>
      </c>
      <c r="X53" s="13" t="inlineStr">
        <is>
          <t>Quinto clarão: varanda vazia.</t>
        </is>
      </c>
      <c r="Y53" s="10">
        <f>SUMPRODUCT(($H53:$Q53&lt;&gt;"")*ISERROR(SEARCH($H53:$Q53,S53)))+SUMPRODUCT(($H53:$Q53&lt;&gt;"")*ISERROR(SEARCH($H53:$Q53,T53)))+SUMPRODUCT(($H53:$Q53&lt;&gt;"")*ISERROR(SEARCH($H53:$Q53,U53)))+SUMPRODUCT(($H53:$Q53&lt;&gt;"")*ISERROR(SEARCH($H53:$Q53,V53)))+SUMPRODUCT(($H53:$Q53&lt;&gt;"")*ISERROR(SEARCH($H53:$Q53,W53)))+SUMPRODUCT(($H53:$Q53&lt;&gt;"")*ISERROR(SEARCH($H53:$Q53,X53)))</f>
        <v/>
      </c>
      <c r="Z53" s="10" t="inlineStr">
        <is>
          <t>&lt;i&gt;"…"&lt;/i&gt;, disse {pol}. Prova própria do ajudante. P3/P11 como casa de 6 (02/10). Falas do cânone.</t>
        </is>
      </c>
    </row>
    <row r="54" ht="46.25" customHeight="1" s="8">
      <c r="A54" s="10" t="inlineStr">
        <is>
          <t>c6-p3-07</t>
        </is>
      </c>
      <c r="B54" s="10" t="n">
        <v>3</v>
      </c>
      <c r="C54" s="10" t="inlineStr">
        <is>
          <t>Cap. 6: quem estava onde</t>
        </is>
      </c>
      <c r="D54" s="10" t="inlineStr">
        <is>
          <t>roteiro</t>
        </is>
      </c>
      <c r="E54" s="10" t="inlineStr">
        <is>
          <t>faroleiro</t>
        </is>
      </c>
      <c r="F54" s="10" t="inlineStr">
        <is>
          <t>grupo (pelo rádio)</t>
        </is>
      </c>
      <c r="G54" s="10" t="n"/>
      <c r="H54" s="10" t="inlineStr">
        <is>
          <t>três últimos clarões</t>
        </is>
      </c>
      <c r="I54" s="10" t="inlineStr">
        <is>
          <t>vulto</t>
        </is>
      </c>
      <c r="J54" s="10" t="inlineStr">
        <is>
          <t>faixa que brilha</t>
        </is>
      </c>
      <c r="K54" s="10" t="inlineStr">
        <is>
          <t>jardim</t>
        </is>
      </c>
      <c r="L54" s="10" t="inlineStr">
        <is>
          <t>calha</t>
        </is>
      </c>
      <c r="M54" s="10" t="n"/>
      <c r="N54" s="10" t="n"/>
      <c r="O54" s="10" t="n"/>
      <c r="P54" s="10" t="n"/>
      <c r="Q54" s="10" t="n"/>
      <c r="R54" s="10" t="inlineStr">
        <is>
          <t>Nos três últimos clarões, um vulto com faixa que brilha, no jardim, perto da calha.</t>
        </is>
      </c>
      <c r="S54" s="13" t="inlineStr">
        <is>
          <t>Nos três últimos clarões, um vulto com faixa que brilha, no jardim, perto da calha! Eu vi.</t>
        </is>
      </c>
      <c r="T54" s="13" t="inlineStr">
        <is>
          <t>Nos três últimos clarões… um vulto com faixa que brilha. No jardim. Perto da calha.</t>
        </is>
      </c>
      <c r="U54" s="13" t="inlineStr">
        <is>
          <t>Nos três últimos clarões, um vulto com faixa que brilha, no jardim, perto da calha. Ajuda?</t>
        </is>
      </c>
      <c r="V54" s="13" t="inlineStr">
        <is>
          <t>Nos três últimos clarões, um vulto com faixa que brilha, no jardim, perto da calha.</t>
        </is>
      </c>
      <c r="W54" s="13" t="inlineStr">
        <is>
          <t>Aqui em cima não para de chover… nos três últimos clarões, um vulto com faixa que brilha, no jardim, perto da calha.</t>
        </is>
      </c>
      <c r="X54" s="13" t="inlineStr">
        <is>
          <t>Do registro do farol: nos três últimos clarões, um vulto com faixa que brilha, no jardim, perto da calha.</t>
        </is>
      </c>
      <c r="Y54" s="10">
        <f>SUMPRODUCT(($H54:$Q54&lt;&gt;"")*ISERROR(SEARCH($H54:$Q54,S54)))+SUMPRODUCT(($H54:$Q54&lt;&gt;"")*ISERROR(SEARCH($H54:$Q54,T54)))+SUMPRODUCT(($H54:$Q54&lt;&gt;"")*ISERROR(SEARCH($H54:$Q54,U54)))+SUMPRODUCT(($H54:$Q54&lt;&gt;"")*ISERROR(SEARCH($H54:$Q54,V54)))+SUMPRODUCT(($H54:$Q54&lt;&gt;"")*ISERROR(SEARCH($H54:$Q54,W54)))+SUMPRODUCT(($H54:$Q54&lt;&gt;"")*ISERROR(SEARCH($H54:$Q54,X54)))</f>
        <v/>
      </c>
      <c r="Z54" s="10" t="inlineStr">
        <is>
          <t>O rádio chiou: &lt;i&gt;"…"&lt;/i&gt;. Mesmo texto de c5-p3-farol; usar o mesmo tipo do Faroleiro. P3/P11 como casa de 6 (02/10). Falas do cânone.</t>
        </is>
      </c>
    </row>
    <row r="55" ht="57.45" customHeight="1" s="8">
      <c r="A55" s="10" t="inlineStr">
        <is>
          <t>c6-p3-08</t>
        </is>
      </c>
      <c r="B55" s="10" t="n">
        <v>3</v>
      </c>
      <c r="C55" s="10" t="inlineStr">
        <is>
          <t>Cap. 6: quem estava onde</t>
        </is>
      </c>
      <c r="D55" s="10" t="inlineStr">
        <is>
          <t>roteiro</t>
        </is>
      </c>
      <c r="E55" s="10" t="inlineStr">
        <is>
          <t>residente</t>
        </is>
      </c>
      <c r="F55" s="10" t="inlineStr">
        <is>
          <t>grupo</t>
        </is>
      </c>
      <c r="G55" s="10" t="n"/>
      <c r="H55" s="10" t="inlineStr">
        <is>
          <t>ver a calha</t>
        </is>
      </c>
      <c r="I55" s="10" t="inlineStr">
        <is>
          <t>vaza</t>
        </is>
      </c>
      <c r="J55" s="10" t="inlineStr">
        <is>
          <t>devia ter consertado</t>
        </is>
      </c>
      <c r="K55" s="10" t="n"/>
      <c r="L55" s="10" t="n"/>
      <c r="M55" s="10" t="n"/>
      <c r="N55" s="10" t="n"/>
      <c r="O55" s="10" t="n"/>
      <c r="P55" s="10" t="n"/>
      <c r="Q55" s="10" t="n"/>
      <c r="R55" s="10" t="inlineStr">
        <is>
          <t>Fui ver a calha. Ela vaza. Eu devia ter consertado.</t>
        </is>
      </c>
      <c r="S55" s="13" t="inlineStr">
        <is>
          <t>Fui ver a calha! Ela vaza. Eu devia ter consertado.</t>
        </is>
      </c>
      <c r="T55" s="13" t="inlineStr">
        <is>
          <t>Fui ver a calha. … Ela vaza. Eu devia ter consertado.</t>
        </is>
      </c>
      <c r="U55" s="13" t="inlineStr">
        <is>
          <t>Fui ver a calha. Ela vaza… eu devia ter consertado, eu sei.</t>
        </is>
      </c>
      <c r="V55" s="13" t="inlineStr">
        <is>
          <t>Fui ver a calha. Ela vaza. Eu devia ter consertado.</t>
        </is>
      </c>
      <c r="W55" s="13" t="inlineStr">
        <is>
          <t>Essa chuva toda… fui ver a calha. Ela vaza. Eu devia ter consertado.</t>
        </is>
      </c>
      <c r="X55" s="13" t="inlineStr">
        <is>
          <t>Fui ver a calha. Defeito: vaza. Eu devia ter consertado.</t>
        </is>
      </c>
      <c r="Y55" s="10">
        <f>SUMPRODUCT(($H55:$Q55&lt;&gt;"")*ISERROR(SEARCH($H55:$Q55,S55)))+SUMPRODUCT(($H55:$Q55&lt;&gt;"")*ISERROR(SEARCH($H55:$Q55,T55)))+SUMPRODUCT(($H55:$Q55&lt;&gt;"")*ISERROR(SEARCH($H55:$Q55,U55)))+SUMPRODUCT(($H55:$Q55&lt;&gt;"")*ISERROR(SEARCH($H55:$Q55,V55)))+SUMPRODUCT(($H55:$Q55&lt;&gt;"")*ISERROR(SEARCH($H55:$Q55,W55)))+SUMPRODUCT(($H55:$Q55&lt;&gt;"")*ISERROR(SEARCH($H55:$Q55,X55)))</f>
        <v/>
      </c>
      <c r="Z55" s="10" t="inlineStr">
        <is>
          <t>&lt;i&gt;"…"&lt;/i&gt;, disse {res}, baixo. Falou baixo: o Explosivo pode ter a exclamação, mas sem acusação. P3/P11 como casa de 6 (02/10). Falas do cânone.</t>
        </is>
      </c>
    </row>
    <row r="56" ht="46.25" customHeight="1" s="8">
      <c r="A56" s="10" t="inlineStr">
        <is>
          <t>c6-p3-09</t>
        </is>
      </c>
      <c r="B56" s="10" t="n">
        <v>3</v>
      </c>
      <c r="C56" s="10" t="inlineStr">
        <is>
          <t>Cap. 6: quem estava onde</t>
        </is>
      </c>
      <c r="D56" s="10" t="inlineStr">
        <is>
          <t>roteiro</t>
        </is>
      </c>
      <c r="E56" s="10" t="inlineStr">
        <is>
          <t>residente</t>
        </is>
      </c>
      <c r="F56" s="10" t="inlineStr">
        <is>
          <t>grupo</t>
        </is>
      </c>
      <c r="G56" s="10" t="n"/>
      <c r="H56" s="10" t="inlineStr">
        <is>
          <t>quarto clarão</t>
        </is>
      </c>
      <c r="I56" s="10" t="inlineStr">
        <is>
          <t>da calha</t>
        </is>
      </c>
      <c r="J56" s="10" t="inlineStr">
        <is>
          <t>biblioteca</t>
        </is>
      </c>
      <c r="K56" s="10" t="inlineStr">
        <is>
          <t>porta-janela</t>
        </is>
      </c>
      <c r="L56" s="10" t="inlineStr">
        <is>
          <t>vazia</t>
        </is>
      </c>
      <c r="M56" s="10" t="inlineStr">
        <is>
          <t>não falei com ninguém</t>
        </is>
      </c>
      <c r="N56" s="10" t="n"/>
      <c r="O56" s="10" t="n"/>
      <c r="P56" s="10" t="n"/>
      <c r="Q56" s="10" t="n"/>
      <c r="R56" s="10" t="inlineStr">
        <is>
          <t>E no quarto clarão, da calha, vi a biblioteca pela porta-janela. Vazia. Não falei com ninguém.</t>
        </is>
      </c>
      <c r="S56" s="13" t="inlineStr">
        <is>
          <t>E no quarto clarão, da calha, vi a biblioteca pela porta-janela. Vazia! Não falei com ninguém.</t>
        </is>
      </c>
      <c r="T56" s="13" t="inlineStr">
        <is>
          <t>E no quarto clarão… da calha, vi a biblioteca pela porta-janela. Vazia. Não falei com ninguém.</t>
        </is>
      </c>
      <c r="U56" s="13" t="inlineStr">
        <is>
          <t>E no quarto clarão, da calha, vi a biblioteca pela porta-janela. Vazia. Não falei com ninguém… desculpa.</t>
        </is>
      </c>
      <c r="V56" s="13" t="inlineStr">
        <is>
          <t>E no quarto clarão, da calha, vi a biblioteca pela porta-janela. Vazia. Não falei com ninguém.</t>
        </is>
      </c>
      <c r="W56" s="13" t="inlineStr">
        <is>
          <t>E no quarto clarão, debaixo daquela água, da calha, vi a biblioteca pela porta-janela. Vazia. Não falei com ninguém.</t>
        </is>
      </c>
      <c r="X56" s="13" t="inlineStr">
        <is>
          <t>E no quarto clarão, da calha, vi a biblioteca pela porta-janela: vazia. Retifico: não falei com ninguém.</t>
        </is>
      </c>
      <c r="Y56" s="10">
        <f>SUMPRODUCT(($H56:$Q56&lt;&gt;"")*ISERROR(SEARCH($H56:$Q56,S56)))+SUMPRODUCT(($H56:$Q56&lt;&gt;"")*ISERROR(SEARCH($H56:$Q56,T56)))+SUMPRODUCT(($H56:$Q56&lt;&gt;"")*ISERROR(SEARCH($H56:$Q56,U56)))+SUMPRODUCT(($H56:$Q56&lt;&gt;"")*ISERROR(SEARCH($H56:$Q56,V56)))+SUMPRODUCT(($H56:$Q56&lt;&gt;"")*ISERROR(SEARCH($H56:$Q56,W56)))+SUMPRODUCT(($H56:$Q56&lt;&gt;"")*ISERROR(SEARCH($H56:$Q56,X56)))</f>
        <v/>
      </c>
      <c r="Z56" s="10" t="inlineStr">
        <is>
          <t>Demorou a continuar. &lt;i&gt;"…"&lt;/i&gt;. A segunda fonte de ausência da impostora. P3/P11 como casa de 6 (02/10). Falas do cânone.</t>
        </is>
      </c>
    </row>
    <row r="57" ht="46.25" customHeight="1" s="8">
      <c r="A57" s="10" t="inlineStr">
        <is>
          <t>c6-p3-10</t>
        </is>
      </c>
      <c r="B57" s="10" t="n">
        <v>3</v>
      </c>
      <c r="C57" s="10" t="inlineStr">
        <is>
          <t>Cap. 6: quem estava onde</t>
        </is>
      </c>
      <c r="D57" s="10" t="inlineStr">
        <is>
          <t>roteiro</t>
        </is>
      </c>
      <c r="E57" s="10" t="inlineStr">
        <is>
          <t>investigador</t>
        </is>
      </c>
      <c r="F57" s="10" t="inlineStr">
        <is>
          <t>grupo</t>
        </is>
      </c>
      <c r="G57" s="10" t="n"/>
      <c r="H57" s="10" t="inlineStr">
        <is>
          <t>grito</t>
        </is>
      </c>
      <c r="I57" s="10" t="inlineStr">
        <is>
          <t>{de:pol}</t>
        </is>
      </c>
      <c r="J57" s="10" t="inlineStr">
        <is>
          <t>vir da porta</t>
        </is>
      </c>
      <c r="K57" s="10" t="inlineStr">
        <is>
          <t>quarto clarão</t>
        </is>
      </c>
      <c r="L57" s="10" t="inlineStr">
        <is>
          <t>rádio</t>
        </is>
      </c>
      <c r="M57" s="10" t="inlineStr">
        <is>
          <t>sessenta</t>
        </is>
      </c>
      <c r="N57" s="10" t="inlineStr">
        <is>
          <t>noventa</t>
        </is>
      </c>
      <c r="O57" s="10" t="n"/>
      <c r="P57" s="10" t="n"/>
      <c r="Q57" s="10" t="n"/>
      <c r="R57" s="10" t="inlineStr">
        <is>
          <t>E eu ouvi o grito {de:pol} vir da porta, no quarto clarão. Do rádio. O farol falou comigo aos sessenta e aos noventa.</t>
        </is>
      </c>
      <c r="S57" s="13" t="inlineStr">
        <is>
          <t>E eu ouvi o grito {de:pol} vir da porta, no quarto clarão! Do rádio. O farol falou comigo aos sessenta e aos noventa.</t>
        </is>
      </c>
      <c r="T57" s="13" t="inlineStr">
        <is>
          <t>E eu ouvi o grito {de:pol} vir da porta… no quarto clarão. Do rádio. O farol falou comigo aos sessenta e aos noventa.</t>
        </is>
      </c>
      <c r="U57" s="13" t="inlineStr">
        <is>
          <t>E eu ouvi o grito {de:pol} vir da porta, no quarto clarão. Do rádio. O farol falou comigo aos sessenta e aos noventa, lembram?</t>
        </is>
      </c>
      <c r="V57" s="13" t="inlineStr">
        <is>
          <t>E eu ouvi o grito {de:pol} vir da porta, no quarto clarão. Do rádio. O farol falou comigo aos sessenta e aos noventa.</t>
        </is>
      </c>
      <c r="W57" s="13" t="inlineStr">
        <is>
          <t>E eu, no frio do vestíbulo, ouvi o grito {de:pol} vir da porta, no quarto clarão. Do rádio. O farol falou comigo aos sessenta e aos noventa.</t>
        </is>
      </c>
      <c r="X57" s="13" t="inlineStr">
        <is>
          <t>Quarto clarão: ouvi o grito {de:pol} vir da porta. Eu estava no rádio. O farol falou comigo aos sessenta e aos noventa.</t>
        </is>
      </c>
      <c r="Y57" s="10">
        <f>SUMPRODUCT(($H57:$Q57&lt;&gt;"")*ISERROR(SEARCH($H57:$Q57,S57)))+SUMPRODUCT(($H57:$Q57&lt;&gt;"")*ISERROR(SEARCH($H57:$Q57,T57)))+SUMPRODUCT(($H57:$Q57&lt;&gt;"")*ISERROR(SEARCH($H57:$Q57,U57)))+SUMPRODUCT(($H57:$Q57&lt;&gt;"")*ISERROR(SEARCH($H57:$Q57,V57)))+SUMPRODUCT(($H57:$Q57&lt;&gt;"")*ISERROR(SEARCH($H57:$Q57,W57)))+SUMPRODUCT(($H57:$Q57&lt;&gt;"")*ISERROR(SEARCH($H57:$Q57,X57)))</f>
        <v/>
      </c>
      <c r="Z57" s="10" t="inlineStr">
        <is>
          <t>&lt;i&gt;"…"&lt;/i&gt;, disse {inv}. Exclusão do Policial e álibi do falso culpado. P3/P11 como casa de 6 (02/10). Falas do cânone.</t>
        </is>
      </c>
    </row>
    <row r="58" ht="79.84999999999999" customHeight="1" s="8">
      <c r="A58" s="10" t="inlineStr">
        <is>
          <t>c6-p08-01</t>
        </is>
      </c>
      <c r="B58" s="10" t="n">
        <v>8</v>
      </c>
      <c r="C58" s="10" t="inlineStr">
        <is>
          <t>quem estava onde: a lanterna do eletricista entra na parede</t>
        </is>
      </c>
      <c r="D58" s="10" t="inlineStr">
        <is>
          <t>roteiro</t>
        </is>
      </c>
      <c r="E58" s="10" t="inlineStr">
        <is>
          <t>governanta</t>
        </is>
      </c>
      <c r="F58" s="10" t="inlineStr">
        <is>
          <t>grupo</t>
        </is>
      </c>
      <c r="G58" s="10" t="n"/>
      <c r="H58" s="10" t="inlineStr">
        <is>
          <t>porta do quarto</t>
        </is>
      </c>
      <c r="I58" s="10" t="inlineStr">
        <is>
          <t>quadro</t>
        </is>
      </c>
      <c r="J58" s="10" t="inlineStr">
        <is>
          <t>lanterna de mão</t>
        </is>
      </c>
      <c r="K58" s="10" t="inlineStr">
        <is>
          <t>escadinha</t>
        </is>
      </c>
      <c r="L58" s="10" t="inlineStr">
        <is>
          <t>parede</t>
        </is>
      </c>
      <c r="M58" s="10" t="inlineStr">
        <is>
          <t>cinquenta e cinco</t>
        </is>
      </c>
      <c r="N58" s="10" t="inlineStr">
        <is>
          <t>apagou</t>
        </is>
      </c>
      <c r="O58" s="10" t="inlineStr">
        <is>
          <t>ninguém desceu</t>
        </is>
      </c>
      <c r="P58" s="10" t="inlineStr">
        <is>
          <t>primeiro degrau</t>
        </is>
      </c>
      <c r="Q58" s="10" t="inlineStr">
        <is>
          <t>range</t>
        </is>
      </c>
      <c r="R58" s="10" t="inlineStr">
        <is>
          <t>Ele gritou da porta do quarto que ia ao quadro. Mas a lanterna de mão dele não veio para a escadinha. Entrou na parede, do lado do quarto, perto dos cinquenta e cinco, e apagou. E ninguém desceu: eu estava com o pé no primeiro degrau. Ela range.</t>
        </is>
      </c>
      <c r="S58" s="13" t="inlineStr">
        <is>
          <t>Ele gritou da porta do quarto que ia ao quadro, e a lanterna de mão dele nem veio para a escadinha! Entrou na parede, do lado do quarto, perto dos cinquenta e cinco, e apagou. E ninguém desceu: eu estava com o pé no primeiro degrau. Ela range.</t>
        </is>
      </c>
      <c r="T58" s="13" t="inlineStr">
        <is>
          <t>Ele gritou… da porta do quarto. Que ia ao quadro. A lanterna de mão dele… não veio para a escadinha. Entrou na parede, do lado do quarto… perto dos cinquenta e cinco. E apagou. Ninguém desceu. O meu pé… no primeiro degrau. Ela range.</t>
        </is>
      </c>
      <c r="U58" s="13" t="inlineStr">
        <is>
          <t>Ele gritou da porta do quarto que ia ao quadro, não foi? Mas a lanterna de mão dele não veio para a escadinha. Entrou na parede, do lado do quarto, perto dos cinquenta e cinco, e apagou… E ninguém desceu, eu estava com o pé no primeiro degrau. Ela range, sabe?</t>
        </is>
      </c>
      <c r="V58" s="13" t="inlineStr">
        <is>
          <t>Ele gritou da porta do quarto que ia ao quadro. Mas a lanterna de mão dele não veio para a escadinha. Entrou na parede, do lado do quarto, perto dos cinquenta e cinco, e apagou. Ninguém desceu: o meu pé estava no primeiro degrau. Ela range.</t>
        </is>
      </c>
      <c r="W58" s="13" t="inlineStr">
        <is>
          <t>Umidade assim, a gente nem pensa direito… Ele gritou da porta do quarto que ia ao quadro. A lanterna de mão dele não veio para a escadinha; entrou na parede, do lado do quarto, perto dos cinquenta e cinco, e apagou. Ninguém desceu: meu pé no primeiro degrau. Ela range.</t>
        </is>
      </c>
      <c r="X58" s="13" t="inlineStr">
        <is>
          <t>Anoto: ele gritou da porta do quarto que ia ao quadro. A lanterna de mão dele não veio para a escadinha; entrou na parede, lado do quarto, perto dos cinquenta e cinco, e apagou. Ninguém desceu: eu estava com o pé no primeiro degrau. Ela range.</t>
        </is>
      </c>
      <c r="Y58" s="10">
        <f>SUMPRODUCT(($H58:$Q58&lt;&gt;"")*ISERROR(SEARCH($H58:$Q58,S58)))+SUMPRODUCT(($H58:$Q58&lt;&gt;"")*ISERROR(SEARCH($H58:$Q58,T58)))+SUMPRODUCT(($H58:$Q58&lt;&gt;"")*ISERROR(SEARCH($H58:$Q58,U58)))+SUMPRODUCT(($H58:$Q58&lt;&gt;"")*ISERROR(SEARCH($H58:$Q58,V58)))+SUMPRODUCT(($H58:$Q58&lt;&gt;"")*ISERROR(SEARCH($H58:$Q58,W58)))+SUMPRODUCT(($H58:$Q58&lt;&gt;"")*ISERROR(SEARCH($H58:$Q58,X58)))</f>
        <v/>
      </c>
      <c r="Z58" s="10" t="inlineStr">
        <is>
          <t>Enquadre: &lt;i&gt;"…"&lt;/i&gt;, disse {gov}, da despensa. "Ele" é o Eletricista; "Ela range" é a escadinha.</t>
        </is>
      </c>
    </row>
    <row r="59" ht="23.85" customHeight="1" s="8">
      <c r="A59" s="10" t="inlineStr">
        <is>
          <t>c6-p08-02</t>
        </is>
      </c>
      <c r="B59" s="10" t="n">
        <v>8</v>
      </c>
      <c r="C59" s="10" t="inlineStr">
        <is>
          <t>quem estava onde: a passagem</t>
        </is>
      </c>
      <c r="D59" s="10" t="inlineStr">
        <is>
          <t>roteiro</t>
        </is>
      </c>
      <c r="E59" s="10" t="inlineStr">
        <is>
          <t>residente</t>
        </is>
      </c>
      <c r="F59" s="10" t="inlineStr">
        <is>
          <t>grupo</t>
        </is>
      </c>
      <c r="G59" s="10" t="n"/>
      <c r="H59" s="10" t="inlineStr">
        <is>
          <t>passagem</t>
        </is>
      </c>
      <c r="I59" s="10" t="inlineStr">
        <is>
          <t>desde as nove</t>
        </is>
      </c>
      <c r="J59" s="10" t="n"/>
      <c r="K59" s="10" t="n"/>
      <c r="L59" s="10" t="n"/>
      <c r="M59" s="10" t="n"/>
      <c r="N59" s="10" t="n"/>
      <c r="O59" s="10" t="n"/>
      <c r="P59" s="10" t="n"/>
      <c r="Q59" s="10" t="n"/>
      <c r="R59" s="10" t="inlineStr">
        <is>
          <t>A passagem. Todo mundo sabe dela desde as nove.</t>
        </is>
      </c>
      <c r="S59" s="13" t="inlineStr">
        <is>
          <t>A passagem! Todo mundo sabe dela desde as nove, não venham com espanto.</t>
        </is>
      </c>
      <c r="T59" s="13" t="inlineStr">
        <is>
          <t>A passagem… Todo mundo sabe dela. Desde as nove.</t>
        </is>
      </c>
      <c r="U59" s="13" t="inlineStr">
        <is>
          <t>A passagem? Todo mundo sabe dela desde as nove… não sabe?</t>
        </is>
      </c>
      <c r="V59" s="13" t="inlineStr">
        <is>
          <t>A passagem. Todo mundo sabe dela desde as nove.</t>
        </is>
      </c>
      <c r="W59" s="13" t="inlineStr">
        <is>
          <t>Essa demora toda… A passagem. Todo mundo sabe dela desde as nove.</t>
        </is>
      </c>
      <c r="X59" s="13" t="inlineStr">
        <is>
          <t>Consta: a passagem. De conhecimento de todos desde as nove.</t>
        </is>
      </c>
      <c r="Y59" s="10">
        <f>SUMPRODUCT(($H59:$Q59&lt;&gt;"")*ISERROR(SEARCH($H59:$Q59,S59)))+SUMPRODUCT(($H59:$Q59&lt;&gt;"")*ISERROR(SEARCH($H59:$Q59,T59)))+SUMPRODUCT(($H59:$Q59&lt;&gt;"")*ISERROR(SEARCH($H59:$Q59,U59)))+SUMPRODUCT(($H59:$Q59&lt;&gt;"")*ISERROR(SEARCH($H59:$Q59,V59)))+SUMPRODUCT(($H59:$Q59&lt;&gt;"")*ISERROR(SEARCH($H59:$Q59,W59)))+SUMPRODUCT(($H59:$Q59&lt;&gt;"")*ISERROR(SEARCH($H59:$Q59,X59)))</f>
        <v/>
      </c>
      <c r="Z59" s="10" t="inlineStr">
        <is>
          <t>Enquadre: &lt;i&gt;"…"&lt;/i&gt;, disse {res}, da janela dos retratos.</t>
        </is>
      </c>
    </row>
    <row r="60" ht="23.85" customHeight="1" s="8">
      <c r="A60" s="10" t="inlineStr">
        <is>
          <t>c6-p08-03</t>
        </is>
      </c>
      <c r="B60" s="10" t="n">
        <v>8</v>
      </c>
      <c r="C60" s="10" t="inlineStr">
        <is>
          <t>quem estava onde: o punho com fita junto ao pêndulo</t>
        </is>
      </c>
      <c r="D60" s="10" t="inlineStr">
        <is>
          <t>roteiro</t>
        </is>
      </c>
      <c r="E60" s="10" t="inlineStr">
        <is>
          <t>jardineiro</t>
        </is>
      </c>
      <c r="F60" s="10" t="inlineStr">
        <is>
          <t>grupo</t>
        </is>
      </c>
      <c r="G60" s="10" t="n"/>
      <c r="H60" s="10" t="inlineStr">
        <is>
          <t>quarto clarão</t>
        </is>
      </c>
      <c r="I60" s="10" t="inlineStr">
        <is>
          <t>punho</t>
        </is>
      </c>
      <c r="J60" s="10" t="inlineStr">
        <is>
          <t>fita</t>
        </is>
      </c>
      <c r="K60" s="10" t="inlineStr">
        <is>
          <t>brilhou</t>
        </is>
      </c>
      <c r="L60" s="10" t="inlineStr">
        <is>
          <t>pêndulo</t>
        </is>
      </c>
      <c r="M60" s="10" t="n"/>
      <c r="N60" s="10" t="n"/>
      <c r="O60" s="10" t="n"/>
      <c r="P60" s="10" t="n"/>
      <c r="Q60" s="10" t="n"/>
      <c r="R60" s="10" t="inlineStr">
        <is>
          <t>No quarto clarão, um punho com fita, que brilhou, junto ao pêndulo.</t>
        </is>
      </c>
      <c r="S60" s="13" t="inlineStr">
        <is>
          <t>Eu vi, no quarto clarão: um punho com fita, que brilhou, junto ao pêndulo!</t>
        </is>
      </c>
      <c r="T60" s="13" t="inlineStr">
        <is>
          <t>No quarto clarão… um punho. Com fita. Brilhou… junto ao pêndulo.</t>
        </is>
      </c>
      <c r="U60" s="13" t="inlineStr">
        <is>
          <t>No quarto clarão, um punho com fita, que brilhou, junto ao pêndulo… alguém mais viu?</t>
        </is>
      </c>
      <c r="V60" s="13" t="inlineStr">
        <is>
          <t>No quarto clarão, um punho com fita. Brilhou, junto ao pêndulo.</t>
        </is>
      </c>
      <c r="W60" s="13" t="inlineStr">
        <is>
          <t>Frio, lá fora… No quarto clarão, um punho com fita, que brilhou, junto ao pêndulo.</t>
        </is>
      </c>
      <c r="X60" s="13" t="inlineStr">
        <is>
          <t>Quarto clarão: um punho com fita, que brilhou, junto ao pêndulo.</t>
        </is>
      </c>
      <c r="Y60" s="10">
        <f>SUMPRODUCT(($H60:$Q60&lt;&gt;"")*ISERROR(SEARCH($H60:$Q60,S60)))+SUMPRODUCT(($H60:$Q60&lt;&gt;"")*ISERROR(SEARCH($H60:$Q60,T60)))+SUMPRODUCT(($H60:$Q60&lt;&gt;"")*ISERROR(SEARCH($H60:$Q60,U60)))+SUMPRODUCT(($H60:$Q60&lt;&gt;"")*ISERROR(SEARCH($H60:$Q60,V60)))+SUMPRODUCT(($H60:$Q60&lt;&gt;"")*ISERROR(SEARCH($H60:$Q60,W60)))+SUMPRODUCT(($H60:$Q60&lt;&gt;"")*ISERROR(SEARCH($H60:$Q60,X60)))</f>
        <v/>
      </c>
      <c r="Z60" s="10" t="inlineStr">
        <is>
          <t>Enquadre: &lt;i&gt;"…"&lt;/i&gt;, disse {jar}, da porta.</t>
        </is>
      </c>
    </row>
    <row r="61" ht="23.85" customHeight="1" s="8">
      <c r="A61" s="10" t="inlineStr">
        <is>
          <t>c6-p08-04</t>
        </is>
      </c>
      <c r="B61" s="10" t="n">
        <v>8</v>
      </c>
      <c r="C61" s="10" t="inlineStr">
        <is>
          <t>quem estava onde: religou o geral</t>
        </is>
      </c>
      <c r="D61" s="10" t="inlineStr">
        <is>
          <t>roteiro</t>
        </is>
      </c>
      <c r="E61" s="10" t="inlineStr">
        <is>
          <t>eletricista</t>
        </is>
      </c>
      <c r="F61" s="10" t="inlineStr">
        <is>
          <t>grupo</t>
        </is>
      </c>
      <c r="G61" s="10" t="n"/>
      <c r="H61" s="10" t="inlineStr">
        <is>
          <t>religuei o geral</t>
        </is>
      </c>
      <c r="I61" s="10" t="inlineStr">
        <is>
          <t>nove e trinta e um</t>
        </is>
      </c>
      <c r="J61" s="10" t="n"/>
      <c r="K61" s="10" t="n"/>
      <c r="L61" s="10" t="n"/>
      <c r="M61" s="10" t="n"/>
      <c r="N61" s="10" t="n"/>
      <c r="O61" s="10" t="n"/>
      <c r="P61" s="10" t="n"/>
      <c r="Q61" s="10" t="n"/>
      <c r="R61" s="10" t="inlineStr">
        <is>
          <t>Religuei o geral às nove e trinta e um.</t>
        </is>
      </c>
      <c r="S61" s="13" t="inlineStr">
        <is>
          <t>Religuei o geral às nove e trinta e um, pronto!</t>
        </is>
      </c>
      <c r="T61" s="13" t="inlineStr">
        <is>
          <t>Religuei o geral… nove e trinta e um.</t>
        </is>
      </c>
      <c r="U61" s="13" t="inlineStr">
        <is>
          <t>Religuei o geral às nove e trinta e um. Isso ajuda?</t>
        </is>
      </c>
      <c r="V61" s="13" t="inlineStr">
        <is>
          <t>Religuei o geral às nove e trinta e um.</t>
        </is>
      </c>
      <c r="W61" s="13" t="inlineStr">
        <is>
          <t>Que noite comprida… Religuei o geral às nove e trinta e um.</t>
        </is>
      </c>
      <c r="X61" s="13" t="inlineStr">
        <is>
          <t>Nove e trinta e um: religuei o geral.</t>
        </is>
      </c>
      <c r="Y61" s="10">
        <f>SUMPRODUCT(($H61:$Q61&lt;&gt;"")*ISERROR(SEARCH($H61:$Q61,S61)))+SUMPRODUCT(($H61:$Q61&lt;&gt;"")*ISERROR(SEARCH($H61:$Q61,T61)))+SUMPRODUCT(($H61:$Q61&lt;&gt;"")*ISERROR(SEARCH($H61:$Q61,U61)))+SUMPRODUCT(($H61:$Q61&lt;&gt;"")*ISERROR(SEARCH($H61:$Q61,V61)))+SUMPRODUCT(($H61:$Q61&lt;&gt;"")*ISERROR(SEARCH($H61:$Q61,W61)))+SUMPRODUCT(($H61:$Q61&lt;&gt;"")*ISERROR(SEARCH($H61:$Q61,X61)))</f>
        <v/>
      </c>
      <c r="Z61" s="10" t="inlineStr">
        <is>
          <t>Enquadre: &lt;i&gt;"…"&lt;/i&gt;, disse {ele}.</t>
        </is>
      </c>
    </row>
    <row r="62" ht="23.85" customHeight="1" s="8">
      <c r="A62" s="10" t="inlineStr">
        <is>
          <t>c6-p08-05</t>
        </is>
      </c>
      <c r="B62" s="10" t="n">
        <v>8</v>
      </c>
      <c r="C62" s="10" t="inlineStr">
        <is>
          <t>o rádio do farol sobre a luz</t>
        </is>
      </c>
      <c r="D62" s="10" t="inlineStr">
        <is>
          <t>roteiro</t>
        </is>
      </c>
      <c r="E62" s="10" t="inlineStr">
        <is>
          <t>faroleiro</t>
        </is>
      </c>
      <c r="F62" s="10" t="inlineStr">
        <is>
          <t>grupo pelo rádio</t>
        </is>
      </c>
      <c r="G62" s="10" t="n"/>
      <c r="H62" s="10" t="inlineStr">
        <is>
          <t>voltou a costa inteira</t>
        </is>
      </c>
      <c r="I62" s="10" t="inlineStr">
        <is>
          <t>junto</t>
        </is>
      </c>
      <c r="J62" s="10" t="n"/>
      <c r="K62" s="10" t="n"/>
      <c r="L62" s="10" t="n"/>
      <c r="M62" s="10" t="n"/>
      <c r="N62" s="10" t="n"/>
      <c r="O62" s="10" t="n"/>
      <c r="P62" s="10" t="n"/>
      <c r="Q62" s="10" t="n"/>
      <c r="R62" s="10" t="inlineStr">
        <is>
          <t>Voltou a costa inteira, junto.</t>
        </is>
      </c>
      <c r="S62" s="13" t="inlineStr">
        <is>
          <t>Voltou a costa inteira, junto! Tudo de uma vez.</t>
        </is>
      </c>
      <c r="T62" s="13" t="inlineStr">
        <is>
          <t>Voltou a costa inteira… junto.</t>
        </is>
      </c>
      <c r="U62" s="13" t="inlineStr">
        <is>
          <t>Voltou a costa inteira, junto… bonito de ver, até.</t>
        </is>
      </c>
      <c r="V62" s="13" t="inlineStr">
        <is>
          <t>Voltou a costa inteira, junto.</t>
        </is>
      </c>
      <c r="W62" s="13" t="inlineStr">
        <is>
          <t>Daqui de cima, com esse frio… voltou a costa inteira, junto.</t>
        </is>
      </c>
      <c r="X62" s="13" t="inlineStr">
        <is>
          <t>Registro do farol: voltou a costa inteira, junto.</t>
        </is>
      </c>
      <c r="Y62" s="10">
        <f>SUMPRODUCT(($H62:$Q62&lt;&gt;"")*ISERROR(SEARCH($H62:$Q62,S62)))+SUMPRODUCT(($H62:$Q62&lt;&gt;"")*ISERROR(SEARCH($H62:$Q62,T62)))+SUMPRODUCT(($H62:$Q62&lt;&gt;"")*ISERROR(SEARCH($H62:$Q62,U62)))+SUMPRODUCT(($H62:$Q62&lt;&gt;"")*ISERROR(SEARCH($H62:$Q62,V62)))+SUMPRODUCT(($H62:$Q62&lt;&gt;"")*ISERROR(SEARCH($H62:$Q62,W62)))+SUMPRODUCT(($H62:$Q62&lt;&gt;"")*ISERROR(SEARCH($H62:$Q62,X62)))</f>
        <v/>
      </c>
      <c r="Z62" s="10" t="inlineStr">
        <is>
          <t>Enquadre: O rádio chiou: &lt;i&gt;"…"&lt;/i&gt;</t>
        </is>
      </c>
    </row>
    <row r="63" ht="35.05" customHeight="1" s="8">
      <c r="A63" s="10" t="inlineStr">
        <is>
          <t>c6-p08-06</t>
        </is>
      </c>
      <c r="B63" s="10" t="n">
        <v>8</v>
      </c>
      <c r="C63" s="10" t="inlineStr">
        <is>
          <t>a teia na alavanca do geral</t>
        </is>
      </c>
      <c r="D63" s="10" t="inlineStr">
        <is>
          <t>roteiro</t>
        </is>
      </c>
      <c r="E63" s="10" t="inlineStr">
        <is>
          <t>residente</t>
        </is>
      </c>
      <c r="F63" s="10" t="inlineStr">
        <is>
          <t>grupo</t>
        </is>
      </c>
      <c r="G63" s="10" t="n"/>
      <c r="H63" s="10" t="inlineStr">
        <is>
          <t>teia</t>
        </is>
      </c>
      <c r="I63" s="10" t="inlineStr">
        <is>
          <t>alavanca do geral</t>
        </is>
      </c>
      <c r="J63" s="10" t="inlineStr">
        <is>
          <t>inteira</t>
        </is>
      </c>
      <c r="K63" s="10" t="n"/>
      <c r="L63" s="10" t="n"/>
      <c r="M63" s="10" t="n"/>
      <c r="N63" s="10" t="n"/>
      <c r="O63" s="10" t="n"/>
      <c r="P63" s="10" t="n"/>
      <c r="Q63" s="10" t="n"/>
      <c r="R63" s="10" t="inlineStr">
        <is>
          <t>A teia na alavanca do geral está inteira.</t>
        </is>
      </c>
      <c r="S63" s="13" t="inlineStr">
        <is>
          <t>A teia na alavanca do geral está inteira, ora!</t>
        </is>
      </c>
      <c r="T63" s="13" t="inlineStr">
        <is>
          <t>A teia… na alavanca do geral. Inteira.</t>
        </is>
      </c>
      <c r="U63" s="13" t="inlineStr">
        <is>
          <t>A teia na alavanca do geral está inteira… isso quer dizer alguma coisa, não quer?</t>
        </is>
      </c>
      <c r="V63" s="13" t="inlineStr">
        <is>
          <t>A teia na alavanca do geral está inteira.</t>
        </is>
      </c>
      <c r="W63" s="13" t="inlineStr">
        <is>
          <t>Lá embaixo é um frio… A teia na alavanca do geral está inteira.</t>
        </is>
      </c>
      <c r="X63" s="13" t="inlineStr">
        <is>
          <t>Consta: teia na alavanca do geral, inteira.</t>
        </is>
      </c>
      <c r="Y63" s="10">
        <f>SUMPRODUCT(($H63:$Q63&lt;&gt;"")*ISERROR(SEARCH($H63:$Q63,S63)))+SUMPRODUCT(($H63:$Q63&lt;&gt;"")*ISERROR(SEARCH($H63:$Q63,T63)))+SUMPRODUCT(($H63:$Q63&lt;&gt;"")*ISERROR(SEARCH($H63:$Q63,U63)))+SUMPRODUCT(($H63:$Q63&lt;&gt;"")*ISERROR(SEARCH($H63:$Q63,V63)))+SUMPRODUCT(($H63:$Q63&lt;&gt;"")*ISERROR(SEARCH($H63:$Q63,W63)))+SUMPRODUCT(($H63:$Q63&lt;&gt;"")*ISERROR(SEARCH($H63:$Q63,X63)))</f>
        <v/>
      </c>
      <c r="Z63" s="10" t="inlineStr">
        <is>
          <t>Enquadre: {Res} desceu para ver o quadro e subiu com a lanterna na mão. &lt;i&gt;"…"&lt;/i&gt; (falante implícito: {res})</t>
        </is>
      </c>
    </row>
    <row r="64" ht="23.85" customHeight="1" s="8">
      <c r="A64" s="10" t="inlineStr">
        <is>
          <t>c6-p08-07</t>
        </is>
      </c>
      <c r="B64" s="10" t="n">
        <v>8</v>
      </c>
      <c r="C64" s="10" t="inlineStr">
        <is>
          <t>quem estava onde: o oleado na porta</t>
        </is>
      </c>
      <c r="D64" s="10" t="inlineStr">
        <is>
          <t>roteiro</t>
        </is>
      </c>
      <c r="E64" s="10" t="inlineStr">
        <is>
          <t>advogado</t>
        </is>
      </c>
      <c r="F64" s="10" t="inlineStr">
        <is>
          <t>grupo</t>
        </is>
      </c>
      <c r="G64" s="10" t="n"/>
      <c r="H64" s="10" t="inlineStr">
        <is>
          <t>oleado</t>
        </is>
      </c>
      <c r="I64" s="10" t="inlineStr">
        <is>
          <t>chiar</t>
        </is>
      </c>
      <c r="J64" s="10" t="inlineStr">
        <is>
          <t>porta</t>
        </is>
      </c>
      <c r="K64" s="10" t="inlineStr">
        <is>
          <t>o tempo todo</t>
        </is>
      </c>
      <c r="L64" s="10" t="n"/>
      <c r="M64" s="10" t="n"/>
      <c r="N64" s="10" t="n"/>
      <c r="O64" s="10" t="n"/>
      <c r="P64" s="10" t="n"/>
      <c r="Q64" s="10" t="n"/>
      <c r="R64" s="10" t="inlineStr">
        <is>
          <t>Eu ouvi o oleado chiar na porta o tempo todo.</t>
        </is>
      </c>
      <c r="S64" s="13" t="inlineStr">
        <is>
          <t>Eu ouvi o oleado chiar na porta o tempo todo!</t>
        </is>
      </c>
      <c r="T64" s="13" t="inlineStr">
        <is>
          <t>O oleado… chiar. Na porta. O tempo todo.</t>
        </is>
      </c>
      <c r="U64" s="13" t="inlineStr">
        <is>
          <t>Eu ouvi o oleado chiar na porta o tempo todo… alguém mais ouviu?</t>
        </is>
      </c>
      <c r="V64" s="13" t="inlineStr">
        <is>
          <t>Eu ouvi o oleado chiar na porta o tempo todo.</t>
        </is>
      </c>
      <c r="W64" s="13" t="inlineStr">
        <is>
          <t>Eu ouvi, com essa chuva toda batendo, o oleado chiar na porta o tempo todo.</t>
        </is>
      </c>
      <c r="X64" s="13" t="inlineStr">
        <is>
          <t>Anoto: ouvi o oleado chiar na porta, o tempo todo.</t>
        </is>
      </c>
      <c r="Y64" s="10">
        <f>SUMPRODUCT(($H64:$Q64&lt;&gt;"")*ISERROR(SEARCH($H64:$Q64,S64)))+SUMPRODUCT(($H64:$Q64&lt;&gt;"")*ISERROR(SEARCH($H64:$Q64,T64)))+SUMPRODUCT(($H64:$Q64&lt;&gt;"")*ISERROR(SEARCH($H64:$Q64,U64)))+SUMPRODUCT(($H64:$Q64&lt;&gt;"")*ISERROR(SEARCH($H64:$Q64,V64)))+SUMPRODUCT(($H64:$Q64&lt;&gt;"")*ISERROR(SEARCH($H64:$Q64,W64)))+SUMPRODUCT(($H64:$Q64&lt;&gt;"")*ISERROR(SEARCH($H64:$Q64,X64)))</f>
        <v/>
      </c>
      <c r="Z64" s="10" t="inlineStr">
        <is>
          <t>Enquadre: &lt;i&gt;"…"&lt;/i&gt;, disse {adv}.</t>
        </is>
      </c>
    </row>
    <row r="65" ht="46.25" customHeight="1" s="8">
      <c r="A65" s="10" t="inlineStr">
        <is>
          <t>c6-p08-08</t>
        </is>
      </c>
      <c r="B65" s="10" t="n">
        <v>8</v>
      </c>
      <c r="C65" s="10" t="inlineStr">
        <is>
          <t>quem estava onde: conversa pela porta da despensa</t>
        </is>
      </c>
      <c r="D65" s="10" t="inlineStr">
        <is>
          <t>roteiro</t>
        </is>
      </c>
      <c r="E65" s="10" t="inlineStr">
        <is>
          <t>chefe_de_cozinha</t>
        </is>
      </c>
      <c r="F65" s="10" t="inlineStr">
        <is>
          <t>grupo</t>
        </is>
      </c>
      <c r="G65" s="10" t="n"/>
      <c r="H65" s="10" t="inlineStr">
        <is>
          <t>falei com {gov}</t>
        </is>
      </c>
      <c r="I65" s="10" t="inlineStr">
        <is>
          <t>porta da despensa</t>
        </is>
      </c>
      <c r="J65" s="10" t="inlineStr">
        <is>
          <t>sem parar</t>
        </is>
      </c>
      <c r="K65" s="10" t="n"/>
      <c r="L65" s="10" t="n"/>
      <c r="M65" s="10" t="n"/>
      <c r="N65" s="10" t="n"/>
      <c r="O65" s="10" t="n"/>
      <c r="P65" s="10" t="n"/>
      <c r="Q65" s="10" t="n"/>
      <c r="R65" s="10" t="inlineStr">
        <is>
          <t>E eu falei com {gov} pela porta da despensa, sem parar.</t>
        </is>
      </c>
      <c r="S65" s="13" t="inlineStr">
        <is>
          <t>E eu falei com {gov} pela porta da despensa, sem parar!</t>
        </is>
      </c>
      <c r="T65" s="13" t="inlineStr">
        <is>
          <t>E eu… falei com {gov}. Pela porta da despensa. Sem parar.</t>
        </is>
      </c>
      <c r="U65" s="13" t="inlineStr">
        <is>
          <t>E eu falei com {gov} pela porta da despensa, sem parar… isso conta, não conta?</t>
        </is>
      </c>
      <c r="V65" s="13" t="inlineStr">
        <is>
          <t>E eu falei com {gov} pela porta da despensa. Sem parar.</t>
        </is>
      </c>
      <c r="W65" s="13" t="inlineStr">
        <is>
          <t>Essa fome que dá de noite… Eu falei com {gov} pela porta da despensa, sem parar.</t>
        </is>
      </c>
      <c r="X65" s="13" t="inlineStr">
        <is>
          <t>Para a ata: falei com {gov} pela porta da despensa, sem parar.</t>
        </is>
      </c>
      <c r="Y65" s="10">
        <f>SUMPRODUCT(($H65:$Q65&lt;&gt;"")*ISERROR(SEARCH($H65:$Q65,S65)))+SUMPRODUCT(($H65:$Q65&lt;&gt;"")*ISERROR(SEARCH($H65:$Q65,T65)))+SUMPRODUCT(($H65:$Q65&lt;&gt;"")*ISERROR(SEARCH($H65:$Q65,U65)))+SUMPRODUCT(($H65:$Q65&lt;&gt;"")*ISERROR(SEARCH($H65:$Q65,V65)))+SUMPRODUCT(($H65:$Q65&lt;&gt;"")*ISERROR(SEARCH($H65:$Q65,W65)))+SUMPRODUCT(($H65:$Q65&lt;&gt;"")*ISERROR(SEARCH($H65:$Q65,X65)))</f>
        <v/>
      </c>
      <c r="Z65" s="10" t="inlineStr">
        <is>
          <t>Enquadre: &lt;i&gt;"…"&lt;/i&gt;, disse {che}. Segue narração sem fala (farol: vulto escuro na varanda, alguém na janela do corredor).</t>
        </is>
      </c>
    </row>
    <row r="66" ht="57.45" customHeight="1" s="8">
      <c r="A66" s="10" t="inlineStr">
        <is>
          <t>c6-p8-med</t>
        </is>
      </c>
      <c r="B66" s="10" t="n">
        <v>8</v>
      </c>
      <c r="C66" s="10" t="inlineStr">
        <is>
          <t>Cap. 6: quem estava onde (o Médico)</t>
        </is>
      </c>
      <c r="D66" s="10" t="inlineStr">
        <is>
          <t>roteiro</t>
        </is>
      </c>
      <c r="E66" s="10" t="inlineStr">
        <is>
          <t>medico</t>
        </is>
      </c>
      <c r="F66" s="10" t="inlineStr">
        <is>
          <t>grupo</t>
        </is>
      </c>
      <c r="G66" s="10" t="inlineStr">
        <is>
          <t>Médico na casa</t>
        </is>
      </c>
      <c r="H66" s="10" t="inlineStr">
        <is>
          <t>sala de jantar</t>
        </is>
      </c>
      <c r="I66" s="10" t="inlineStr">
        <is>
          <t>{obs}</t>
        </is>
      </c>
      <c r="J66" s="10" t="inlineStr">
        <is>
          <t>falando</t>
        </is>
      </c>
      <c r="K66" s="10" t="inlineStr">
        <is>
          <t>tempo todo</t>
        </is>
      </c>
      <c r="L66" s="10" t="n"/>
      <c r="M66" s="10" t="n"/>
      <c r="N66" s="10" t="n"/>
      <c r="O66" s="10" t="n"/>
      <c r="P66" s="10" t="n"/>
      <c r="Q66" s="10" t="n"/>
      <c r="R66" s="10" t="inlineStr">
        <is>
          <t>Fiquei na sala de jantar com {obs}, falando, o tempo todo.</t>
        </is>
      </c>
      <c r="S66" s="13" t="inlineStr">
        <is>
          <t>Sala de jantar, com {obs}, falando o tempo todo! Bonito, hein, ter de provar isso.</t>
        </is>
      </c>
      <c r="T66" s="13" t="inlineStr">
        <is>
          <t>Fiquei na sala de jantar. Com {obs}… falando. O tempo todo.</t>
        </is>
      </c>
      <c r="U66" s="13" t="inlineStr">
        <is>
          <t>Eu fiquei na sala de jantar com {obs}, falando, o tempo todo. Confere, não é?</t>
        </is>
      </c>
      <c r="V66" s="13" t="inlineStr">
        <is>
          <t>Fiquei na sala de jantar com {obs}. Falando, o tempo todo.</t>
        </is>
      </c>
      <c r="W66" s="13" t="inlineStr">
        <is>
          <t>Um frio naquela sala… Fiquei na sala de jantar com {obs}, falando, o tempo todo.</t>
        </is>
      </c>
      <c r="X66" s="13" t="inlineStr">
        <is>
          <t>Consta: sala de jantar, com {obs}, falando, o tempo todo.</t>
        </is>
      </c>
      <c r="Y66" s="10">
        <f>SUMPRODUCT(($H66:$Q66&lt;&gt;"")*ISERROR(SEARCH($H66:$Q66,S66)))+SUMPRODUCT(($H66:$Q66&lt;&gt;"")*ISERROR(SEARCH($H66:$Q66,T66)))+SUMPRODUCT(($H66:$Q66&lt;&gt;"")*ISERROR(SEARCH($H66:$Q66,U66)))+SUMPRODUCT(($H66:$Q66&lt;&gt;"")*ISERROR(SEARCH($H66:$Q66,V66)))+SUMPRODUCT(($H66:$Q66&lt;&gt;"")*ISERROR(SEARCH($H66:$Q66,W66)))+SUMPRODUCT(($H66:$Q66&lt;&gt;"")*ISERROR(SEARCH($H66:$Q66,X66)))</f>
        <v/>
      </c>
      <c r="Z66" s="10" t="inlineStr">
        <is>
          <t>&lt;i&gt;"…"&lt;/i&gt;, disse {med}, e {obs} confirmou. Médico (02/10): 13º personagem, só com 12 humanos, então é sempre humano; os tipos servem ao narrador.</t>
        </is>
      </c>
    </row>
    <row r="67" ht="46.25" customHeight="1" s="8">
      <c r="A67" s="10" t="inlineStr">
        <is>
          <t>c6-p09-01</t>
        </is>
      </c>
      <c r="B67" s="10" t="n">
        <v>9</v>
      </c>
      <c r="C67" s="10" t="inlineStr">
        <is>
          <t>a gravação do celular do jornalista</t>
        </is>
      </c>
      <c r="D67" s="10" t="inlineStr">
        <is>
          <t>roteiro</t>
        </is>
      </c>
      <c r="E67" s="10" t="inlineStr">
        <is>
          <t>jornalista</t>
        </is>
      </c>
      <c r="F67" s="10" t="inlineStr">
        <is>
          <t>grupo</t>
        </is>
      </c>
      <c r="G67" s="10" t="n"/>
      <c r="H67" s="10" t="inlineStr">
        <is>
          <t>celular</t>
        </is>
      </c>
      <c r="I67" s="10" t="inlineStr">
        <is>
          <t>gravando</t>
        </is>
      </c>
      <c r="J67" s="10" t="inlineStr">
        <is>
          <t>janela</t>
        </is>
      </c>
      <c r="K67" s="10" t="inlineStr">
        <is>
          <t>o tempo todo</t>
        </is>
      </c>
      <c r="L67" s="10" t="inlineStr">
        <is>
          <t>ouçam</t>
        </is>
      </c>
      <c r="M67" s="10" t="n"/>
      <c r="N67" s="10" t="n"/>
      <c r="O67" s="10" t="n"/>
      <c r="P67" s="10" t="n"/>
      <c r="Q67" s="10" t="n"/>
      <c r="R67" s="10" t="inlineStr">
        <is>
          <t>Deixei o celular gravando na janela o tempo todo. Ouçam.</t>
        </is>
      </c>
      <c r="S67" s="13" t="inlineStr">
        <is>
          <t>Deixei o celular gravando na janela o tempo todo! Ouçam!</t>
        </is>
      </c>
      <c r="T67" s="13" t="inlineStr">
        <is>
          <t>O celular… gravando. Na janela. O tempo todo. Ouçam.</t>
        </is>
      </c>
      <c r="U67" s="13" t="inlineStr">
        <is>
          <t>Deixei o celular gravando na janela o tempo todo! Ouçam, ouçam.</t>
        </is>
      </c>
      <c r="V67" s="13" t="inlineStr">
        <is>
          <t>Deixei o celular gravando na janela o tempo todo. Ouçam.</t>
        </is>
      </c>
      <c r="W67" s="13" t="inlineStr">
        <is>
          <t>Noite longa… Deixei o celular gravando na janela o tempo todo. Ouçam.</t>
        </is>
      </c>
      <c r="X67" s="13" t="inlineStr">
        <is>
          <t>Celular gravando na janela, o tempo todo. Ouçam.</t>
        </is>
      </c>
      <c r="Y67" s="10">
        <f>SUMPRODUCT(($H67:$Q67&lt;&gt;"")*ISERROR(SEARCH($H67:$Q67,S67)))+SUMPRODUCT(($H67:$Q67&lt;&gt;"")*ISERROR(SEARCH($H67:$Q67,T67)))+SUMPRODUCT(($H67:$Q67&lt;&gt;"")*ISERROR(SEARCH($H67:$Q67,U67)))+SUMPRODUCT(($H67:$Q67&lt;&gt;"")*ISERROR(SEARCH($H67:$Q67,V67)))+SUMPRODUCT(($H67:$Q67&lt;&gt;"")*ISERROR(SEARCH($H67:$Q67,W67)))+SUMPRODUCT(($H67:$Q67&lt;&gt;"")*ISERROR(SEARCH($H67:$Q67,X67)))</f>
        <v/>
      </c>
      <c r="Z67" s="10" t="inlineStr">
        <is>
          <t>Enquadre: &lt;i&gt;"…"&lt;/i&gt;, disse {jor}. &lt;i&gt;"Ouçam."&lt;/i&gt; (original divide em duas citações; "Ouçam." é a segunda). Segue o conteúdo da gravação, em narração.</t>
        </is>
      </c>
    </row>
    <row r="68" ht="35.05" customHeight="1" s="8">
      <c r="A68" s="10" t="inlineStr">
        <is>
          <t>c6-p09-02</t>
        </is>
      </c>
      <c r="B68" s="10" t="n">
        <v>9</v>
      </c>
      <c r="C68" s="10" t="inlineStr">
        <is>
          <t>pergunta ao jornalista sobre a gravação e as mangas</t>
        </is>
      </c>
      <c r="D68" s="10" t="inlineStr">
        <is>
          <t>roteiro</t>
        </is>
      </c>
      <c r="E68" s="10" t="inlineStr">
        <is>
          <t>investigador</t>
        </is>
      </c>
      <c r="F68" s="10" t="inlineStr">
        <is>
          <t>jornalista</t>
        </is>
      </c>
      <c r="G68" s="10" t="n"/>
      <c r="H68" s="10" t="inlineStr">
        <is>
          <t>onde você está</t>
        </is>
      </c>
      <c r="I68" s="10" t="inlineStr">
        <is>
          <t>gravação</t>
        </is>
      </c>
      <c r="J68" s="10" t="inlineStr">
        <is>
          <t>mangas</t>
        </is>
      </c>
      <c r="K68" s="10" t="inlineStr">
        <is>
          <t>molhadas</t>
        </is>
      </c>
      <c r="L68" s="10" t="inlineStr">
        <is>
          <t>cotovelo</t>
        </is>
      </c>
      <c r="M68" s="10" t="n"/>
      <c r="N68" s="10" t="n"/>
      <c r="O68" s="10" t="n"/>
      <c r="P68" s="10" t="n"/>
      <c r="Q68" s="10" t="n"/>
      <c r="R68" s="10" t="inlineStr">
        <is>
          <t>Onde você está nessa gravação? E por que as suas mangas estão molhadas até o cotovelo?</t>
        </is>
      </c>
      <c r="S68" s="13" t="inlineStr">
        <is>
          <t>Onde você está nessa gravação? Hein? E por que as suas mangas estão molhadas até o cotovelo?!</t>
        </is>
      </c>
      <c r="T68" s="13" t="inlineStr">
        <is>
          <t>Onde você está… nessa gravação? E as suas mangas… molhadas até o cotovelo. Por quê?</t>
        </is>
      </c>
      <c r="U68" s="13" t="inlineStr">
        <is>
          <t>Onde você está nessa gravação? Eu não achei… E por que as suas mangas estão molhadas até o cotovelo? Desculpa perguntar.</t>
        </is>
      </c>
      <c r="V68" s="13" t="inlineStr">
        <is>
          <t>Onde você está nessa gravação? E por que as suas mangas estão molhadas até o cotovelo?</t>
        </is>
      </c>
      <c r="W68" s="13" t="inlineStr">
        <is>
          <t>Essa demora toda… Onde você está nessa gravação? E, já que estamos aqui, por que as suas mangas estão molhadas até o cotovelo?</t>
        </is>
      </c>
      <c r="X68" s="13" t="inlineStr">
        <is>
          <t>Duas perguntas, para a ata: onde você está nessa gravação? Por que as suas mangas estão molhadas até o cotovelo?</t>
        </is>
      </c>
      <c r="Y68" s="10">
        <f>SUMPRODUCT(($H68:$Q68&lt;&gt;"")*ISERROR(SEARCH($H68:$Q68,S68)))+SUMPRODUCT(($H68:$Q68&lt;&gt;"")*ISERROR(SEARCH($H68:$Q68,T68)))+SUMPRODUCT(($H68:$Q68&lt;&gt;"")*ISERROR(SEARCH($H68:$Q68,U68)))+SUMPRODUCT(($H68:$Q68&lt;&gt;"")*ISERROR(SEARCH($H68:$Q68,V68)))+SUMPRODUCT(($H68:$Q68&lt;&gt;"")*ISERROR(SEARCH($H68:$Q68,W68)))+SUMPRODUCT(($H68:$Q68&lt;&gt;"")*ISERROR(SEARCH($H68:$Q68,X68)))</f>
        <v/>
      </c>
      <c r="Z68" s="10" t="inlineStr">
        <is>
          <t>Enquadre: &lt;i&gt;"…"&lt;/i&gt;, perguntou {inv}. &lt;i&gt;"…"&lt;/i&gt; (original divide em duas citações).</t>
        </is>
      </c>
    </row>
    <row r="69" ht="35.05" customHeight="1" s="8">
      <c r="A69" s="10" t="inlineStr">
        <is>
          <t>c6-p09-03</t>
        </is>
      </c>
      <c r="B69" s="10" t="n">
        <v>9</v>
      </c>
      <c r="C69" s="10" t="inlineStr">
        <is>
          <t>o rádio do farol: a janela aberta e vazia</t>
        </is>
      </c>
      <c r="D69" s="10" t="inlineStr">
        <is>
          <t>roteiro</t>
        </is>
      </c>
      <c r="E69" s="10" t="inlineStr">
        <is>
          <t>faroleiro</t>
        </is>
      </c>
      <c r="F69" s="10" t="inlineStr">
        <is>
          <t>grupo pelo rádio</t>
        </is>
      </c>
      <c r="G69" s="10" t="n"/>
      <c r="H69" s="10" t="inlineStr">
        <is>
          <t>quarto clarão</t>
        </is>
      </c>
      <c r="I69" s="10" t="inlineStr">
        <is>
          <t>janela do corredor dos retratos</t>
        </is>
      </c>
      <c r="J69" s="10" t="inlineStr">
        <is>
          <t>aberta</t>
        </is>
      </c>
      <c r="K69" s="10" t="inlineStr">
        <is>
          <t>ninguém nela</t>
        </is>
      </c>
      <c r="L69" s="10" t="n"/>
      <c r="M69" s="10" t="n"/>
      <c r="N69" s="10" t="n"/>
      <c r="O69" s="10" t="n"/>
      <c r="P69" s="10" t="n"/>
      <c r="Q69" s="10" t="n"/>
      <c r="R69" s="10" t="inlineStr">
        <is>
          <t>No quarto clarão, a janela do corredor dos retratos aberta, e ninguém nela.</t>
        </is>
      </c>
      <c r="S69" s="13" t="inlineStr">
        <is>
          <t>No quarto clarão, a janela do corredor dos retratos aberta, e ninguém nela!</t>
        </is>
      </c>
      <c r="T69" s="13" t="inlineStr">
        <is>
          <t>No quarto clarão… a janela do corredor dos retratos. Aberta. E ninguém nela.</t>
        </is>
      </c>
      <c r="U69" s="13" t="inlineStr">
        <is>
          <t>No quarto clarão, a janela do corredor dos retratos aberta, e ninguém nela. Estranho, não?</t>
        </is>
      </c>
      <c r="V69" s="13" t="inlineStr">
        <is>
          <t>No quarto clarão: a janela do corredor dos retratos aberta, e ninguém nela.</t>
        </is>
      </c>
      <c r="W69" s="13" t="inlineStr">
        <is>
          <t>Frio aqui em cima… No quarto clarão, a janela do corredor dos retratos aberta, e ninguém nela.</t>
        </is>
      </c>
      <c r="X69" s="13" t="inlineStr">
        <is>
          <t>Registro do farol: quarto clarão, janela do corredor dos retratos aberta, ninguém nela.</t>
        </is>
      </c>
      <c r="Y69" s="10">
        <f>SUMPRODUCT(($H69:$Q69&lt;&gt;"")*ISERROR(SEARCH($H69:$Q69,S69)))+SUMPRODUCT(($H69:$Q69&lt;&gt;"")*ISERROR(SEARCH($H69:$Q69,T69)))+SUMPRODUCT(($H69:$Q69&lt;&gt;"")*ISERROR(SEARCH($H69:$Q69,U69)))+SUMPRODUCT(($H69:$Q69&lt;&gt;"")*ISERROR(SEARCH($H69:$Q69,V69)))+SUMPRODUCT(($H69:$Q69&lt;&gt;"")*ISERROR(SEARCH($H69:$Q69,W69)))+SUMPRODUCT(($H69:$Q69&lt;&gt;"")*ISERROR(SEARCH($H69:$Q69,X69)))</f>
        <v/>
      </c>
      <c r="Z69" s="10" t="inlineStr">
        <is>
          <t>Enquadre: O rádio: &lt;i&gt;"…"&lt;/i&gt;</t>
        </is>
      </c>
    </row>
    <row r="70" ht="35.05" customHeight="1" s="8">
      <c r="A70" s="10" t="inlineStr">
        <is>
          <t>c6-p09-04</t>
        </is>
      </c>
      <c r="B70" s="10" t="n">
        <v>9</v>
      </c>
      <c r="C70" s="10" t="inlineStr">
        <is>
          <t>quem estava onde: a manga dobrada junto ao pêndulo</t>
        </is>
      </c>
      <c r="D70" s="10" t="inlineStr">
        <is>
          <t>roteiro</t>
        </is>
      </c>
      <c r="E70" s="10" t="inlineStr">
        <is>
          <t>observadora</t>
        </is>
      </c>
      <c r="F70" s="10" t="inlineStr">
        <is>
          <t>grupo</t>
        </is>
      </c>
      <c r="G70" s="10" t="n"/>
      <c r="H70" s="10" t="inlineStr">
        <is>
          <t>quarto clarão</t>
        </is>
      </c>
      <c r="I70" s="10" t="inlineStr">
        <is>
          <t>manga dobrada</t>
        </is>
      </c>
      <c r="J70" s="10" t="inlineStr">
        <is>
          <t>cotovelo</t>
        </is>
      </c>
      <c r="K70" s="10" t="inlineStr">
        <is>
          <t>pêndulo</t>
        </is>
      </c>
      <c r="L70" s="10" t="n"/>
      <c r="M70" s="10" t="n"/>
      <c r="N70" s="10" t="n"/>
      <c r="O70" s="10" t="n"/>
      <c r="P70" s="10" t="n"/>
      <c r="Q70" s="10" t="n"/>
      <c r="R70" s="10" t="inlineStr">
        <is>
          <t>No quarto clarão, uma manga dobrada até o cotovelo, junto ao pêndulo.</t>
        </is>
      </c>
      <c r="S70" s="13" t="inlineStr">
        <is>
          <t>No quarto clarão, uma manga dobrada até o cotovelo, junto ao pêndulo!</t>
        </is>
      </c>
      <c r="T70" s="13" t="inlineStr">
        <is>
          <t>No quarto clarão… uma manga dobrada. Até o cotovelo. Junto ao pêndulo.</t>
        </is>
      </c>
      <c r="U70" s="13" t="inlineStr">
        <is>
          <t>No quarto clarão eu vi uma manga dobrada até o cotovelo, junto ao pêndulo… isso importa, não importa?</t>
        </is>
      </c>
      <c r="V70" s="13" t="inlineStr">
        <is>
          <t>No quarto clarão, uma manga dobrada até o cotovelo. Junto ao pêndulo.</t>
        </is>
      </c>
      <c r="W70" s="13" t="inlineStr">
        <is>
          <t>Essa chuva não para… No quarto clarão, uma manga dobrada até o cotovelo, junto ao pêndulo.</t>
        </is>
      </c>
      <c r="X70" s="13" t="inlineStr">
        <is>
          <t>Quarto clarão. Manga dobrada até o cotovelo, junto ao pêndulo.</t>
        </is>
      </c>
      <c r="Y70" s="10">
        <f>SUMPRODUCT(($H70:$Q70&lt;&gt;"")*ISERROR(SEARCH($H70:$Q70,S70)))+SUMPRODUCT(($H70:$Q70&lt;&gt;"")*ISERROR(SEARCH($H70:$Q70,T70)))+SUMPRODUCT(($H70:$Q70&lt;&gt;"")*ISERROR(SEARCH($H70:$Q70,U70)))+SUMPRODUCT(($H70:$Q70&lt;&gt;"")*ISERROR(SEARCH($H70:$Q70,V70)))+SUMPRODUCT(($H70:$Q70&lt;&gt;"")*ISERROR(SEARCH($H70:$Q70,W70)))+SUMPRODUCT(($H70:$Q70&lt;&gt;"")*ISERROR(SEARCH($H70:$Q70,X70)))</f>
        <v/>
      </c>
      <c r="Z70" s="10" t="inlineStr">
        <is>
          <t>Enquadre: &lt;i&gt;"…"&lt;/i&gt;, disse {obs}, da porta.</t>
        </is>
      </c>
    </row>
    <row r="71" ht="35.05" customHeight="1" s="8">
      <c r="A71" s="10" t="inlineStr">
        <is>
          <t>c6-p09-05</t>
        </is>
      </c>
      <c r="B71" s="10" t="n">
        <v>9</v>
      </c>
      <c r="C71" s="10" t="inlineStr">
        <is>
          <t>quem estava onde: o residente martelava</t>
        </is>
      </c>
      <c r="D71" s="10" t="inlineStr">
        <is>
          <t>roteiro</t>
        </is>
      </c>
      <c r="E71" s="10" t="inlineStr">
        <is>
          <t>residente</t>
        </is>
      </c>
      <c r="F71" s="10" t="inlineStr">
        <is>
          <t>grupo</t>
        </is>
      </c>
      <c r="G71" s="10" t="n"/>
      <c r="H71" s="10" t="inlineStr">
        <is>
          <t>minha</t>
        </is>
      </c>
      <c r="I71" s="10" t="inlineStr">
        <is>
          <t>dobrada</t>
        </is>
      </c>
      <c r="J71" s="10" t="inlineStr">
        <is>
          <t>martelava</t>
        </is>
      </c>
      <c r="K71" s="10" t="inlineStr">
        <is>
          <t>trava</t>
        </is>
      </c>
      <c r="L71" s="10" t="inlineStr">
        <is>
          <t>porta de serviço</t>
        </is>
      </c>
      <c r="M71" s="10" t="n"/>
      <c r="N71" s="10" t="n"/>
      <c r="O71" s="10" t="n"/>
      <c r="P71" s="10" t="n"/>
      <c r="Q71" s="10" t="n"/>
      <c r="R71" s="10" t="inlineStr">
        <is>
          <t>A minha também estava dobrada. Eu martelava a trava da porta de serviço.</t>
        </is>
      </c>
      <c r="S71" s="13" t="inlineStr">
        <is>
          <t>A minha também estava dobrada, e daí? Eu martelava a trava da porta de serviço!</t>
        </is>
      </c>
      <c r="T71" s="13" t="inlineStr">
        <is>
          <t>A minha… também dobrada. Eu martelava… a trava da porta de serviço.</t>
        </is>
      </c>
      <c r="U71" s="13" t="inlineStr">
        <is>
          <t>A minha também estava dobrada, desculpa. Eu martelava a trava da porta de serviço.</t>
        </is>
      </c>
      <c r="V71" s="13" t="inlineStr">
        <is>
          <t>A minha também estava dobrada. Eu martelava a trava da porta de serviço.</t>
        </is>
      </c>
      <c r="W71" s="13" t="inlineStr">
        <is>
          <t>Trabalho úmido, esse… A minha também estava dobrada. Eu martelava a trava da porta de serviço.</t>
        </is>
      </c>
      <c r="X71" s="13" t="inlineStr">
        <is>
          <t>Anoto: a minha também estava dobrada. Eu martelava a trava da porta de serviço.</t>
        </is>
      </c>
      <c r="Y71" s="10">
        <f>SUMPRODUCT(($H71:$Q71&lt;&gt;"")*ISERROR(SEARCH($H71:$Q71,S71)))+SUMPRODUCT(($H71:$Q71&lt;&gt;"")*ISERROR(SEARCH($H71:$Q71,T71)))+SUMPRODUCT(($H71:$Q71&lt;&gt;"")*ISERROR(SEARCH($H71:$Q71,U71)))+SUMPRODUCT(($H71:$Q71&lt;&gt;"")*ISERROR(SEARCH($H71:$Q71,V71)))+SUMPRODUCT(($H71:$Q71&lt;&gt;"")*ISERROR(SEARCH($H71:$Q71,W71)))+SUMPRODUCT(($H71:$Q71&lt;&gt;"")*ISERROR(SEARCH($H71:$Q71,X71)))</f>
        <v/>
      </c>
      <c r="Z71" s="10" t="inlineStr">
        <is>
          <t>Enquadre: &lt;i&gt;"…"&lt;/i&gt;, disse {res}. &lt;i&gt;"…"&lt;/i&gt; (original divide em duas citações).</t>
        </is>
      </c>
    </row>
    <row r="72" ht="23.85" customHeight="1" s="8">
      <c r="A72" s="10" t="inlineStr">
        <is>
          <t>c6-p09-06</t>
        </is>
      </c>
      <c r="B72" s="10" t="n">
        <v>9</v>
      </c>
      <c r="C72" s="10" t="inlineStr">
        <is>
          <t>quem estava onde: as marteladas</t>
        </is>
      </c>
      <c r="D72" s="10" t="inlineStr">
        <is>
          <t>roteiro</t>
        </is>
      </c>
      <c r="E72" s="10" t="inlineStr">
        <is>
          <t>investigador</t>
        </is>
      </c>
      <c r="F72" s="10" t="inlineStr">
        <is>
          <t>grupo</t>
        </is>
      </c>
      <c r="G72" s="10" t="n"/>
      <c r="H72" s="10" t="inlineStr">
        <is>
          <t>marteladas</t>
        </is>
      </c>
      <c r="I72" s="10" t="inlineStr">
        <is>
          <t>não pararam</t>
        </is>
      </c>
      <c r="J72" s="10" t="inlineStr">
        <is>
          <t>nenhuma vez</t>
        </is>
      </c>
      <c r="K72" s="10" t="n"/>
      <c r="L72" s="10" t="n"/>
      <c r="M72" s="10" t="n"/>
      <c r="N72" s="10" t="n"/>
      <c r="O72" s="10" t="n"/>
      <c r="P72" s="10" t="n"/>
      <c r="Q72" s="10" t="n"/>
      <c r="R72" s="10" t="inlineStr">
        <is>
          <t>As marteladas não pararam nenhuma vez.</t>
        </is>
      </c>
      <c r="S72" s="13" t="inlineStr">
        <is>
          <t>As marteladas não pararam nenhuma vez!</t>
        </is>
      </c>
      <c r="T72" s="13" t="inlineStr">
        <is>
          <t>As marteladas… não pararam. Nenhuma vez.</t>
        </is>
      </c>
      <c r="U72" s="13" t="inlineStr">
        <is>
          <t>As marteladas não pararam nenhuma vez… vocês também ouviram?</t>
        </is>
      </c>
      <c r="V72" s="13" t="inlineStr">
        <is>
          <t>As marteladas não pararam. Nenhuma vez.</t>
        </is>
      </c>
      <c r="W72" s="13" t="inlineStr">
        <is>
          <t>As marteladas não pararam nenhuma vez. Por cima da chuva, até.</t>
        </is>
      </c>
      <c r="X72" s="13" t="inlineStr">
        <is>
          <t>Marteladas: não pararam nenhuma vez.</t>
        </is>
      </c>
      <c r="Y72" s="10">
        <f>SUMPRODUCT(($H72:$Q72&lt;&gt;"")*ISERROR(SEARCH($H72:$Q72,S72)))+SUMPRODUCT(($H72:$Q72&lt;&gt;"")*ISERROR(SEARCH($H72:$Q72,T72)))+SUMPRODUCT(($H72:$Q72&lt;&gt;"")*ISERROR(SEARCH($H72:$Q72,U72)))+SUMPRODUCT(($H72:$Q72&lt;&gt;"")*ISERROR(SEARCH($H72:$Q72,V72)))+SUMPRODUCT(($H72:$Q72&lt;&gt;"")*ISERROR(SEARCH($H72:$Q72,W72)))+SUMPRODUCT(($H72:$Q72&lt;&gt;"")*ISERROR(SEARCH($H72:$Q72,X72)))</f>
        <v/>
      </c>
      <c r="Z72" s="10" t="inlineStr">
        <is>
          <t>Enquadre: &lt;i&gt;"…"&lt;/i&gt;, disse {inv}, da sala de jantar.</t>
        </is>
      </c>
    </row>
    <row r="73" ht="35.05" customHeight="1" s="8">
      <c r="A73" s="10" t="inlineStr">
        <is>
          <t>c6-p09-07</t>
        </is>
      </c>
      <c r="B73" s="10" t="n">
        <v>9</v>
      </c>
      <c r="C73" s="10" t="inlineStr">
        <is>
          <t>quem estava onde: a herdeira na biblioteca</t>
        </is>
      </c>
      <c r="D73" s="10" t="inlineStr">
        <is>
          <t>roteiro</t>
        </is>
      </c>
      <c r="E73" s="10" t="inlineStr">
        <is>
          <t>observadora</t>
        </is>
      </c>
      <c r="F73" s="10" t="inlineStr">
        <is>
          <t>grupo</t>
        </is>
      </c>
      <c r="G73" s="10" t="n"/>
      <c r="H73" s="10" t="inlineStr">
        <is>
          <t>{her}</t>
        </is>
      </c>
      <c r="I73" s="10" t="inlineStr">
        <is>
          <t>biblioteca</t>
        </is>
      </c>
      <c r="J73" s="10" t="inlineStr">
        <is>
          <t>vela acesa</t>
        </is>
      </c>
      <c r="K73" s="10" t="inlineStr">
        <is>
          <t>vidro da porta</t>
        </is>
      </c>
      <c r="L73" s="10" t="n"/>
      <c r="M73" s="10" t="n"/>
      <c r="N73" s="10" t="n"/>
      <c r="O73" s="10" t="n"/>
      <c r="P73" s="10" t="n"/>
      <c r="Q73" s="10" t="n"/>
      <c r="R73" s="10" t="inlineStr">
        <is>
          <t>E {her} estava na biblioteca com a vela acesa; eu via pelo vidro da porta.</t>
        </is>
      </c>
      <c r="S73" s="13" t="inlineStr">
        <is>
          <t>E {her} estava na biblioteca com a vela acesa! Eu via pelo vidro da porta.</t>
        </is>
      </c>
      <c r="T73" s="13" t="inlineStr">
        <is>
          <t>E {her}… na biblioteca. Vela acesa. Eu via… pelo vidro da porta.</t>
        </is>
      </c>
      <c r="U73" s="13" t="inlineStr">
        <is>
          <t>E {her} estava na biblioteca com a vela acesa, eu via pelo vidro da porta… isso ajuda, não ajuda?</t>
        </is>
      </c>
      <c r="V73" s="13" t="inlineStr">
        <is>
          <t>E {her} estava na biblioteca, com a vela acesa. Eu via pelo vidro da porta.</t>
        </is>
      </c>
      <c r="W73" s="13" t="inlineStr">
        <is>
          <t>Frio que não passa… E {her} estava na biblioteca com a vela acesa; eu via pelo vidro da porta.</t>
        </is>
      </c>
      <c r="X73" s="13" t="inlineStr">
        <is>
          <t>Para a ata: {her} na biblioteca, vela acesa. Visto por mim pelo vidro da porta.</t>
        </is>
      </c>
      <c r="Y73" s="10">
        <f>SUMPRODUCT(($H73:$Q73&lt;&gt;"")*ISERROR(SEARCH($H73:$Q73,S73)))+SUMPRODUCT(($H73:$Q73&lt;&gt;"")*ISERROR(SEARCH($H73:$Q73,T73)))+SUMPRODUCT(($H73:$Q73&lt;&gt;"")*ISERROR(SEARCH($H73:$Q73,U73)))+SUMPRODUCT(($H73:$Q73&lt;&gt;"")*ISERROR(SEARCH($H73:$Q73,V73)))+SUMPRODUCT(($H73:$Q73&lt;&gt;"")*ISERROR(SEARCH($H73:$Q73,W73)))+SUMPRODUCT(($H73:$Q73&lt;&gt;"")*ISERROR(SEARCH($H73:$Q73,X73)))</f>
        <v/>
      </c>
      <c r="Z73" s="10" t="inlineStr">
        <is>
          <t>Enquadre: &lt;i&gt;"…"&lt;/i&gt;, disse {obs}.</t>
        </is>
      </c>
    </row>
    <row r="74" ht="23.85" customHeight="1" s="8">
      <c r="A74" s="10" t="inlineStr">
        <is>
          <t>c6-p09-08</t>
        </is>
      </c>
      <c r="B74" s="10" t="n">
        <v>9</v>
      </c>
      <c r="C74" s="10" t="inlineStr">
        <is>
          <t>quem estava onde: a porta ocupada</t>
        </is>
      </c>
      <c r="D74" s="10" t="inlineStr">
        <is>
          <t>roteiro</t>
        </is>
      </c>
      <c r="E74" s="10" t="inlineStr">
        <is>
          <t>herdeira</t>
        </is>
      </c>
      <c r="F74" s="10" t="inlineStr">
        <is>
          <t>grupo</t>
        </is>
      </c>
      <c r="G74" s="10" t="n"/>
      <c r="H74" s="10" t="inlineStr">
        <is>
          <t>porta da sala</t>
        </is>
      </c>
      <c r="I74" s="10" t="inlineStr">
        <is>
          <t>ocupada</t>
        </is>
      </c>
      <c r="J74" s="10" t="inlineStr">
        <is>
          <t>luz da vela</t>
        </is>
      </c>
      <c r="K74" s="10" t="n"/>
      <c r="L74" s="10" t="n"/>
      <c r="M74" s="10" t="n"/>
      <c r="N74" s="10" t="n"/>
      <c r="O74" s="10" t="n"/>
      <c r="P74" s="10" t="n"/>
      <c r="Q74" s="10" t="n"/>
      <c r="R74" s="10" t="inlineStr">
        <is>
          <t>E eu via a porta da sala ocupada, à luz da vela.</t>
        </is>
      </c>
      <c r="S74" s="13" t="inlineStr">
        <is>
          <t>E eu via a porta da sala ocupada, à luz da vela, ora!</t>
        </is>
      </c>
      <c r="T74" s="13" t="inlineStr">
        <is>
          <t>E eu via… a porta da sala. Ocupada. À luz da vela.</t>
        </is>
      </c>
      <c r="U74" s="13" t="inlineStr">
        <is>
          <t>E eu via a porta da sala ocupada, à luz da vela… é isso que vocês querem saber?</t>
        </is>
      </c>
      <c r="V74" s="13" t="inlineStr">
        <is>
          <t>E eu via a porta da sala ocupada, à luz da vela.</t>
        </is>
      </c>
      <c r="W74" s="13" t="inlineStr">
        <is>
          <t>Essa umidade… E eu via a porta da sala ocupada, à luz da vela.</t>
        </is>
      </c>
      <c r="X74" s="13" t="inlineStr">
        <is>
          <t>Porta da sala ocupada, vista por mim à luz da vela.</t>
        </is>
      </c>
      <c r="Y74" s="10">
        <f>SUMPRODUCT(($H74:$Q74&lt;&gt;"")*ISERROR(SEARCH($H74:$Q74,S74)))+SUMPRODUCT(($H74:$Q74&lt;&gt;"")*ISERROR(SEARCH($H74:$Q74,T74)))+SUMPRODUCT(($H74:$Q74&lt;&gt;"")*ISERROR(SEARCH($H74:$Q74,U74)))+SUMPRODUCT(($H74:$Q74&lt;&gt;"")*ISERROR(SEARCH($H74:$Q74,V74)))+SUMPRODUCT(($H74:$Q74&lt;&gt;"")*ISERROR(SEARCH($H74:$Q74,W74)))+SUMPRODUCT(($H74:$Q74&lt;&gt;"")*ISERROR(SEARCH($H74:$Q74,X74)))</f>
        <v/>
      </c>
      <c r="Z74" s="10" t="inlineStr">
        <is>
          <t>Enquadre: &lt;i&gt;"…"&lt;/i&gt;, disse {her}.</t>
        </is>
      </c>
    </row>
    <row r="75" ht="46.25" customHeight="1" s="8">
      <c r="A75" s="10" t="inlineStr">
        <is>
          <t>c6-p10-01</t>
        </is>
      </c>
      <c r="B75" s="10" t="n">
        <v>10</v>
      </c>
      <c r="C75" s="10" t="inlineStr">
        <is>
          <t>o rádio do farol: varanda vazia e dois vultos</t>
        </is>
      </c>
      <c r="D75" s="10" t="inlineStr">
        <is>
          <t>roteiro</t>
        </is>
      </c>
      <c r="E75" s="10" t="inlineStr">
        <is>
          <t>faroleiro</t>
        </is>
      </c>
      <c r="F75" s="10" t="inlineStr">
        <is>
          <t>grupo pelo rádio</t>
        </is>
      </c>
      <c r="G75" s="10" t="n"/>
      <c r="H75" s="10" t="inlineStr">
        <is>
          <t>quarto clarão</t>
        </is>
      </c>
      <c r="I75" s="10" t="inlineStr">
        <is>
          <t>varanda vazia</t>
        </is>
      </c>
      <c r="J75" s="10" t="inlineStr">
        <is>
          <t>vulto</t>
        </is>
      </c>
      <c r="K75" s="10" t="inlineStr">
        <is>
          <t>janela dos fundos</t>
        </is>
      </c>
      <c r="L75" s="10" t="inlineStr">
        <is>
          <t>sexto</t>
        </is>
      </c>
      <c r="M75" s="10" t="inlineStr">
        <is>
          <t>escuro</t>
        </is>
      </c>
      <c r="N75" s="10" t="inlineStr">
        <is>
          <t>lado da sala para a varanda</t>
        </is>
      </c>
      <c r="O75" s="10" t="n"/>
      <c r="P75" s="10" t="n"/>
      <c r="Q75" s="10" t="n"/>
      <c r="R75" s="10" t="inlineStr">
        <is>
          <t>No quarto clarão, a varanda vazia e um vulto junto à janela dos fundos. No sexto, outro, escuro, atravessando do lado da sala para a varanda.</t>
        </is>
      </c>
      <c r="S75" s="13" t="inlineStr">
        <is>
          <t>No quarto clarão, a varanda vazia e um vulto junto à janela dos fundos! No sexto, outro, escuro, atravessando do lado da sala para a varanda.</t>
        </is>
      </c>
      <c r="T75" s="13" t="inlineStr">
        <is>
          <t>No quarto clarão… a varanda vazia. Um vulto junto à janela dos fundos. No sexto… outro. Escuro. Atravessando do lado da sala para a varanda.</t>
        </is>
      </c>
      <c r="U75" s="13" t="inlineStr">
        <is>
          <t>No quarto clarão, a varanda vazia e um vulto junto à janela dos fundos. No sexto, outro, escuro, atravessando do lado da sala para a varanda… alguém mais viu?</t>
        </is>
      </c>
      <c r="V75" s="13" t="inlineStr">
        <is>
          <t>No quarto clarão, a varanda vazia e um vulto junto à janela dos fundos. No sexto, outro, escuro, atravessando do lado da sala para a varanda.</t>
        </is>
      </c>
      <c r="W75" s="13" t="inlineStr">
        <is>
          <t>No quarto clarão, a varanda vazia e um vulto junto à janela dos fundos. Esse frio aqui em cima… No sexto, outro, escuro, atravessando do lado da sala para a varanda.</t>
        </is>
      </c>
      <c r="X75" s="13" t="inlineStr">
        <is>
          <t>Registro do farol: quarto clarão, varanda vazia, um vulto junto à janela dos fundos. Sexto: outro, escuro, atravessando do lado da sala para a varanda.</t>
        </is>
      </c>
      <c r="Y75" s="10">
        <f>SUMPRODUCT(($H75:$Q75&lt;&gt;"")*ISERROR(SEARCH($H75:$Q75,S75)))+SUMPRODUCT(($H75:$Q75&lt;&gt;"")*ISERROR(SEARCH($H75:$Q75,T75)))+SUMPRODUCT(($H75:$Q75&lt;&gt;"")*ISERROR(SEARCH($H75:$Q75,U75)))+SUMPRODUCT(($H75:$Q75&lt;&gt;"")*ISERROR(SEARCH($H75:$Q75,V75)))+SUMPRODUCT(($H75:$Q75&lt;&gt;"")*ISERROR(SEARCH($H75:$Q75,W75)))+SUMPRODUCT(($H75:$Q75&lt;&gt;"")*ISERROR(SEARCH($H75:$Q75,X75)))</f>
        <v/>
      </c>
      <c r="Z75" s="10" t="inlineStr">
        <is>
          <t>Enquadre: O rádio: &lt;i&gt;"…"&lt;/i&gt;</t>
        </is>
      </c>
    </row>
    <row r="76" ht="35.05" customHeight="1" s="8">
      <c r="A76" s="10" t="inlineStr">
        <is>
          <t>c6-p10-02</t>
        </is>
      </c>
      <c r="B76" s="10" t="n">
        <v>10</v>
      </c>
      <c r="C76" s="10" t="inlineStr">
        <is>
          <t>quem estava onde: a observadora confirma a varanda vazia</t>
        </is>
      </c>
      <c r="D76" s="10" t="inlineStr">
        <is>
          <t>roteiro</t>
        </is>
      </c>
      <c r="E76" s="10" t="inlineStr">
        <is>
          <t>observadora</t>
        </is>
      </c>
      <c r="F76" s="10" t="inlineStr">
        <is>
          <t>grupo</t>
        </is>
      </c>
      <c r="G76" s="10" t="n"/>
      <c r="H76" s="10" t="inlineStr">
        <is>
          <t>varanda vazia</t>
        </is>
      </c>
      <c r="I76" s="10" t="inlineStr">
        <is>
          <t>quarto clarão</t>
        </is>
      </c>
      <c r="J76" s="10" t="inlineStr">
        <is>
          <t>da janela</t>
        </is>
      </c>
      <c r="K76" s="10" t="n"/>
      <c r="L76" s="10" t="n"/>
      <c r="M76" s="10" t="n"/>
      <c r="N76" s="10" t="n"/>
      <c r="O76" s="10" t="n"/>
      <c r="P76" s="10" t="n"/>
      <c r="Q76" s="10" t="n"/>
      <c r="R76" s="10" t="inlineStr">
        <is>
          <t>Eu também vi a varanda vazia no quarto clarão, da janela.</t>
        </is>
      </c>
      <c r="S76" s="13" t="inlineStr">
        <is>
          <t>Eu também vi a varanda vazia no quarto clarão, da janela!</t>
        </is>
      </c>
      <c r="T76" s="13" t="inlineStr">
        <is>
          <t>Eu também… a varanda vazia. No quarto clarão. Da janela.</t>
        </is>
      </c>
      <c r="U76" s="13" t="inlineStr">
        <is>
          <t>Eu também vi a varanda vazia no quarto clarão, da janela… bate, não bate?</t>
        </is>
      </c>
      <c r="V76" s="13" t="inlineStr">
        <is>
          <t>Eu também vi a varanda vazia no quarto clarão. Da janela.</t>
        </is>
      </c>
      <c r="W76" s="13" t="inlineStr">
        <is>
          <t>Com essa chuva escorrendo… Eu também vi a varanda vazia no quarto clarão, da janela.</t>
        </is>
      </c>
      <c r="X76" s="13" t="inlineStr">
        <is>
          <t>Anoto: também vi a varanda vazia no quarto clarão, da janela.</t>
        </is>
      </c>
      <c r="Y76" s="10">
        <f>SUMPRODUCT(($H76:$Q76&lt;&gt;"")*ISERROR(SEARCH($H76:$Q76,S76)))+SUMPRODUCT(($H76:$Q76&lt;&gt;"")*ISERROR(SEARCH($H76:$Q76,T76)))+SUMPRODUCT(($H76:$Q76&lt;&gt;"")*ISERROR(SEARCH($H76:$Q76,U76)))+SUMPRODUCT(($H76:$Q76&lt;&gt;"")*ISERROR(SEARCH($H76:$Q76,V76)))+SUMPRODUCT(($H76:$Q76&lt;&gt;"")*ISERROR(SEARCH($H76:$Q76,W76)))+SUMPRODUCT(($H76:$Q76&lt;&gt;"")*ISERROR(SEARCH($H76:$Q76,X76)))</f>
        <v/>
      </c>
      <c r="Z76" s="10" t="inlineStr">
        <is>
          <t>Enquadre: &lt;i&gt;"…"&lt;/i&gt;, disse {obs}.</t>
        </is>
      </c>
    </row>
    <row r="77" ht="35.05" customHeight="1" s="8">
      <c r="A77" s="10" t="inlineStr">
        <is>
          <t>c6-p10-03</t>
        </is>
      </c>
      <c r="B77" s="10" t="n">
        <v>10</v>
      </c>
      <c r="C77" s="10" t="inlineStr">
        <is>
          <t>o oleado seco do jardineiro</t>
        </is>
      </c>
      <c r="D77" s="10" t="inlineStr">
        <is>
          <t>roteiro</t>
        </is>
      </c>
      <c r="E77" s="10" t="inlineStr">
        <is>
          <t>observadora</t>
        </is>
      </c>
      <c r="F77" s="10" t="inlineStr">
        <is>
          <t>jardineiro</t>
        </is>
      </c>
      <c r="G77" s="10" t="n"/>
      <c r="H77" s="10" t="inlineStr">
        <is>
          <t>oleado</t>
        </is>
      </c>
      <c r="I77" s="10" t="inlineStr">
        <is>
          <t>seco</t>
        </is>
      </c>
      <c r="J77" s="10" t="inlineStr">
        <is>
          <t>por dentro e por fora</t>
        </is>
      </c>
      <c r="K77" s="10" t="inlineStr">
        <is>
          <t>{g:jar:encharcada|encharcado}</t>
        </is>
      </c>
      <c r="L77" s="10" t="n"/>
      <c r="M77" s="10" t="n"/>
      <c r="N77" s="10" t="n"/>
      <c r="O77" s="10" t="n"/>
      <c r="P77" s="10" t="n"/>
      <c r="Q77" s="10" t="n"/>
      <c r="R77" s="10" t="inlineStr">
        <is>
          <t>E o seu oleado está seco, por dentro e por fora. Você está {g:jar:encharcada|encharcado}.</t>
        </is>
      </c>
      <c r="S77" s="13" t="inlineStr">
        <is>
          <t>E o seu oleado está seco, por dentro e por fora! E você, {g:jar:encharcada|encharcado}. Bonito, hein.</t>
        </is>
      </c>
      <c r="T77" s="13" t="inlineStr">
        <is>
          <t>O seu oleado… seco. Por dentro e por fora. Você… {g:jar:encharcada|encharcado}.</t>
        </is>
      </c>
      <c r="U77" s="13" t="inlineStr">
        <is>
          <t>E o seu oleado está seco, por dentro e por fora… mas você está {g:jar:encharcada|encharcado}, não está?</t>
        </is>
      </c>
      <c r="V77" s="13" t="inlineStr">
        <is>
          <t>E o seu oleado está seco, por dentro e por fora. Você está {g:jar:encharcada|encharcado}.</t>
        </is>
      </c>
      <c r="W77" s="13" t="inlineStr">
        <is>
          <t>Que chuva, essa… E o seu oleado está seco, por dentro e por fora. Já você está {g:jar:encharcada|encharcado}.</t>
        </is>
      </c>
      <c r="X77" s="13" t="inlineStr">
        <is>
          <t>Oleado: seco, por dentro e por fora. Você: {g:jar:encharcada|encharcado}.</t>
        </is>
      </c>
      <c r="Y77" s="10">
        <f>SUMPRODUCT(($H77:$Q77&lt;&gt;"")*ISERROR(SEARCH($H77:$Q77,S77)))+SUMPRODUCT(($H77:$Q77&lt;&gt;"")*ISERROR(SEARCH($H77:$Q77,T77)))+SUMPRODUCT(($H77:$Q77&lt;&gt;"")*ISERROR(SEARCH($H77:$Q77,U77)))+SUMPRODUCT(($H77:$Q77&lt;&gt;"")*ISERROR(SEARCH($H77:$Q77,V77)))+SUMPRODUCT(($H77:$Q77&lt;&gt;"")*ISERROR(SEARCH($H77:$Q77,W77)))+SUMPRODUCT(($H77:$Q77&lt;&gt;"")*ISERROR(SEARCH($H77:$Q77,X77)))</f>
        <v/>
      </c>
      <c r="Z77" s="10" t="inlineStr">
        <is>
          <t>Enquadre: &lt;i&gt;"…"&lt;/i&gt;, ela disse {a:jar}. &lt;i&gt;"…"&lt;/i&gt; (original divide em duas citações).</t>
        </is>
      </c>
    </row>
    <row r="78" ht="23.85" customHeight="1" s="8">
      <c r="A78" s="10" t="inlineStr">
        <is>
          <t>c6-p10-04</t>
        </is>
      </c>
      <c r="B78" s="10" t="n">
        <v>10</v>
      </c>
      <c r="C78" s="10" t="inlineStr">
        <is>
          <t>a resposta do jardineiro sobre o oleado</t>
        </is>
      </c>
      <c r="D78" s="10" t="inlineStr">
        <is>
          <t>roteiro</t>
        </is>
      </c>
      <c r="E78" s="10" t="inlineStr">
        <is>
          <t>jardineiro</t>
        </is>
      </c>
      <c r="F78" s="10" t="inlineStr">
        <is>
          <t>observadora</t>
        </is>
      </c>
      <c r="G78" s="10" t="n"/>
      <c r="H78" s="10" t="inlineStr">
        <is>
          <t>tirei</t>
        </is>
      </c>
      <c r="I78" s="10" t="inlineStr">
        <is>
          <t>pesava</t>
        </is>
      </c>
      <c r="J78" s="10" t="n"/>
      <c r="K78" s="10" t="n"/>
      <c r="L78" s="10" t="n"/>
      <c r="M78" s="10" t="n"/>
      <c r="N78" s="10" t="n"/>
      <c r="O78" s="10" t="n"/>
      <c r="P78" s="10" t="n"/>
      <c r="Q78" s="10" t="n"/>
      <c r="R78" s="10" t="inlineStr">
        <is>
          <t>Tirei. Pesava.</t>
        </is>
      </c>
      <c r="S78" s="13" t="inlineStr">
        <is>
          <t>Tirei. Pesava!</t>
        </is>
      </c>
      <c r="T78" s="13" t="inlineStr">
        <is>
          <t>Tirei… Pesava.</t>
        </is>
      </c>
      <c r="U78" s="13" t="inlineStr">
        <is>
          <t>Tirei. Pesava…</t>
        </is>
      </c>
      <c r="V78" s="13" t="inlineStr">
        <is>
          <t>Tirei. Pesava.</t>
        </is>
      </c>
      <c r="W78" s="13" t="inlineStr">
        <is>
          <t>Hum… tirei. Pesava.</t>
        </is>
      </c>
      <c r="X78" s="13" t="inlineStr">
        <is>
          <t>Tirei. Pesava.</t>
        </is>
      </c>
      <c r="Y78" s="10">
        <f>SUMPRODUCT(($H78:$Q78&lt;&gt;"")*ISERROR(SEARCH($H78:$Q78,S78)))+SUMPRODUCT(($H78:$Q78&lt;&gt;"")*ISERROR(SEARCH($H78:$Q78,T78)))+SUMPRODUCT(($H78:$Q78&lt;&gt;"")*ISERROR(SEARCH($H78:$Q78,U78)))+SUMPRODUCT(($H78:$Q78&lt;&gt;"")*ISERROR(SEARCH($H78:$Q78,V78)))+SUMPRODUCT(($H78:$Q78&lt;&gt;"")*ISERROR(SEARCH($H78:$Q78,W78)))+SUMPRODUCT(($H78:$Q78&lt;&gt;"")*ISERROR(SEARCH($H78:$Q78,X78)))</f>
        <v/>
      </c>
      <c r="Z78" s="10" t="inlineStr">
        <is>
          <t>Fala sem atribuição explícita, resposta do {jar} à {obs}.</t>
        </is>
      </c>
    </row>
    <row r="79" ht="35.05" customHeight="1" s="8">
      <c r="A79" s="10" t="inlineStr">
        <is>
          <t>c6-p10-05</t>
        </is>
      </c>
      <c r="B79" s="10" t="n">
        <v>10</v>
      </c>
      <c r="C79" s="10" t="inlineStr">
        <is>
          <t>o barro vermelho junto ao relógio</t>
        </is>
      </c>
      <c r="D79" s="10" t="inlineStr">
        <is>
          <t>roteiro</t>
        </is>
      </c>
      <c r="E79" s="10" t="inlineStr">
        <is>
          <t>observadora</t>
        </is>
      </c>
      <c r="F79" s="10" t="inlineStr">
        <is>
          <t>grupo</t>
        </is>
      </c>
      <c r="G79" s="10" t="n"/>
      <c r="H79" s="10" t="inlineStr">
        <is>
          <t>barro vermelho</t>
        </is>
      </c>
      <c r="I79" s="10" t="inlineStr">
        <is>
          <t>fresco</t>
        </is>
      </c>
      <c r="J79" s="10" t="inlineStr">
        <is>
          <t>relógio</t>
        </is>
      </c>
      <c r="K79" s="10" t="n"/>
      <c r="L79" s="10" t="n"/>
      <c r="M79" s="10" t="n"/>
      <c r="N79" s="10" t="n"/>
      <c r="O79" s="10" t="n"/>
      <c r="P79" s="10" t="n"/>
      <c r="Q79" s="10" t="n"/>
      <c r="R79" s="10" t="inlineStr">
        <is>
          <t>Tem barro vermelho fresco junto ao relógio.</t>
        </is>
      </c>
      <c r="S79" s="13" t="inlineStr">
        <is>
          <t>Tem barro vermelho fresco junto ao relógio! Ninguém reparou?</t>
        </is>
      </c>
      <c r="T79" s="13" t="inlineStr">
        <is>
          <t>Barro vermelho… fresco. Junto ao relógio.</t>
        </is>
      </c>
      <c r="U79" s="13" t="inlineStr">
        <is>
          <t>Tem barro vermelho fresco junto ao relógio… não tem?</t>
        </is>
      </c>
      <c r="V79" s="13" t="inlineStr">
        <is>
          <t>Tem barro vermelho fresco junto ao relógio.</t>
        </is>
      </c>
      <c r="W79" s="13" t="inlineStr">
        <is>
          <t>Chuva o dia inteiro… Tem barro vermelho fresco junto ao relógio.</t>
        </is>
      </c>
      <c r="X79" s="13" t="inlineStr">
        <is>
          <t>Junto ao relógio: barro vermelho, fresco.</t>
        </is>
      </c>
      <c r="Y79" s="10">
        <f>SUMPRODUCT(($H79:$Q79&lt;&gt;"")*ISERROR(SEARCH($H79:$Q79,S79)))+SUMPRODUCT(($H79:$Q79&lt;&gt;"")*ISERROR(SEARCH($H79:$Q79,T79)))+SUMPRODUCT(($H79:$Q79&lt;&gt;"")*ISERROR(SEARCH($H79:$Q79,U79)))+SUMPRODUCT(($H79:$Q79&lt;&gt;"")*ISERROR(SEARCH($H79:$Q79,V79)))+SUMPRODUCT(($H79:$Q79&lt;&gt;"")*ISERROR(SEARCH($H79:$Q79,W79)))+SUMPRODUCT(($H79:$Q79&lt;&gt;"")*ISERROR(SEARCH($H79:$Q79,X79)))</f>
        <v/>
      </c>
      <c r="Z79" s="10" t="inlineStr">
        <is>
          <t>Fala sem atribuição explícita; pela sequência, {obs} retoma depois da resposta do {jar}. Conferir.</t>
        </is>
      </c>
    </row>
    <row r="80" ht="35.05" customHeight="1" s="8">
      <c r="A80" s="10" t="inlineStr">
        <is>
          <t>c6-p10-06</t>
        </is>
      </c>
      <c r="B80" s="10" t="n">
        <v>10</v>
      </c>
      <c r="C80" s="10" t="inlineStr">
        <is>
          <t>quem estava onde: a herdeira de costas para a porta</t>
        </is>
      </c>
      <c r="D80" s="10" t="inlineStr">
        <is>
          <t>roteiro</t>
        </is>
      </c>
      <c r="E80" s="10" t="inlineStr">
        <is>
          <t>observadora</t>
        </is>
      </c>
      <c r="F80" s="10" t="inlineStr">
        <is>
          <t>grupo</t>
        </is>
      </c>
      <c r="G80" s="10" t="n"/>
      <c r="H80" s="10" t="inlineStr">
        <is>
          <t>quarto clarão</t>
        </is>
      </c>
      <c r="I80" s="10" t="inlineStr">
        <is>
          <t>{her}</t>
        </is>
      </c>
      <c r="J80" s="10" t="inlineStr">
        <is>
          <t>{g:her:sentada|sentado}</t>
        </is>
      </c>
      <c r="K80" s="10" t="inlineStr">
        <is>
          <t>de costas para a porta</t>
        </is>
      </c>
      <c r="L80" s="10" t="n"/>
      <c r="M80" s="10" t="n"/>
      <c r="N80" s="10" t="n"/>
      <c r="O80" s="10" t="n"/>
      <c r="P80" s="10" t="n"/>
      <c r="Q80" s="10" t="n"/>
      <c r="R80" s="10" t="inlineStr">
        <is>
          <t>No quarto clarão, {her} estava {g:her:sentada|sentado} de costas para a porta.</t>
        </is>
      </c>
      <c r="S80" s="13" t="inlineStr">
        <is>
          <t>No quarto clarão, {her} estava {g:her:sentada|sentado} de costas para a porta! De costas, vejam só.</t>
        </is>
      </c>
      <c r="T80" s="13" t="inlineStr">
        <is>
          <t>No quarto clarão… {her}. {g:her:Sentada|Sentado}. De costas para a porta.</t>
        </is>
      </c>
      <c r="U80" s="13" t="inlineStr">
        <is>
          <t>No quarto clarão, {her} estava {g:her:sentada|sentado} de costas para a porta… foi o que eu vi, desculpa.</t>
        </is>
      </c>
      <c r="V80" s="13" t="inlineStr">
        <is>
          <t>No quarto clarão, {her} estava {g:her:sentada|sentado} de costas para a porta.</t>
        </is>
      </c>
      <c r="W80" s="13" t="inlineStr">
        <is>
          <t>Esse frio todo… No quarto clarão, {her} estava {g:her:sentada|sentado} de costas para a porta.</t>
        </is>
      </c>
      <c r="X80" s="13" t="inlineStr">
        <is>
          <t>Quarto clarão: {her} {g:her:sentada|sentado}, de costas para a porta.</t>
        </is>
      </c>
      <c r="Y80" s="10">
        <f>SUMPRODUCT(($H80:$Q80&lt;&gt;"")*ISERROR(SEARCH($H80:$Q80,S80)))+SUMPRODUCT(($H80:$Q80&lt;&gt;"")*ISERROR(SEARCH($H80:$Q80,T80)))+SUMPRODUCT(($H80:$Q80&lt;&gt;"")*ISERROR(SEARCH($H80:$Q80,U80)))+SUMPRODUCT(($H80:$Q80&lt;&gt;"")*ISERROR(SEARCH($H80:$Q80,V80)))+SUMPRODUCT(($H80:$Q80&lt;&gt;"")*ISERROR(SEARCH($H80:$Q80,W80)))+SUMPRODUCT(($H80:$Q80&lt;&gt;"")*ISERROR(SEARCH($H80:$Q80,X80)))</f>
        <v/>
      </c>
      <c r="Z80" s="10" t="inlineStr">
        <is>
          <t>Enquadre: &lt;i&gt;"…"&lt;/i&gt;, disse {obs}.</t>
        </is>
      </c>
    </row>
    <row r="81" ht="35.05" customHeight="1" s="8">
      <c r="A81" s="10" t="inlineStr">
        <is>
          <t>c6-p10-07</t>
        </is>
      </c>
      <c r="B81" s="10" t="n">
        <v>10</v>
      </c>
      <c r="C81" s="10" t="inlineStr">
        <is>
          <t>a herdeira explica</t>
        </is>
      </c>
      <c r="D81" s="10" t="inlineStr">
        <is>
          <t>roteiro</t>
        </is>
      </c>
      <c r="E81" s="10" t="inlineStr">
        <is>
          <t>herdeira</t>
        </is>
      </c>
      <c r="F81" s="10" t="inlineStr">
        <is>
          <t>grupo</t>
        </is>
      </c>
      <c r="G81" s="10" t="n"/>
      <c r="H81" s="10" t="inlineStr">
        <is>
          <t>fechei os olhos</t>
        </is>
      </c>
      <c r="I81" s="10" t="inlineStr">
        <is>
          <t>chorando</t>
        </is>
      </c>
      <c r="J81" s="10" t="n"/>
      <c r="K81" s="10" t="n"/>
      <c r="L81" s="10" t="n"/>
      <c r="M81" s="10" t="n"/>
      <c r="N81" s="10" t="n"/>
      <c r="O81" s="10" t="n"/>
      <c r="P81" s="10" t="n"/>
      <c r="Q81" s="10" t="n"/>
      <c r="R81" s="10" t="inlineStr">
        <is>
          <t>Eu fechei os olhos. Estava chorando.</t>
        </is>
      </c>
      <c r="S81" s="13" t="inlineStr">
        <is>
          <t>Eu fechei os olhos! Estava chorando, satisfeitos?</t>
        </is>
      </c>
      <c r="T81" s="13" t="inlineStr">
        <is>
          <t>Eu fechei os olhos… Estava chorando.</t>
        </is>
      </c>
      <c r="U81" s="13" t="inlineStr">
        <is>
          <t>Eu fechei os olhos… estava chorando, desculpa.</t>
        </is>
      </c>
      <c r="V81" s="13" t="inlineStr">
        <is>
          <t>Eu fechei os olhos. Estava chorando.</t>
        </is>
      </c>
      <c r="W81" s="13" t="inlineStr">
        <is>
          <t>Essa noite comprida… Eu fechei os olhos. Estava chorando.</t>
        </is>
      </c>
      <c r="X81" s="13" t="inlineStr">
        <is>
          <t>Consta: fechei os olhos. Estava chorando.</t>
        </is>
      </c>
      <c r="Y81" s="10">
        <f>SUMPRODUCT(($H81:$Q81&lt;&gt;"")*ISERROR(SEARCH($H81:$Q81,S81)))+SUMPRODUCT(($H81:$Q81&lt;&gt;"")*ISERROR(SEARCH($H81:$Q81,T81)))+SUMPRODUCT(($H81:$Q81&lt;&gt;"")*ISERROR(SEARCH($H81:$Q81,U81)))+SUMPRODUCT(($H81:$Q81&lt;&gt;"")*ISERROR(SEARCH($H81:$Q81,V81)))+SUMPRODUCT(($H81:$Q81&lt;&gt;"")*ISERROR(SEARCH($H81:$Q81,W81)))+SUMPRODUCT(($H81:$Q81&lt;&gt;"")*ISERROR(SEARCH($H81:$Q81,X81)))</f>
        <v/>
      </c>
      <c r="Z81" s="10" t="inlineStr">
        <is>
          <t>Enquadre: &lt;i&gt;"…"&lt;/i&gt;, disse {her}. &lt;i&gt;"…"&lt;/i&gt; (original divide em duas citações).</t>
        </is>
      </c>
    </row>
    <row r="82" ht="35.05" customHeight="1" s="8">
      <c r="A82" s="10" t="inlineStr">
        <is>
          <t>c6-p10-08</t>
        </is>
      </c>
      <c r="B82" s="10" t="n">
        <v>10</v>
      </c>
      <c r="C82" s="10" t="inlineStr">
        <is>
          <t>quem estava onde: o tabelião à mesa</t>
        </is>
      </c>
      <c r="D82" s="10" t="inlineStr">
        <is>
          <t>roteiro</t>
        </is>
      </c>
      <c r="E82" s="10" t="inlineStr">
        <is>
          <t>observadora</t>
        </is>
      </c>
      <c r="F82" s="10" t="inlineStr">
        <is>
          <t>grupo</t>
        </is>
      </c>
      <c r="G82" s="10" t="n"/>
      <c r="H82" s="10" t="inlineStr">
        <is>
          <t>vi {tab}</t>
        </is>
      </c>
      <c r="I82" s="10" t="inlineStr">
        <is>
          <t>mesa</t>
        </is>
      </c>
      <c r="J82" s="10" t="inlineStr">
        <is>
          <t>porta de vidro</t>
        </is>
      </c>
      <c r="K82" s="10" t="n"/>
      <c r="L82" s="10" t="n"/>
      <c r="M82" s="10" t="n"/>
      <c r="N82" s="10" t="n"/>
      <c r="O82" s="10" t="n"/>
      <c r="P82" s="10" t="n"/>
      <c r="Q82" s="10" t="n"/>
      <c r="R82" s="10" t="inlineStr">
        <is>
          <t>E vi {tab} à mesa, pela porta de vidro.</t>
        </is>
      </c>
      <c r="S82" s="13" t="inlineStr">
        <is>
          <t>E vi {tab} à mesa, pela porta de vidro! Querem mais?</t>
        </is>
      </c>
      <c r="T82" s="13" t="inlineStr">
        <is>
          <t>E vi {tab}… à mesa. Pela porta de vidro.</t>
        </is>
      </c>
      <c r="U82" s="13" t="inlineStr">
        <is>
          <t>E vi {tab} à mesa, pela porta de vidro. Ajuda em alguma coisa?</t>
        </is>
      </c>
      <c r="V82" s="13" t="inlineStr">
        <is>
          <t>E vi {tab} à mesa, pela porta de vidro.</t>
        </is>
      </c>
      <c r="W82" s="13" t="inlineStr">
        <is>
          <t>E vi {tab} à mesa, pela porta de vidro. A demora daquilo tudo…</t>
        </is>
      </c>
      <c r="X82" s="13" t="inlineStr">
        <is>
          <t>Anoto: vi {tab} à mesa, pela porta de vidro.</t>
        </is>
      </c>
      <c r="Y82" s="10">
        <f>SUMPRODUCT(($H82:$Q82&lt;&gt;"")*ISERROR(SEARCH($H82:$Q82,S82)))+SUMPRODUCT(($H82:$Q82&lt;&gt;"")*ISERROR(SEARCH($H82:$Q82,T82)))+SUMPRODUCT(($H82:$Q82&lt;&gt;"")*ISERROR(SEARCH($H82:$Q82,U82)))+SUMPRODUCT(($H82:$Q82&lt;&gt;"")*ISERROR(SEARCH($H82:$Q82,V82)))+SUMPRODUCT(($H82:$Q82&lt;&gt;"")*ISERROR(SEARCH($H82:$Q82,W82)))+SUMPRODUCT(($H82:$Q82&lt;&gt;"")*ISERROR(SEARCH($H82:$Q82,X82)))</f>
        <v/>
      </c>
      <c r="Z82" s="10" t="inlineStr">
        <is>
          <t>Fala sem atribuição explícita; pela sequência ("E vi"), é {obs} retomando. Conferir.</t>
        </is>
      </c>
    </row>
    <row r="83" ht="35.05" customHeight="1" s="8">
      <c r="A83" s="10" t="inlineStr">
        <is>
          <t>c6-p10-09</t>
        </is>
      </c>
      <c r="B83" s="10" t="n">
        <v>10</v>
      </c>
      <c r="C83" s="10" t="inlineStr">
        <is>
          <t>quem estava onde: o residente pela copa</t>
        </is>
      </c>
      <c r="D83" s="10" t="inlineStr">
        <is>
          <t>roteiro</t>
        </is>
      </c>
      <c r="E83" s="10" t="inlineStr">
        <is>
          <t>governanta</t>
        </is>
      </c>
      <c r="F83" s="10" t="inlineStr">
        <is>
          <t>grupo</t>
        </is>
      </c>
      <c r="G83" s="10" t="n"/>
      <c r="H83" s="10" t="inlineStr">
        <is>
          <t>{res}</t>
        </is>
      </c>
      <c r="I83" s="10" t="inlineStr">
        <is>
          <t>falou comigo</t>
        </is>
      </c>
      <c r="J83" s="10" t="inlineStr">
        <is>
          <t>copa</t>
        </is>
      </c>
      <c r="K83" s="10" t="inlineStr">
        <is>
          <t>o tempo todo</t>
        </is>
      </c>
      <c r="L83" s="10" t="n"/>
      <c r="M83" s="10" t="n"/>
      <c r="N83" s="10" t="n"/>
      <c r="O83" s="10" t="n"/>
      <c r="P83" s="10" t="n"/>
      <c r="Q83" s="10" t="n"/>
      <c r="R83" s="10" t="inlineStr">
        <is>
          <t>{Res} falou comigo pela copa o tempo todo.</t>
        </is>
      </c>
      <c r="S83" s="13" t="inlineStr">
        <is>
          <t>{Res} falou comigo pela copa o tempo todo!</t>
        </is>
      </c>
      <c r="T83" s="13" t="inlineStr">
        <is>
          <t>{Res}… falou comigo. Pela copa. O tempo todo.</t>
        </is>
      </c>
      <c r="U83" s="13" t="inlineStr">
        <is>
          <t>{Res} falou comigo pela copa o tempo todo. Sim, o tempo todo.</t>
        </is>
      </c>
      <c r="V83" s="13" t="inlineStr">
        <is>
          <t>{Res} falou comigo pela copa o tempo todo.</t>
        </is>
      </c>
      <c r="W83" s="13" t="inlineStr">
        <is>
          <t>Com essa umidade… {Res} falou comigo pela copa o tempo todo.</t>
        </is>
      </c>
      <c r="X83" s="13" t="inlineStr">
        <is>
          <t>Para a ata: {res} falou comigo pela copa, o tempo todo.</t>
        </is>
      </c>
      <c r="Y83" s="10">
        <f>SUMPRODUCT(($H83:$Q83&lt;&gt;"")*ISERROR(SEARCH($H83:$Q83,S83)))+SUMPRODUCT(($H83:$Q83&lt;&gt;"")*ISERROR(SEARCH($H83:$Q83,T83)))+SUMPRODUCT(($H83:$Q83&lt;&gt;"")*ISERROR(SEARCH($H83:$Q83,U83)))+SUMPRODUCT(($H83:$Q83&lt;&gt;"")*ISERROR(SEARCH($H83:$Q83,V83)))+SUMPRODUCT(($H83:$Q83&lt;&gt;"")*ISERROR(SEARCH($H83:$Q83,W83)))+SUMPRODUCT(($H83:$Q83&lt;&gt;"")*ISERROR(SEARCH($H83:$Q83,X83)))</f>
        <v/>
      </c>
      <c r="Z83" s="10" t="inlineStr">
        <is>
          <t>Enquadre: &lt;i&gt;"…"&lt;/i&gt;, disse {gov}. Segue narração sem fala (o vulto da janela dos fundos não era {res}).</t>
        </is>
      </c>
    </row>
    <row r="84" ht="68.65000000000001" customHeight="1" s="8">
      <c r="A84" s="10" t="inlineStr">
        <is>
          <t>c6-p12-01</t>
        </is>
      </c>
      <c r="B84" s="10" t="n">
        <v>12</v>
      </c>
      <c r="C84" s="10" t="inlineStr">
        <is>
          <t>quem estava onde: o degrau e a manga clara</t>
        </is>
      </c>
      <c r="D84" s="10" t="inlineStr">
        <is>
          <t>roteiro</t>
        </is>
      </c>
      <c r="E84" s="10" t="inlineStr">
        <is>
          <t>policial</t>
        </is>
      </c>
      <c r="F84" s="10" t="inlineStr">
        <is>
          <t>grupo</t>
        </is>
      </c>
      <c r="G84" s="10" t="n"/>
      <c r="H84" s="10" t="inlineStr">
        <is>
          <t>degrau da biblioteca</t>
        </is>
      </c>
      <c r="I84" s="10" t="inlineStr">
        <is>
          <t>rangeu</t>
        </is>
      </c>
      <c r="J84" s="10" t="inlineStr">
        <is>
          <t>cinquenta e seis</t>
        </is>
      </c>
      <c r="K84" s="10" t="inlineStr">
        <is>
          <t>cento e treze</t>
        </is>
      </c>
      <c r="L84" s="10" t="inlineStr">
        <is>
          <t>quarto clarão</t>
        </is>
      </c>
      <c r="M84" s="10" t="inlineStr">
        <is>
          <t>pêndulo</t>
        </is>
      </c>
      <c r="N84" s="10" t="inlineStr">
        <is>
          <t>manga clara e fina</t>
        </is>
      </c>
      <c r="O84" s="10" t="inlineStr">
        <is>
          <t>sem casaco</t>
        </is>
      </c>
      <c r="P84" s="10" t="n"/>
      <c r="Q84" s="10" t="n"/>
      <c r="R84" s="10" t="inlineStr">
        <is>
          <t>O degrau da biblioteca rangeu aos cinquenta e seis e aos cento e treze. No quarto clarão, junto ao pêndulo, uma manga clara e fina, sem casaco.</t>
        </is>
      </c>
      <c r="S84" s="13" t="inlineStr">
        <is>
          <t>O degrau da biblioteca rangeu aos cinquenta e seis e aos cento e treze! E no quarto clarão, junto ao pêndulo, uma manga clara e fina, sem casaco.</t>
        </is>
      </c>
      <c r="T84" s="13" t="inlineStr">
        <is>
          <t>O degrau da biblioteca… rangeu. Aos cinquenta e seis. Aos cento e treze. No quarto clarão… junto ao pêndulo… uma manga clara e fina. Sem casaco.</t>
        </is>
      </c>
      <c r="U84" s="13" t="inlineStr">
        <is>
          <t>O degrau da biblioteca rangeu aos cinquenta e seis e aos cento e treze. No quarto clarão, junto ao pêndulo, uma manga clara e fina, sem casaco… alguém mais viu?</t>
        </is>
      </c>
      <c r="V84" s="13" t="inlineStr">
        <is>
          <t>O degrau da biblioteca rangeu aos cinquenta e seis e aos cento e treze. No quarto clarão, junto ao pêndulo, uma manga clara e fina, sem casaco.</t>
        </is>
      </c>
      <c r="W84" s="13" t="inlineStr">
        <is>
          <t>Essa demora toda… O degrau da biblioteca rangeu aos cinquenta e seis e aos cento e treze. No quarto clarão, junto ao pêndulo, uma manga clara e fina, sem casaco.</t>
        </is>
      </c>
      <c r="X84" s="13" t="inlineStr">
        <is>
          <t>Cinquenta e seis e cento e treze: o degrau da biblioteca rangeu. Quarto clarão, junto ao pêndulo: manga clara e fina, sem casaco.</t>
        </is>
      </c>
      <c r="Y84" s="10">
        <f>SUMPRODUCT(($H84:$Q84&lt;&gt;"")*ISERROR(SEARCH($H84:$Q84,S84)))+SUMPRODUCT(($H84:$Q84&lt;&gt;"")*ISERROR(SEARCH($H84:$Q84,T84)))+SUMPRODUCT(($H84:$Q84&lt;&gt;"")*ISERROR(SEARCH($H84:$Q84,U84)))+SUMPRODUCT(($H84:$Q84&lt;&gt;"")*ISERROR(SEARCH($H84:$Q84,V84)))+SUMPRODUCT(($H84:$Q84&lt;&gt;"")*ISERROR(SEARCH($H84:$Q84,W84)))+SUMPRODUCT(($H84:$Q84&lt;&gt;"")*ISERROR(SEARCH($H84:$Q84,X84)))</f>
        <v/>
      </c>
      <c r="Z84" s="10" t="inlineStr">
        <is>
          <t>Enquadre: &lt;i&gt;"…"&lt;/i&gt;, disse {pol}, e {jor} confirmou, da janela. &lt;i&gt;"…"&lt;/i&gt; A segunda citação (manga) vem sem atribuição explícita; tratada como continuação do {pol}, como confirma FIM_R2[12].ausencia.</t>
        </is>
      </c>
    </row>
    <row r="85" ht="35.05" customHeight="1" s="8">
      <c r="A85" s="10" t="inlineStr">
        <is>
          <t>c6-p12-02</t>
        </is>
      </c>
      <c r="B85" s="10" t="n">
        <v>12</v>
      </c>
      <c r="C85" s="10" t="inlineStr">
        <is>
          <t>quem estava onde: a mesa da ata com uma pessoa só</t>
        </is>
      </c>
      <c r="D85" s="10" t="inlineStr">
        <is>
          <t>roteiro</t>
        </is>
      </c>
      <c r="E85" s="10" t="inlineStr">
        <is>
          <t>jornalista</t>
        </is>
      </c>
      <c r="F85" s="10" t="inlineStr">
        <is>
          <t>grupo</t>
        </is>
      </c>
      <c r="G85" s="10" t="n"/>
      <c r="H85" s="10" t="inlineStr">
        <is>
          <t>mesa da ata</t>
        </is>
      </c>
      <c r="I85" s="10" t="inlineStr">
        <is>
          <t>uma pessoa só</t>
        </is>
      </c>
      <c r="J85" s="10" t="inlineStr">
        <is>
          <t>abotoadura dourada</t>
        </is>
      </c>
      <c r="K85" s="10" t="inlineStr">
        <is>
          <t>blazer</t>
        </is>
      </c>
      <c r="L85" s="10" t="inlineStr">
        <is>
          <t>cadeira vazia</t>
        </is>
      </c>
      <c r="M85" s="10" t="n"/>
      <c r="N85" s="10" t="n"/>
      <c r="O85" s="10" t="n"/>
      <c r="P85" s="10" t="n"/>
      <c r="Q85" s="10" t="n"/>
      <c r="R85" s="10" t="inlineStr">
        <is>
          <t>E eu vi a mesa da ata com uma pessoa só, de abotoadura dourada, e o blazer na cadeira vazia.</t>
        </is>
      </c>
      <c r="S85" s="13" t="inlineStr">
        <is>
          <t>E eu vi a mesa da ata com uma pessoa só, de abotoadura dourada, e o blazer na cadeira vazia! Uma pessoa só.</t>
        </is>
      </c>
      <c r="T85" s="13" t="inlineStr">
        <is>
          <t>E eu vi… a mesa da ata. Uma pessoa só. Abotoadura dourada. E o blazer… na cadeira vazia.</t>
        </is>
      </c>
      <c r="U85" s="13" t="inlineStr">
        <is>
          <t>E eu vi a mesa da ata com uma pessoa só, de abotoadura dourada, e o blazer na cadeira vazia. Alguém mais reparou no blazer?</t>
        </is>
      </c>
      <c r="V85" s="13" t="inlineStr">
        <is>
          <t>E eu vi a mesa da ata com uma pessoa só, de abotoadura dourada, e o blazer na cadeira vazia.</t>
        </is>
      </c>
      <c r="W85" s="13" t="inlineStr">
        <is>
          <t>Cansaço de noite inteira… E eu vi a mesa da ata com uma pessoa só, de abotoadura dourada, e o blazer na cadeira vazia.</t>
        </is>
      </c>
      <c r="X85" s="13" t="inlineStr">
        <is>
          <t>Mesa da ata: uma pessoa só, de abotoadura dourada. O blazer na cadeira vazia.</t>
        </is>
      </c>
      <c r="Y85" s="10">
        <f>SUMPRODUCT(($H85:$Q85&lt;&gt;"")*ISERROR(SEARCH($H85:$Q85,S85)))+SUMPRODUCT(($H85:$Q85&lt;&gt;"")*ISERROR(SEARCH($H85:$Q85,T85)))+SUMPRODUCT(($H85:$Q85&lt;&gt;"")*ISERROR(SEARCH($H85:$Q85,U85)))+SUMPRODUCT(($H85:$Q85&lt;&gt;"")*ISERROR(SEARCH($H85:$Q85,V85)))+SUMPRODUCT(($H85:$Q85&lt;&gt;"")*ISERROR(SEARCH($H85:$Q85,W85)))+SUMPRODUCT(($H85:$Q85&lt;&gt;"")*ISERROR(SEARCH($H85:$Q85,X85)))</f>
        <v/>
      </c>
      <c r="Z85" s="10" t="inlineStr">
        <is>
          <t>Enquadre: &lt;i&gt;"…"&lt;/i&gt;, disse {jor}. Segue narração sem fala (farol viu uma coisa clara na vidraça).</t>
        </is>
      </c>
    </row>
    <row r="86" ht="35.05" customHeight="1" s="8">
      <c r="A86" s="10" t="inlineStr">
        <is>
          <t>c6-p12-03</t>
        </is>
      </c>
      <c r="B86" s="10" t="n">
        <v>12</v>
      </c>
      <c r="C86" s="10" t="inlineStr">
        <is>
          <t>quem estava onde: o grito do policial</t>
        </is>
      </c>
      <c r="D86" s="10" t="inlineStr">
        <is>
          <t>roteiro</t>
        </is>
      </c>
      <c r="E86" s="10" t="inlineStr">
        <is>
          <t>policial</t>
        </is>
      </c>
      <c r="F86" s="10" t="inlineStr">
        <is>
          <t>grupo</t>
        </is>
      </c>
      <c r="G86" s="10" t="n"/>
      <c r="H86" s="10" t="inlineStr">
        <is>
          <t>gritei</t>
        </is>
      </c>
      <c r="I86" s="10" t="inlineStr">
        <is>
          <t>porta</t>
        </is>
      </c>
      <c r="J86" s="10" t="inlineStr">
        <is>
          <t>quarto clarão</t>
        </is>
      </c>
      <c r="K86" s="10" t="n"/>
      <c r="L86" s="10" t="n"/>
      <c r="M86" s="10" t="n"/>
      <c r="N86" s="10" t="n"/>
      <c r="O86" s="10" t="n"/>
      <c r="P86" s="10" t="n"/>
      <c r="Q86" s="10" t="n"/>
      <c r="R86" s="10" t="inlineStr">
        <is>
          <t>Gritei da porta no quarto clarão.</t>
        </is>
      </c>
      <c r="S86" s="13" t="inlineStr">
        <is>
          <t>Gritei da porta no quarto clarão!</t>
        </is>
      </c>
      <c r="T86" s="13" t="inlineStr">
        <is>
          <t>Gritei… da porta. No quarto clarão.</t>
        </is>
      </c>
      <c r="U86" s="13" t="inlineStr">
        <is>
          <t>Gritei da porta no quarto clarão… vocês ouviram, não ouviram?</t>
        </is>
      </c>
      <c r="V86" s="13" t="inlineStr">
        <is>
          <t>Gritei da porta no quarto clarão.</t>
        </is>
      </c>
      <c r="W86" s="13" t="inlineStr">
        <is>
          <t>Gritei da porta no quarto clarão. Garganta seca, com esse frio.</t>
        </is>
      </c>
      <c r="X86" s="13" t="inlineStr">
        <is>
          <t>Quarto clarão: gritei da porta.</t>
        </is>
      </c>
      <c r="Y86" s="10">
        <f>SUMPRODUCT(($H86:$Q86&lt;&gt;"")*ISERROR(SEARCH($H86:$Q86,S86)))+SUMPRODUCT(($H86:$Q86&lt;&gt;"")*ISERROR(SEARCH($H86:$Q86,T86)))+SUMPRODUCT(($H86:$Q86&lt;&gt;"")*ISERROR(SEARCH($H86:$Q86,U86)))+SUMPRODUCT(($H86:$Q86&lt;&gt;"")*ISERROR(SEARCH($H86:$Q86,V86)))+SUMPRODUCT(($H86:$Q86&lt;&gt;"")*ISERROR(SEARCH($H86:$Q86,W86)))+SUMPRODUCT(($H86:$Q86&lt;&gt;"")*ISERROR(SEARCH($H86:$Q86,X86)))</f>
        <v/>
      </c>
      <c r="Z86" s="10" t="inlineStr">
        <is>
          <t>Enquadre: &lt;i&gt;"…"&lt;/i&gt;, disse {pol}. {Jor} e {tab} confirmaram: o grito veio de lá. (narração)</t>
        </is>
      </c>
    </row>
    <row r="87" ht="23.85" customHeight="1" s="8">
      <c r="A87" s="10" t="inlineStr">
        <is>
          <t>c6-p12-04</t>
        </is>
      </c>
      <c r="B87" s="10" t="n">
        <v>12</v>
      </c>
      <c r="C87" s="10" t="inlineStr">
        <is>
          <t>quem estava onde: o jardineiro na varanda</t>
        </is>
      </c>
      <c r="D87" s="10" t="inlineStr">
        <is>
          <t>roteiro</t>
        </is>
      </c>
      <c r="E87" s="10" t="inlineStr">
        <is>
          <t>jardineiro</t>
        </is>
      </c>
      <c r="F87" s="10" t="inlineStr">
        <is>
          <t>grupo</t>
        </is>
      </c>
      <c r="G87" s="10" t="n"/>
      <c r="H87" s="10" t="inlineStr">
        <is>
          <t>farol</t>
        </is>
      </c>
      <c r="I87" s="10" t="inlineStr">
        <is>
          <t>varanda</t>
        </is>
      </c>
      <c r="J87" s="10" t="inlineStr">
        <is>
          <t>duas vezes</t>
        </is>
      </c>
      <c r="K87" s="10" t="inlineStr">
        <is>
          <t>{jor}</t>
        </is>
      </c>
      <c r="L87" s="10" t="inlineStr">
        <is>
          <t>janela</t>
        </is>
      </c>
      <c r="M87" s="10" t="n"/>
      <c r="N87" s="10" t="n"/>
      <c r="O87" s="10" t="n"/>
      <c r="P87" s="10" t="n"/>
      <c r="Q87" s="10" t="n"/>
      <c r="R87" s="10" t="inlineStr">
        <is>
          <t>O farol me viu na varanda duas vezes, e {jor} me viu da janela.</t>
        </is>
      </c>
      <c r="S87" s="13" t="inlineStr">
        <is>
          <t>O farol me viu na varanda duas vezes! E {jor} me viu da janela.</t>
        </is>
      </c>
      <c r="T87" s="13" t="inlineStr">
        <is>
          <t>O farol… me viu na varanda. Duas vezes. E {jor}… da janela.</t>
        </is>
      </c>
      <c r="U87" s="13" t="inlineStr">
        <is>
          <t>O farol me viu na varanda duas vezes, não foi? E {jor} me viu da janela.</t>
        </is>
      </c>
      <c r="V87" s="13" t="inlineStr">
        <is>
          <t>O farol me viu na varanda duas vezes, e {jor} me viu da janela.</t>
        </is>
      </c>
      <c r="W87" s="13" t="inlineStr">
        <is>
          <t>Com essa chuva… O farol me viu na varanda duas vezes, e {jor} me viu da janela.</t>
        </is>
      </c>
      <c r="X87" s="13" t="inlineStr">
        <is>
          <t>Registre: o farol me viu na varanda duas vezes. {Jor} me viu da janela.</t>
        </is>
      </c>
      <c r="Y87" s="10">
        <f>SUMPRODUCT(($H87:$Q87&lt;&gt;"")*ISERROR(SEARCH($H87:$Q87,S87)))+SUMPRODUCT(($H87:$Q87&lt;&gt;"")*ISERROR(SEARCH($H87:$Q87,T87)))+SUMPRODUCT(($H87:$Q87&lt;&gt;"")*ISERROR(SEARCH($H87:$Q87,U87)))+SUMPRODUCT(($H87:$Q87&lt;&gt;"")*ISERROR(SEARCH($H87:$Q87,V87)))+SUMPRODUCT(($H87:$Q87&lt;&gt;"")*ISERROR(SEARCH($H87:$Q87,W87)))+SUMPRODUCT(($H87:$Q87&lt;&gt;"")*ISERROR(SEARCH($H87:$Q87,X87)))</f>
        <v/>
      </c>
      <c r="Z87" s="10" t="inlineStr">
        <is>
          <t>Enquadre: &lt;i&gt;"…"&lt;/i&gt;, disse {jar}.</t>
        </is>
      </c>
    </row>
    <row r="88" ht="35.05" customHeight="1" s="8">
      <c r="A88" s="10" t="inlineStr">
        <is>
          <t>c6-p12-05</t>
        </is>
      </c>
      <c r="B88" s="10" t="n">
        <v>12</v>
      </c>
      <c r="C88" s="10" t="inlineStr">
        <is>
          <t>quem estava onde: o jornalista na janela</t>
        </is>
      </c>
      <c r="D88" s="10" t="inlineStr">
        <is>
          <t>roteiro</t>
        </is>
      </c>
      <c r="E88" s="10" t="inlineStr">
        <is>
          <t>jornalista</t>
        </is>
      </c>
      <c r="F88" s="10" t="inlineStr">
        <is>
          <t>grupo</t>
        </is>
      </c>
      <c r="G88" s="10" t="n"/>
      <c r="H88" s="10" t="inlineStr">
        <is>
          <t>respondi</t>
        </is>
      </c>
      <c r="I88" s="10" t="inlineStr">
        <is>
          <t>{a:pol}</t>
        </is>
      </c>
      <c r="J88" s="10" t="inlineStr">
        <is>
          <t>fim do corredor</t>
        </is>
      </c>
      <c r="K88" s="10" t="inlineStr">
        <is>
          <t>farol</t>
        </is>
      </c>
      <c r="L88" s="10" t="inlineStr">
        <is>
          <t>janela ocupada</t>
        </is>
      </c>
      <c r="M88" s="10" t="n"/>
      <c r="N88" s="10" t="n"/>
      <c r="O88" s="10" t="n"/>
      <c r="P88" s="10" t="n"/>
      <c r="Q88" s="10" t="n"/>
      <c r="R88" s="10" t="inlineStr">
        <is>
          <t>E eu respondi {a:pol} do fim do corredor, e o farol viu a janela ocupada.</t>
        </is>
      </c>
      <c r="S88" s="13" t="inlineStr">
        <is>
          <t>E eu respondi {a:pol} do fim do corredor! E o farol viu a janela ocupada!</t>
        </is>
      </c>
      <c r="T88" s="13" t="inlineStr">
        <is>
          <t>E eu respondi… {a:pol}. Do fim do corredor. E o farol… viu a janela ocupada.</t>
        </is>
      </c>
      <c r="U88" s="13" t="inlineStr">
        <is>
          <t>E eu respondi {a:pol} do fim do corredor! E o farol viu a janela ocupada, não viu?</t>
        </is>
      </c>
      <c r="V88" s="13" t="inlineStr">
        <is>
          <t>Respondi {a:pol} do fim do corredor. E o farol viu a janela ocupada.</t>
        </is>
      </c>
      <c r="W88" s="13" t="inlineStr">
        <is>
          <t>Essa umidade nos ossos… Eu respondi {a:pol} do fim do corredor, e o farol viu a janela ocupada.</t>
        </is>
      </c>
      <c r="X88" s="13" t="inlineStr">
        <is>
          <t>Para a ata: respondi {a:pol} do fim do corredor. O farol viu a janela ocupada.</t>
        </is>
      </c>
      <c r="Y88" s="10">
        <f>SUMPRODUCT(($H88:$Q88&lt;&gt;"")*ISERROR(SEARCH($H88:$Q88,S88)))+SUMPRODUCT(($H88:$Q88&lt;&gt;"")*ISERROR(SEARCH($H88:$Q88,T88)))+SUMPRODUCT(($H88:$Q88&lt;&gt;"")*ISERROR(SEARCH($H88:$Q88,U88)))+SUMPRODUCT(($H88:$Q88&lt;&gt;"")*ISERROR(SEARCH($H88:$Q88,V88)))+SUMPRODUCT(($H88:$Q88&lt;&gt;"")*ISERROR(SEARCH($H88:$Q88,W88)))+SUMPRODUCT(($H88:$Q88&lt;&gt;"")*ISERROR(SEARCH($H88:$Q88,X88)))</f>
        <v/>
      </c>
      <c r="Z88" s="10" t="inlineStr">
        <is>
          <t>Enquadre: &lt;i&gt;"…"&lt;/i&gt;, disse {jor}. Atenção: o original tem "ao Policial" em texto fixo, não ficha {a:pol}.</t>
        </is>
      </c>
    </row>
    <row r="89" ht="35.05" customHeight="1" s="8">
      <c r="A89" s="10" t="inlineStr">
        <is>
          <t>c6-p12-06</t>
        </is>
      </c>
      <c r="B89" s="10" t="n">
        <v>12</v>
      </c>
      <c r="C89" s="10" t="inlineStr">
        <is>
          <t>quem estava onde: batida na porta do quarto</t>
        </is>
      </c>
      <c r="D89" s="10" t="inlineStr">
        <is>
          <t>roteiro</t>
        </is>
      </c>
      <c r="E89" s="10" t="inlineStr">
        <is>
          <t>residente</t>
        </is>
      </c>
      <c r="F89" s="10" t="inlineStr">
        <is>
          <t>grupo</t>
        </is>
      </c>
      <c r="G89" s="10" t="n"/>
      <c r="H89" s="10" t="inlineStr">
        <is>
          <t>bati</t>
        </is>
      </c>
      <c r="I89" s="10" t="inlineStr">
        <is>
          <t>porta do quarto</t>
        </is>
      </c>
      <c r="J89" s="10" t="inlineStr">
        <is>
          <t>terceiro e o quarto</t>
        </is>
      </c>
      <c r="K89" s="10" t="n"/>
      <c r="L89" s="10" t="n"/>
      <c r="M89" s="10" t="n"/>
      <c r="N89" s="10" t="n"/>
      <c r="O89" s="10" t="n"/>
      <c r="P89" s="10" t="n"/>
      <c r="Q89" s="10" t="n"/>
      <c r="R89" s="10" t="inlineStr">
        <is>
          <t>Bati na porta do quarto entre o terceiro e o quarto.</t>
        </is>
      </c>
      <c r="S89" s="13" t="inlineStr">
        <is>
          <t>Bati na porta do quarto entre o terceiro e o quarto!</t>
        </is>
      </c>
      <c r="T89" s="13" t="inlineStr">
        <is>
          <t>Bati… na porta do quarto. Entre o terceiro e o quarto.</t>
        </is>
      </c>
      <c r="U89" s="13" t="inlineStr">
        <is>
          <t>Bati na porta do quarto entre o terceiro e o quarto… ouviram, não?</t>
        </is>
      </c>
      <c r="V89" s="13" t="inlineStr">
        <is>
          <t>Bati na porta do quarto entre o terceiro e o quarto.</t>
        </is>
      </c>
      <c r="W89" s="13" t="inlineStr">
        <is>
          <t>Bati na porta do quarto entre o terceiro e o quarto. Mão gelada, com esse frio.</t>
        </is>
      </c>
      <c r="X89" s="13" t="inlineStr">
        <is>
          <t>Entre o terceiro e o quarto: bati na porta do quarto.</t>
        </is>
      </c>
      <c r="Y89" s="10">
        <f>SUMPRODUCT(($H89:$Q89&lt;&gt;"")*ISERROR(SEARCH($H89:$Q89,S89)))+SUMPRODUCT(($H89:$Q89&lt;&gt;"")*ISERROR(SEARCH($H89:$Q89,T89)))+SUMPRODUCT(($H89:$Q89&lt;&gt;"")*ISERROR(SEARCH($H89:$Q89,U89)))+SUMPRODUCT(($H89:$Q89&lt;&gt;"")*ISERROR(SEARCH($H89:$Q89,V89)))+SUMPRODUCT(($H89:$Q89&lt;&gt;"")*ISERROR(SEARCH($H89:$Q89,W89)))+SUMPRODUCT(($H89:$Q89&lt;&gt;"")*ISERROR(SEARCH($H89:$Q89,X89)))</f>
        <v/>
      </c>
      <c r="Z89" s="10" t="inlineStr">
        <is>
          <t>Enquadre: &lt;i&gt;"…"&lt;/i&gt;, disse {res}. {Che} e {gov} confirmaram: ouviram. (narração). "terceiro e quarto" = clarões.</t>
        </is>
      </c>
    </row>
    <row r="90" ht="35.05" customHeight="1" s="8">
      <c r="A90" s="10" t="inlineStr">
        <is>
          <t>c6-p12-07</t>
        </is>
      </c>
      <c r="B90" s="10" t="n">
        <v>12</v>
      </c>
      <c r="C90" s="10" t="inlineStr">
        <is>
          <t>quem estava onde: o chefe respondeu da despensa</t>
        </is>
      </c>
      <c r="D90" s="10" t="inlineStr">
        <is>
          <t>roteiro</t>
        </is>
      </c>
      <c r="E90" s="10" t="inlineStr">
        <is>
          <t>chefe_de_cozinha</t>
        </is>
      </c>
      <c r="F90" s="10" t="inlineStr">
        <is>
          <t>grupo</t>
        </is>
      </c>
      <c r="G90" s="10" t="n"/>
      <c r="H90" s="10" t="inlineStr">
        <is>
          <t>respondi</t>
        </is>
      </c>
      <c r="I90" s="10" t="inlineStr">
        <is>
          <t>despensa</t>
        </is>
      </c>
      <c r="J90" s="10" t="inlineStr">
        <is>
          <t>{g:res:a ela|a ele}</t>
        </is>
      </c>
      <c r="K90" s="10" t="inlineStr">
        <is>
          <t>Governanta</t>
        </is>
      </c>
      <c r="L90" s="10" t="n"/>
      <c r="M90" s="10" t="n"/>
      <c r="N90" s="10" t="n"/>
      <c r="O90" s="10" t="n"/>
      <c r="P90" s="10" t="n"/>
      <c r="Q90" s="10" t="n"/>
      <c r="R90" s="10" t="inlineStr">
        <is>
          <t>Respondi da despensa, {g:res:a ela|a ele} e {g:gov:à Governanta|ao Mordomo}.</t>
        </is>
      </c>
      <c r="S90" s="13" t="inlineStr">
        <is>
          <t>Respondi da despensa, {g:res:a ela|a ele} e {g:gov:à Governanta|ao Mordomo}! Aos dois.</t>
        </is>
      </c>
      <c r="T90" s="13" t="inlineStr">
        <is>
          <t>Respondi… da despensa. {g:res:A ela|A ele}. E {g:gov:à Governanta|ao Mordomo}.</t>
        </is>
      </c>
      <c r="U90" s="13" t="inlineStr">
        <is>
          <t>Respondi da despensa, {g:res:a ela|a ele} e {g:gov:à Governanta|ao Mordomo}… foi isso, não foi?</t>
        </is>
      </c>
      <c r="V90" s="13" t="inlineStr">
        <is>
          <t>Respondi da despensa, {g:res:a ela|a ele} e {g:gov:à Governanta|ao Mordomo}.</t>
        </is>
      </c>
      <c r="W90" s="13" t="inlineStr">
        <is>
          <t>Essa fome de madrugada… Respondi da despensa, {g:res:a ela|a ele} e {g:gov:à Governanta|ao Mordomo}.</t>
        </is>
      </c>
      <c r="X90" s="13" t="inlineStr">
        <is>
          <t>Anoto: respondi da despensa, {g:res:a ela|a ele} e {g:gov:à Governanta|ao Mordomo}.</t>
        </is>
      </c>
      <c r="Y90" s="10">
        <f>SUMPRODUCT(($H90:$Q90&lt;&gt;"")*ISERROR(SEARCH($H90:$Q90,S90)))+SUMPRODUCT(($H90:$Q90&lt;&gt;"")*ISERROR(SEARCH($H90:$Q90,T90)))+SUMPRODUCT(($H90:$Q90&lt;&gt;"")*ISERROR(SEARCH($H90:$Q90,U90)))+SUMPRODUCT(($H90:$Q90&lt;&gt;"")*ISERROR(SEARCH($H90:$Q90,V90)))+SUMPRODUCT(($H90:$Q90&lt;&gt;"")*ISERROR(SEARCH($H90:$Q90,W90)))+SUMPRODUCT(($H90:$Q90&lt;&gt;"")*ISERROR(SEARCH($H90:$Q90,X90)))</f>
        <v/>
      </c>
      <c r="Z90" s="10" t="inlineStr">
        <is>
          <t>Enquadre: &lt;i&gt;"…"&lt;/i&gt;, disse {che}. "ele" = {res}. Atenção: "à Governanta" em texto fixo, não ficha.</t>
        </is>
      </c>
    </row>
    <row r="91" ht="23.85" customHeight="1" s="8">
      <c r="A91" s="10" t="inlineStr">
        <is>
          <t>c6-p12-08</t>
        </is>
      </c>
      <c r="B91" s="10" t="n">
        <v>12</v>
      </c>
      <c r="C91" s="10" t="inlineStr">
        <is>
          <t>quem estava onde: o grito do porão</t>
        </is>
      </c>
      <c r="D91" s="10" t="inlineStr">
        <is>
          <t>roteiro</t>
        </is>
      </c>
      <c r="E91" s="10" t="inlineStr">
        <is>
          <t>governanta</t>
        </is>
      </c>
      <c r="F91" s="10" t="inlineStr">
        <is>
          <t>grupo</t>
        </is>
      </c>
      <c r="G91" s="10" t="n"/>
      <c r="H91" s="10" t="inlineStr">
        <is>
          <t>{ele}</t>
        </is>
      </c>
      <c r="I91" s="10" t="inlineStr">
        <is>
          <t>gritou</t>
        </is>
      </c>
      <c r="J91" s="10" t="inlineStr">
        <is>
          <t>porão</t>
        </is>
      </c>
      <c r="K91" s="10" t="n"/>
      <c r="L91" s="10" t="n"/>
      <c r="M91" s="10" t="n"/>
      <c r="N91" s="10" t="n"/>
      <c r="O91" s="10" t="n"/>
      <c r="P91" s="10" t="n"/>
      <c r="Q91" s="10" t="n"/>
      <c r="R91" s="10" t="inlineStr">
        <is>
          <t>E {ele} gritou do porão.</t>
        </is>
      </c>
      <c r="S91" s="13" t="inlineStr">
        <is>
          <t>E {ele} gritou do porão!</t>
        </is>
      </c>
      <c r="T91" s="13" t="inlineStr">
        <is>
          <t>E {ele}… gritou. Do porão.</t>
        </is>
      </c>
      <c r="U91" s="13" t="inlineStr">
        <is>
          <t>E {ele} gritou do porão… gritou, sim.</t>
        </is>
      </c>
      <c r="V91" s="13" t="inlineStr">
        <is>
          <t>E {ele} gritou do porão.</t>
        </is>
      </c>
      <c r="W91" s="13" t="inlineStr">
        <is>
          <t>Com essa umidade… E {ele} gritou do porão.</t>
        </is>
      </c>
      <c r="X91" s="13" t="inlineStr">
        <is>
          <t>Consta: {ele} gritou do porão.</t>
        </is>
      </c>
      <c r="Y91" s="10">
        <f>SUMPRODUCT(($H91:$Q91&lt;&gt;"")*ISERROR(SEARCH($H91:$Q91,S91)))+SUMPRODUCT(($H91:$Q91&lt;&gt;"")*ISERROR(SEARCH($H91:$Q91,T91)))+SUMPRODUCT(($H91:$Q91&lt;&gt;"")*ISERROR(SEARCH($H91:$Q91,U91)))+SUMPRODUCT(($H91:$Q91&lt;&gt;"")*ISERROR(SEARCH($H91:$Q91,V91)))+SUMPRODUCT(($H91:$Q91&lt;&gt;"")*ISERROR(SEARCH($H91:$Q91,W91)))+SUMPRODUCT(($H91:$Q91&lt;&gt;"")*ISERROR(SEARCH($H91:$Q91,X91)))</f>
        <v/>
      </c>
      <c r="Z91" s="10" t="inlineStr">
        <is>
          <t>Enquadre: &lt;i&gt;"…"&lt;/i&gt;, disse {gov}.</t>
        </is>
      </c>
    </row>
    <row r="92" ht="68.65000000000001" customHeight="1" s="8">
      <c r="A92" s="10" t="inlineStr">
        <is>
          <t>c6-p12-09</t>
        </is>
      </c>
      <c r="B92" s="10" t="n">
        <v>12</v>
      </c>
      <c r="C92" s="10" t="inlineStr">
        <is>
          <t>a mesa nota a blusa da observadora</t>
        </is>
      </c>
      <c r="D92" s="10" t="inlineStr">
        <is>
          <t>roteiro</t>
        </is>
      </c>
      <c r="E92" s="10" t="inlineStr">
        <is>
          <t>jornalista</t>
        </is>
      </c>
      <c r="F92" s="10" t="inlineStr">
        <is>
          <t>observadora</t>
        </is>
      </c>
      <c r="G92" s="10" t="n"/>
      <c r="H92" s="10" t="inlineStr">
        <is>
          <t>tirou o blazer</t>
        </is>
      </c>
      <c r="I92" s="10" t="inlineStr">
        <is>
          <t>frio</t>
        </is>
      </c>
      <c r="J92" s="10" t="n"/>
      <c r="K92" s="10" t="n"/>
      <c r="L92" s="10" t="n"/>
      <c r="M92" s="10" t="n"/>
      <c r="N92" s="10" t="n"/>
      <c r="O92" s="10" t="n"/>
      <c r="P92" s="10" t="n"/>
      <c r="Q92" s="10" t="n"/>
      <c r="R92" s="10" t="inlineStr">
        <is>
          <t>Tirou o blazer no frio?</t>
        </is>
      </c>
      <c r="S92" s="13" t="inlineStr">
        <is>
          <t>Tirou o blazer no frio?! Sério?</t>
        </is>
      </c>
      <c r="T92" s="13" t="inlineStr">
        <is>
          <t>Tirou o blazer… no frio?</t>
        </is>
      </c>
      <c r="U92" s="13" t="inlineStr">
        <is>
          <t>Tirou o blazer no frio? Desculpa perguntar…</t>
        </is>
      </c>
      <c r="V92" s="13" t="inlineStr">
        <is>
          <t>Tirou o blazer no frio?</t>
        </is>
      </c>
      <c r="W92" s="13" t="inlineStr">
        <is>
          <t>Essa umidade, esse frio… Tirou o blazer no frio?</t>
        </is>
      </c>
      <c r="X92" s="13" t="inlineStr">
        <is>
          <t>Pergunta para a ata: tirou o blazer no frio?</t>
        </is>
      </c>
      <c r="Y92" s="10">
        <f>SUMPRODUCT(($H92:$Q92&lt;&gt;"")*ISERROR(SEARCH($H92:$Q92,S92)))+SUMPRODUCT(($H92:$Q92&lt;&gt;"")*ISERROR(SEARCH($H92:$Q92,T92)))+SUMPRODUCT(($H92:$Q92&lt;&gt;"")*ISERROR(SEARCH($H92:$Q92,U92)))+SUMPRODUCT(($H92:$Q92&lt;&gt;"")*ISERROR(SEARCH($H92:$Q92,V92)))+SUMPRODUCT(($H92:$Q92&lt;&gt;"")*ISERROR(SEARCH($H92:$Q92,W92)))+SUMPRODUCT(($H92:$Q92&lt;&gt;"")*ISERROR(SEARCH($H92:$Q92,X92)))</f>
        <v/>
      </c>
      <c r="Z92" s="10" t="inlineStr">
        <is>
          <t>C6_NOTA[12]. Fala sem atribuição explícita; a narração diz que {jor} foi o primeiro a notar a blusa, e a resposta trata o falante por "O senhor". Enquadre: narração da blusa e do blazer, depois &lt;i&gt;"…"&lt;/i&gt; &lt;i&gt;"…"&lt;/i&gt;.</t>
        </is>
      </c>
    </row>
    <row r="93" ht="23.85" customHeight="1" s="8">
      <c r="A93" s="10" t="inlineStr">
        <is>
          <t>c6-p12-10</t>
        </is>
      </c>
      <c r="B93" s="10" t="n">
        <v>12</v>
      </c>
      <c r="C93" s="10" t="inlineStr">
        <is>
          <t>a observadora responde sobre o blazer</t>
        </is>
      </c>
      <c r="D93" s="10" t="inlineStr">
        <is>
          <t>roteiro</t>
        </is>
      </c>
      <c r="E93" s="10" t="inlineStr">
        <is>
          <t>observadora</t>
        </is>
      </c>
      <c r="F93" s="10" t="inlineStr">
        <is>
          <t>jornalista</t>
        </is>
      </c>
      <c r="G93" s="10" t="n"/>
      <c r="H93" s="10" t="inlineStr">
        <is>
          <t>calor de nervoso</t>
        </is>
      </c>
      <c r="I93" s="10" t="inlineStr">
        <is>
          <t>nunca sentiu</t>
        </is>
      </c>
      <c r="J93" s="10" t="n"/>
      <c r="K93" s="10" t="n"/>
      <c r="L93" s="10" t="n"/>
      <c r="M93" s="10" t="n"/>
      <c r="N93" s="10" t="n"/>
      <c r="O93" s="10" t="n"/>
      <c r="P93" s="10" t="n"/>
      <c r="Q93" s="10" t="n"/>
      <c r="R93" s="10" t="inlineStr">
        <is>
          <t>Calor de nervoso. Você nunca sentiu?</t>
        </is>
      </c>
      <c r="S93" s="13" t="inlineStr">
        <is>
          <t>Calor de nervoso! Você nunca sentiu?</t>
        </is>
      </c>
      <c r="T93" s="13" t="inlineStr">
        <is>
          <t>Calor de nervoso… Você nunca sentiu?</t>
        </is>
      </c>
      <c r="U93" s="13" t="inlineStr">
        <is>
          <t>Calor de nervoso… você nunca sentiu? Desculpa.</t>
        </is>
      </c>
      <c r="V93" s="13" t="inlineStr">
        <is>
          <t>Calor de nervoso. Você nunca sentiu?</t>
        </is>
      </c>
      <c r="W93" s="13" t="inlineStr">
        <is>
          <t>Tanta coisa nesta noite… Calor de nervoso. Você nunca sentiu?</t>
        </is>
      </c>
      <c r="X93" s="13" t="inlineStr">
        <is>
          <t>Resposta: calor de nervoso. Você nunca sentiu?</t>
        </is>
      </c>
      <c r="Y93" s="10">
        <f>SUMPRODUCT(($H93:$Q93&lt;&gt;"")*ISERROR(SEARCH($H93:$Q93,S93)))+SUMPRODUCT(($H93:$Q93&lt;&gt;"")*ISERROR(SEARCH($H93:$Q93,T93)))+SUMPRODUCT(($H93:$Q93&lt;&gt;"")*ISERROR(SEARCH($H93:$Q93,U93)))+SUMPRODUCT(($H93:$Q93&lt;&gt;"")*ISERROR(SEARCH($H93:$Q93,V93)))+SUMPRODUCT(($H93:$Q93&lt;&gt;"")*ISERROR(SEARCH($H93:$Q93,W93)))+SUMPRODUCT(($H93:$Q93&lt;&gt;"")*ISERROR(SEARCH($H93:$Q93,X93)))</f>
        <v/>
      </c>
      <c r="Z93" s="10" t="inlineStr">
        <is>
          <t>C6_NOTA[12]. Fala sem atribuição explícita; resposta da {obs}.</t>
        </is>
      </c>
    </row>
    <row r="94" ht="57.45" customHeight="1" s="8">
      <c r="A94" s="10" t="inlineStr">
        <is>
          <t>c6-p12-med</t>
        </is>
      </c>
      <c r="B94" s="10" t="n">
        <v>12</v>
      </c>
      <c r="C94" s="10" t="inlineStr">
        <is>
          <t>Cap. 6: quem estava onde (o Médico)</t>
        </is>
      </c>
      <c r="D94" s="10" t="inlineStr">
        <is>
          <t>roteiro</t>
        </is>
      </c>
      <c r="E94" s="10" t="inlineStr">
        <is>
          <t>medico</t>
        </is>
      </c>
      <c r="F94" s="10" t="inlineStr">
        <is>
          <t>grupo</t>
        </is>
      </c>
      <c r="G94" s="10" t="inlineStr">
        <is>
          <t>Médico na casa</t>
        </is>
      </c>
      <c r="H94" s="10" t="inlineStr">
        <is>
          <t>vestíbulo</t>
        </is>
      </c>
      <c r="I94" s="10" t="inlineStr">
        <is>
          <t>ao lado {de:inv}</t>
        </is>
      </c>
      <c r="J94" s="10" t="inlineStr">
        <is>
          <t>tempo todo</t>
        </is>
      </c>
      <c r="K94" s="10" t="n"/>
      <c r="L94" s="10" t="n"/>
      <c r="M94" s="10" t="n"/>
      <c r="N94" s="10" t="n"/>
      <c r="O94" s="10" t="n"/>
      <c r="P94" s="10" t="n"/>
      <c r="Q94" s="10" t="n"/>
      <c r="R94" s="10" t="inlineStr">
        <is>
          <t>Fiquei no vestíbulo, ao lado {de:inv}, o tempo todo.</t>
        </is>
      </c>
      <c r="S94" s="13" t="inlineStr">
        <is>
          <t>Fiquei no vestíbulo, ao lado {de:inv}, o tempo todo! Não saí de lá.</t>
        </is>
      </c>
      <c r="T94" s="13" t="inlineStr">
        <is>
          <t>Vestíbulo. Ao lado {de:inv}. … O tempo todo.</t>
        </is>
      </c>
      <c r="U94" s="13" t="inlineStr">
        <is>
          <t>Fiquei no vestíbulo, ao lado {de:inv}, o tempo todo… não foi?</t>
        </is>
      </c>
      <c r="V94" s="13" t="inlineStr">
        <is>
          <t>Fiquei no vestíbulo, ao lado {de:inv}, o tempo todo.</t>
        </is>
      </c>
      <c r="W94" s="13" t="inlineStr">
        <is>
          <t>Aquela chuva sem fim… Fiquei no vestíbulo, ao lado {de:inv}, o tempo todo.</t>
        </is>
      </c>
      <c r="X94" s="13" t="inlineStr">
        <is>
          <t>Anoto: vestíbulo, ao lado {de:inv}, o tempo todo.</t>
        </is>
      </c>
      <c r="Y94" s="10">
        <f>SUMPRODUCT(($H94:$Q94&lt;&gt;"")*ISERROR(SEARCH($H94:$Q94,S94)))+SUMPRODUCT(($H94:$Q94&lt;&gt;"")*ISERROR(SEARCH($H94:$Q94,T94)))+SUMPRODUCT(($H94:$Q94&lt;&gt;"")*ISERROR(SEARCH($H94:$Q94,U94)))+SUMPRODUCT(($H94:$Q94&lt;&gt;"")*ISERROR(SEARCH($H94:$Q94,V94)))+SUMPRODUCT(($H94:$Q94&lt;&gt;"")*ISERROR(SEARCH($H94:$Q94,W94)))+SUMPRODUCT(($H94:$Q94&lt;&gt;"")*ISERROR(SEARCH($H94:$Q94,X94)))</f>
        <v/>
      </c>
      <c r="Z94" s="10" t="inlineStr">
        <is>
          <t>&lt;i&gt;"…"&lt;/i&gt;, disse {med}, e {inv} confirmou. Médico (02/10): 13º personagem, só com 12 humanos, então é sempre humano; os tipos servem ao narrador.</t>
        </is>
      </c>
    </row>
    <row r="95" ht="35.05" customHeight="1" s="8">
      <c r="A95" s="10" t="inlineStr">
        <is>
          <t>c6-p13-01</t>
        </is>
      </c>
      <c r="B95" s="10" t="n">
        <v>13</v>
      </c>
      <c r="C95" s="10" t="inlineStr">
        <is>
          <t>quem estava onde: a queda do jornalista</t>
        </is>
      </c>
      <c r="D95" s="10" t="inlineStr">
        <is>
          <t>roteiro</t>
        </is>
      </c>
      <c r="E95" s="10" t="inlineStr">
        <is>
          <t>jornalista</t>
        </is>
      </c>
      <c r="F95" s="10" t="inlineStr">
        <is>
          <t>grupo</t>
        </is>
      </c>
      <c r="G95" s="10" t="n"/>
      <c r="H95" s="10" t="inlineStr">
        <is>
          <t>caí na escada</t>
        </is>
      </c>
      <c r="I95" s="10" t="inlineStr">
        <is>
          <t>cinquenta e oito</t>
        </is>
      </c>
      <c r="J95" s="10" t="inlineStr">
        <is>
          <t>me levantou</t>
        </is>
      </c>
      <c r="K95" s="10" t="inlineStr">
        <is>
          <t>{res}</t>
        </is>
      </c>
      <c r="L95" s="10" t="inlineStr">
        <is>
          <t>só</t>
        </is>
      </c>
      <c r="M95" s="10" t="n"/>
      <c r="N95" s="10" t="n"/>
      <c r="O95" s="10" t="n"/>
      <c r="P95" s="10" t="n"/>
      <c r="Q95" s="10" t="n"/>
      <c r="R95" s="10" t="inlineStr">
        <is>
          <t>Caí na escada aos cinquenta e oito. Quem me levantou foi {res}. Só.</t>
        </is>
      </c>
      <c r="S95" s="13" t="inlineStr">
        <is>
          <t>Caí na escada aos cinquenta e oito! Quem me levantou foi {res}. Só.</t>
        </is>
      </c>
      <c r="T95" s="13" t="inlineStr">
        <is>
          <t>Caí na escada… aos cinquenta e oito. Quem me levantou… {res}. Só.</t>
        </is>
      </c>
      <c r="U95" s="13" t="inlineStr">
        <is>
          <t>Caí na escada aos cinquenta e oito… quem me levantou foi {res}. Só ele, sabe?</t>
        </is>
      </c>
      <c r="V95" s="13" t="inlineStr">
        <is>
          <t>Caí na escada aos cinquenta e oito. Quem me levantou foi {res}. Só.</t>
        </is>
      </c>
      <c r="W95" s="13" t="inlineStr">
        <is>
          <t>Esse joelho, com essa umidade… Caí na escada aos cinquenta e oito. Quem me levantou foi {res}. Só.</t>
        </is>
      </c>
      <c r="X95" s="13" t="inlineStr">
        <is>
          <t>Cinquenta e oito: caí na escada. Quem me levantou: {res}. Só.</t>
        </is>
      </c>
      <c r="Y95" s="10">
        <f>SUMPRODUCT(($H95:$Q95&lt;&gt;"")*ISERROR(SEARCH($H95:$Q95,S95)))+SUMPRODUCT(($H95:$Q95&lt;&gt;"")*ISERROR(SEARCH($H95:$Q95,T95)))+SUMPRODUCT(($H95:$Q95&lt;&gt;"")*ISERROR(SEARCH($H95:$Q95,U95)))+SUMPRODUCT(($H95:$Q95&lt;&gt;"")*ISERROR(SEARCH($H95:$Q95,V95)))+SUMPRODUCT(($H95:$Q95&lt;&gt;"")*ISERROR(SEARCH($H95:$Q95,W95)))+SUMPRODUCT(($H95:$Q95&lt;&gt;"")*ISERROR(SEARCH($H95:$Q95,X95)))</f>
        <v/>
      </c>
      <c r="Z95" s="10" t="inlineStr">
        <is>
          <t>Enquadre: &lt;i&gt;"…"&lt;/i&gt;, disse {jor}, esfregando o joelho. &lt;i&gt;"…"&lt;/i&gt; (original divide em duas citações).</t>
        </is>
      </c>
    </row>
    <row r="96" ht="46.25" customHeight="1" s="8">
      <c r="A96" s="10" t="inlineStr">
        <is>
          <t>c6-p13-02</t>
        </is>
      </c>
      <c r="B96" s="10" t="n">
        <v>13</v>
      </c>
      <c r="C96" s="10" t="inlineStr">
        <is>
          <t>quem estava onde: o residente deixou a porta</t>
        </is>
      </c>
      <c r="D96" s="10" t="inlineStr">
        <is>
          <t>roteiro</t>
        </is>
      </c>
      <c r="E96" s="10" t="inlineStr">
        <is>
          <t>residente</t>
        </is>
      </c>
      <c r="F96" s="10" t="inlineStr">
        <is>
          <t>grupo</t>
        </is>
      </c>
      <c r="G96" s="10" t="n"/>
      <c r="H96" s="10" t="inlineStr">
        <is>
          <t>deixei a porta</t>
        </is>
      </c>
      <c r="I96" s="10" t="inlineStr">
        <is>
          <t>socorrer</t>
        </is>
      </c>
      <c r="J96" s="10" t="inlineStr">
        <is>
          <t>quinto clarão</t>
        </is>
      </c>
      <c r="K96" s="10" t="inlineStr">
        <is>
          <t>voltando</t>
        </is>
      </c>
      <c r="L96" s="10" t="inlineStr">
        <is>
          <t>relógio</t>
        </is>
      </c>
      <c r="M96" s="10" t="inlineStr">
        <is>
          <t>figura clara</t>
        </is>
      </c>
      <c r="N96" s="10" t="n"/>
      <c r="O96" s="10" t="n"/>
      <c r="P96" s="10" t="n"/>
      <c r="Q96" s="10" t="n"/>
      <c r="R96" s="10" t="inlineStr">
        <is>
          <t>Deixei a porta para socorrer. No quinto clarão, voltando, vi pela porta alguém junto ao relógio. Uma figura clara.</t>
        </is>
      </c>
      <c r="S96" s="13" t="inlineStr">
        <is>
          <t>Deixei a porta para socorrer, e daí? No quinto clarão, voltando, vi pela porta alguém junto ao relógio! Uma figura clara!</t>
        </is>
      </c>
      <c r="T96" s="13" t="inlineStr">
        <is>
          <t>Deixei a porta… para socorrer. No quinto clarão… voltando… vi pela porta alguém. Junto ao relógio. Uma figura clara.</t>
        </is>
      </c>
      <c r="U96" s="13" t="inlineStr">
        <is>
          <t>Deixei a porta para socorrer, desculpa… No quinto clarão, voltando, vi pela porta alguém junto ao relógio, juro. Uma figura clara.</t>
        </is>
      </c>
      <c r="V96" s="13" t="inlineStr">
        <is>
          <t>Deixei a porta para socorrer. No quinto clarão, voltando, vi pela porta alguém junto ao relógio. Uma figura clara.</t>
        </is>
      </c>
      <c r="W96" s="13" t="inlineStr">
        <is>
          <t>Com esse cansaço… Deixei a porta para socorrer. No quinto clarão, voltando, vi pela porta alguém junto ao relógio. Uma figura clara.</t>
        </is>
      </c>
      <c r="X96" s="13" t="inlineStr">
        <is>
          <t>Anoto: deixei a porta para socorrer. Quinto clarão, voltando: vi pela porta alguém junto ao relógio. Uma figura clara.</t>
        </is>
      </c>
      <c r="Y96" s="10">
        <f>SUMPRODUCT(($H96:$Q96&lt;&gt;"")*ISERROR(SEARCH($H96:$Q96,S96)))+SUMPRODUCT(($H96:$Q96&lt;&gt;"")*ISERROR(SEARCH($H96:$Q96,T96)))+SUMPRODUCT(($H96:$Q96&lt;&gt;"")*ISERROR(SEARCH($H96:$Q96,U96)))+SUMPRODUCT(($H96:$Q96&lt;&gt;"")*ISERROR(SEARCH($H96:$Q96,V96)))+SUMPRODUCT(($H96:$Q96&lt;&gt;"")*ISERROR(SEARCH($H96:$Q96,W96)))+SUMPRODUCT(($H96:$Q96&lt;&gt;"")*ISERROR(SEARCH($H96:$Q96,X96)))</f>
        <v/>
      </c>
      <c r="Z96" s="10" t="inlineStr">
        <is>
          <t>Enquadre: &lt;i&gt;"…"&lt;/i&gt;, disse {res}. &lt;i&gt;"…"&lt;/i&gt; (original divide em duas citações).</t>
        </is>
      </c>
    </row>
    <row r="97" ht="35.05" customHeight="1" s="8">
      <c r="A97" s="10" t="inlineStr">
        <is>
          <t>c6-p13-03</t>
        </is>
      </c>
      <c r="B97" s="10" t="n">
        <v>13</v>
      </c>
      <c r="C97" s="10" t="inlineStr">
        <is>
          <t>quem estava onde: o tabelião ditava a hora</t>
        </is>
      </c>
      <c r="D97" s="10" t="inlineStr">
        <is>
          <t>roteiro</t>
        </is>
      </c>
      <c r="E97" s="10" t="inlineStr">
        <is>
          <t>herdeira</t>
        </is>
      </c>
      <c r="F97" s="10" t="inlineStr">
        <is>
          <t>grupo</t>
        </is>
      </c>
      <c r="G97" s="10" t="n"/>
      <c r="H97" s="10" t="inlineStr">
        <is>
          <t>{tab}</t>
        </is>
      </c>
      <c r="I97" s="10" t="inlineStr">
        <is>
          <t>ditou a hora</t>
        </is>
      </c>
      <c r="J97" s="10" t="inlineStr">
        <is>
          <t>voz alta</t>
        </is>
      </c>
      <c r="K97" s="10" t="inlineStr">
        <is>
          <t>de trinta em trinta segundos</t>
        </is>
      </c>
      <c r="L97" s="10" t="inlineStr">
        <is>
          <t>biblioteca</t>
        </is>
      </c>
      <c r="M97" s="10" t="inlineStr">
        <is>
          <t>ouvi todas</t>
        </is>
      </c>
      <c r="N97" s="10" t="n"/>
      <c r="O97" s="10" t="n"/>
      <c r="P97" s="10" t="n"/>
      <c r="Q97" s="10" t="n"/>
      <c r="R97" s="10" t="inlineStr">
        <is>
          <t>E {tab} ditou a hora em voz alta, de trinta em trinta segundos, da biblioteca. Ouvi todas.</t>
        </is>
      </c>
      <c r="S97" s="13" t="inlineStr">
        <is>
          <t>E {tab} ditou a hora em voz alta, de trinta em trinta segundos, da biblioteca! Ouvi todas!</t>
        </is>
      </c>
      <c r="T97" s="13" t="inlineStr">
        <is>
          <t>E {tab}… ditou a hora. Em voz alta. De trinta em trinta segundos… da biblioteca. Ouvi todas.</t>
        </is>
      </c>
      <c r="U97" s="13" t="inlineStr">
        <is>
          <t>E {tab} ditou a hora em voz alta, de trinta em trinta segundos, da biblioteca, não foi? Ouvi todas, sim.</t>
        </is>
      </c>
      <c r="V97" s="13" t="inlineStr">
        <is>
          <t>{Tab} ditou a hora em voz alta, de trinta em trinta segundos, da biblioteca. Ouvi todas.</t>
        </is>
      </c>
      <c r="W97" s="13" t="inlineStr">
        <is>
          <t>E {tab} ditou a hora em voz alta, de trinta em trinta segundos, da biblioteca. Ouvi todas, apesar da chuva.</t>
        </is>
      </c>
      <c r="X97" s="13" t="inlineStr">
        <is>
          <t>Registre: {tab} ditou a hora em voz alta, de trinta em trinta segundos, da biblioteca. Ouvi todas.</t>
        </is>
      </c>
      <c r="Y97" s="10">
        <f>SUMPRODUCT(($H97:$Q97&lt;&gt;"")*ISERROR(SEARCH($H97:$Q97,S97)))+SUMPRODUCT(($H97:$Q97&lt;&gt;"")*ISERROR(SEARCH($H97:$Q97,T97)))+SUMPRODUCT(($H97:$Q97&lt;&gt;"")*ISERROR(SEARCH($H97:$Q97,U97)))+SUMPRODUCT(($H97:$Q97&lt;&gt;"")*ISERROR(SEARCH($H97:$Q97,V97)))+SUMPRODUCT(($H97:$Q97&lt;&gt;"")*ISERROR(SEARCH($H97:$Q97,W97)))+SUMPRODUCT(($H97:$Q97&lt;&gt;"")*ISERROR(SEARCH($H97:$Q97,X97)))</f>
        <v/>
      </c>
      <c r="Z97" s="10" t="inlineStr">
        <is>
          <t>Enquadre: &lt;i&gt;"…"&lt;/i&gt;, disse {her}, do vestíbulo. &lt;i&gt;"…"&lt;/i&gt; (original divide em duas citações).</t>
        </is>
      </c>
    </row>
    <row r="98" ht="35.05" customHeight="1" s="8">
      <c r="A98" s="10" t="inlineStr">
        <is>
          <t>c6-p13-04</t>
        </is>
      </c>
      <c r="B98" s="10" t="n">
        <v>13</v>
      </c>
      <c r="C98" s="10" t="inlineStr">
        <is>
          <t>o rádio do farol: a janela vazia</t>
        </is>
      </c>
      <c r="D98" s="10" t="inlineStr">
        <is>
          <t>roteiro</t>
        </is>
      </c>
      <c r="E98" s="10" t="inlineStr">
        <is>
          <t>faroleiro</t>
        </is>
      </c>
      <c r="F98" s="10" t="inlineStr">
        <is>
          <t>grupo pelo rádio</t>
        </is>
      </c>
      <c r="G98" s="10" t="n"/>
      <c r="H98" s="10" t="inlineStr">
        <is>
          <t>quarto clarão</t>
        </is>
      </c>
      <c r="I98" s="10" t="inlineStr">
        <is>
          <t>janela do corredor dos retratos</t>
        </is>
      </c>
      <c r="J98" s="10" t="inlineStr">
        <is>
          <t>vazia</t>
        </is>
      </c>
      <c r="K98" s="10" t="n"/>
      <c r="L98" s="10" t="n"/>
      <c r="M98" s="10" t="n"/>
      <c r="N98" s="10" t="n"/>
      <c r="O98" s="10" t="n"/>
      <c r="P98" s="10" t="n"/>
      <c r="Q98" s="10" t="n"/>
      <c r="R98" s="10" t="inlineStr">
        <is>
          <t>No quarto clarão, a janela do corredor dos retratos estava vazia.</t>
        </is>
      </c>
      <c r="S98" s="13" t="inlineStr">
        <is>
          <t>No quarto clarão, a janela do corredor dos retratos estava vazia!</t>
        </is>
      </c>
      <c r="T98" s="13" t="inlineStr">
        <is>
          <t>No quarto clarão… a janela do corredor dos retratos. Vazia.</t>
        </is>
      </c>
      <c r="U98" s="13" t="inlineStr">
        <is>
          <t>No quarto clarão, a janela do corredor dos retratos estava vazia. Foi o que eu vi daqui.</t>
        </is>
      </c>
      <c r="V98" s="13" t="inlineStr">
        <is>
          <t>No quarto clarão, a janela do corredor dos retratos estava vazia.</t>
        </is>
      </c>
      <c r="W98" s="13" t="inlineStr">
        <is>
          <t>Umidade de doer… No quarto clarão, a janela do corredor dos retratos estava vazia.</t>
        </is>
      </c>
      <c r="X98" s="13" t="inlineStr">
        <is>
          <t>Registro do farol: quarto clarão, janela do corredor dos retratos vazia.</t>
        </is>
      </c>
      <c r="Y98" s="10">
        <f>SUMPRODUCT(($H98:$Q98&lt;&gt;"")*ISERROR(SEARCH($H98:$Q98,S98)))+SUMPRODUCT(($H98:$Q98&lt;&gt;"")*ISERROR(SEARCH($H98:$Q98,T98)))+SUMPRODUCT(($H98:$Q98&lt;&gt;"")*ISERROR(SEARCH($H98:$Q98,U98)))+SUMPRODUCT(($H98:$Q98&lt;&gt;"")*ISERROR(SEARCH($H98:$Q98,V98)))+SUMPRODUCT(($H98:$Q98&lt;&gt;"")*ISERROR(SEARCH($H98:$Q98,W98)))+SUMPRODUCT(($H98:$Q98&lt;&gt;"")*ISERROR(SEARCH($H98:$Q98,X98)))</f>
        <v/>
      </c>
      <c r="Z98" s="10" t="inlineStr">
        <is>
          <t>Enquadre: O rádio: &lt;i&gt;"…"&lt;/i&gt;</t>
        </is>
      </c>
    </row>
    <row r="99" ht="23.85" customHeight="1" s="8">
      <c r="A99" s="10" t="inlineStr">
        <is>
          <t>c6-p13-05</t>
        </is>
      </c>
      <c r="B99" s="10" t="n">
        <v>13</v>
      </c>
      <c r="C99" s="10" t="inlineStr">
        <is>
          <t>o investigador foi ver o jornalista</t>
        </is>
      </c>
      <c r="D99" s="10" t="inlineStr">
        <is>
          <t>roteiro</t>
        </is>
      </c>
      <c r="E99" s="10" t="inlineStr">
        <is>
          <t>investigador</t>
        </is>
      </c>
      <c r="F99" s="10" t="inlineStr">
        <is>
          <t>grupo</t>
        </is>
      </c>
      <c r="G99" s="10" t="n"/>
      <c r="H99" s="10" t="inlineStr">
        <is>
          <t>fui ver</t>
        </is>
      </c>
      <c r="I99" s="10" t="inlineStr">
        <is>
          <t>{jor}</t>
        </is>
      </c>
      <c r="J99" s="10" t="n"/>
      <c r="K99" s="10" t="n"/>
      <c r="L99" s="10" t="n"/>
      <c r="M99" s="10" t="n"/>
      <c r="N99" s="10" t="n"/>
      <c r="O99" s="10" t="n"/>
      <c r="P99" s="10" t="n"/>
      <c r="Q99" s="10" t="n"/>
      <c r="R99" s="10" t="inlineStr">
        <is>
          <t>Fui ver {jor}.</t>
        </is>
      </c>
      <c r="S99" s="13" t="inlineStr">
        <is>
          <t>Fui ver {jor}!</t>
        </is>
      </c>
      <c r="T99" s="13" t="inlineStr">
        <is>
          <t>… Fui ver {jor}.</t>
        </is>
      </c>
      <c r="U99" s="13" t="inlineStr">
        <is>
          <t>Fui ver {jor}…</t>
        </is>
      </c>
      <c r="V99" s="13" t="inlineStr">
        <is>
          <t>Fui ver {jor}.</t>
        </is>
      </c>
      <c r="W99" s="13" t="inlineStr">
        <is>
          <t>Bem… fui ver {jor}.</t>
        </is>
      </c>
      <c r="X99" s="13" t="inlineStr">
        <is>
          <t>Fui ver {jor}.</t>
        </is>
      </c>
      <c r="Y99" s="10">
        <f>SUMPRODUCT(($H99:$Q99&lt;&gt;"")*ISERROR(SEARCH($H99:$Q99,S99)))+SUMPRODUCT(($H99:$Q99&lt;&gt;"")*ISERROR(SEARCH($H99:$Q99,T99)))+SUMPRODUCT(($H99:$Q99&lt;&gt;"")*ISERROR(SEARCH($H99:$Q99,U99)))+SUMPRODUCT(($H99:$Q99&lt;&gt;"")*ISERROR(SEARCH($H99:$Q99,V99)))+SUMPRODUCT(($H99:$Q99&lt;&gt;"")*ISERROR(SEARCH($H99:$Q99,W99)))+SUMPRODUCT(($H99:$Q99&lt;&gt;"")*ISERROR(SEARCH($H99:$Q99,X99)))</f>
        <v/>
      </c>
      <c r="Z99" s="10" t="inlineStr">
        <is>
          <t>Enquadre: &lt;i&gt;"…"&lt;/i&gt;, disse {inv}.</t>
        </is>
      </c>
    </row>
    <row r="100" ht="35.05" customHeight="1" s="8">
      <c r="A100" s="10" t="inlineStr">
        <is>
          <t>c6-p13-06</t>
        </is>
      </c>
      <c r="B100" s="10" t="n">
        <v>13</v>
      </c>
      <c r="C100" s="10" t="inlineStr">
        <is>
          <t>o jornalista nega</t>
        </is>
      </c>
      <c r="D100" s="10" t="inlineStr">
        <is>
          <t>roteiro</t>
        </is>
      </c>
      <c r="E100" s="10" t="inlineStr">
        <is>
          <t>jornalista</t>
        </is>
      </c>
      <c r="F100" s="10" t="inlineStr">
        <is>
          <t>grupo</t>
        </is>
      </c>
      <c r="G100" s="10" t="n"/>
      <c r="H100" s="10" t="inlineStr">
        <is>
          <t>ninguém mais veio</t>
        </is>
      </c>
      <c r="I100" s="10" t="n"/>
      <c r="J100" s="10" t="n"/>
      <c r="K100" s="10" t="n"/>
      <c r="L100" s="10" t="n"/>
      <c r="M100" s="10" t="n"/>
      <c r="N100" s="10" t="n"/>
      <c r="O100" s="10" t="n"/>
      <c r="P100" s="10" t="n"/>
      <c r="Q100" s="10" t="n"/>
      <c r="R100" s="10" t="inlineStr">
        <is>
          <t>Ninguém mais veio.</t>
        </is>
      </c>
      <c r="S100" s="13" t="inlineStr">
        <is>
          <t>Ninguém mais veio!</t>
        </is>
      </c>
      <c r="T100" s="13" t="inlineStr">
        <is>
          <t>… Ninguém mais veio.</t>
        </is>
      </c>
      <c r="U100" s="13" t="inlineStr">
        <is>
          <t>Ninguém mais veio…</t>
        </is>
      </c>
      <c r="V100" s="13" t="inlineStr">
        <is>
          <t>Ninguém mais veio.</t>
        </is>
      </c>
      <c r="W100" s="13" t="inlineStr">
        <is>
          <t>Ah… ninguém mais veio.</t>
        </is>
      </c>
      <c r="X100" s="13" t="inlineStr">
        <is>
          <t>Ninguém mais veio.</t>
        </is>
      </c>
      <c r="Y100" s="10">
        <f>SUMPRODUCT(($H100:$Q100&lt;&gt;"")*ISERROR(SEARCH($H100:$Q100,S100)))+SUMPRODUCT(($H100:$Q100&lt;&gt;"")*ISERROR(SEARCH($H100:$Q100,T100)))+SUMPRODUCT(($H100:$Q100&lt;&gt;"")*ISERROR(SEARCH($H100:$Q100,U100)))+SUMPRODUCT(($H100:$Q100&lt;&gt;"")*ISERROR(SEARCH($H100:$Q100,V100)))+SUMPRODUCT(($H100:$Q100&lt;&gt;"")*ISERROR(SEARCH($H100:$Q100,W100)))+SUMPRODUCT(($H100:$Q100&lt;&gt;"")*ISERROR(SEARCH($H100:$Q100,X100)))</f>
        <v/>
      </c>
      <c r="Z100" s="10" t="inlineStr">
        <is>
          <t>Enquadre: &lt;i&gt;"…"&lt;/i&gt;, disse {jor}. A negativa é pista contra {inv}: nenhuma versão a enfraquece.</t>
        </is>
      </c>
    </row>
    <row r="101" ht="46.25" customHeight="1" s="8">
      <c r="A101" s="10" t="inlineStr">
        <is>
          <t>c6-p14-01</t>
        </is>
      </c>
      <c r="B101" s="10" t="n">
        <v>14</v>
      </c>
      <c r="C101" s="10" t="inlineStr">
        <is>
          <t>o rádio do farol: dois vultos</t>
        </is>
      </c>
      <c r="D101" s="10" t="inlineStr">
        <is>
          <t>roteiro</t>
        </is>
      </c>
      <c r="E101" s="10" t="inlineStr">
        <is>
          <t>faroleiro</t>
        </is>
      </c>
      <c r="F101" s="10" t="inlineStr">
        <is>
          <t>grupo pelo rádio</t>
        </is>
      </c>
      <c r="G101" s="10" t="n"/>
      <c r="H101" s="10" t="inlineStr">
        <is>
          <t>dois vultos</t>
        </is>
      </c>
      <c r="I101" s="10" t="inlineStr">
        <is>
          <t>quarto clarão</t>
        </is>
      </c>
      <c r="J101" s="10" t="inlineStr">
        <is>
          <t>janela dos fundos</t>
        </is>
      </c>
      <c r="K101" s="10" t="inlineStr">
        <is>
          <t>varanda vazia</t>
        </is>
      </c>
      <c r="L101" s="10" t="inlineStr">
        <is>
          <t>sexto</t>
        </is>
      </c>
      <c r="M101" s="10" t="inlineStr">
        <is>
          <t>escuro</t>
        </is>
      </c>
      <c r="N101" s="10" t="inlineStr">
        <is>
          <t>lado da sala para a varanda</t>
        </is>
      </c>
      <c r="O101" s="10" t="n"/>
      <c r="P101" s="10" t="n"/>
      <c r="Q101" s="10" t="n"/>
      <c r="R101" s="10" t="inlineStr">
        <is>
          <t>Dois vultos. No quarto clarão, um junto à janela dos fundos, e a varanda vazia. No sexto, um escuro, atravessando do lado da sala para a varanda.</t>
        </is>
      </c>
      <c r="S101" s="13" t="inlineStr">
        <is>
          <t>Dois vultos! No quarto clarão, um junto à janela dos fundos, e a varanda vazia! No sexto, um escuro, atravessando do lado da sala para a varanda!</t>
        </is>
      </c>
      <c r="T101" s="13" t="inlineStr">
        <is>
          <t>Dois vultos… No quarto clarão, um junto à janela dos fundos. A varanda vazia. No sexto… um escuro. Atravessando do lado da sala para a varanda.</t>
        </is>
      </c>
      <c r="U101" s="13" t="inlineStr">
        <is>
          <t>Dois vultos! No quarto clarão, um junto à janela dos fundos, e a varanda vazia. No sexto, um escuro, atravessando do lado da sala para a varanda. Dá para acreditar?</t>
        </is>
      </c>
      <c r="V101" s="13" t="inlineStr">
        <is>
          <t>Dois vultos. No quarto clarão, um junto à janela dos fundos, e a varanda vazia. No sexto, um escuro, atravessando do lado da sala para a varanda.</t>
        </is>
      </c>
      <c r="W101" s="13" t="inlineStr">
        <is>
          <t>Dois vultos. No quarto clarão, um junto à janela dos fundos, e a varanda vazia. Que frio aqui em cima… No sexto, um escuro, atravessando do lado da sala para a varanda.</t>
        </is>
      </c>
      <c r="X101" s="13" t="inlineStr">
        <is>
          <t>Registro do farol: dois vultos. Quarto clarão: um junto à janela dos fundos, varanda vazia. Sexto: um escuro, atravessando do lado da sala para a varanda.</t>
        </is>
      </c>
      <c r="Y101" s="10">
        <f>SUMPRODUCT(($H101:$Q101&lt;&gt;"")*ISERROR(SEARCH($H101:$Q101,S101)))+SUMPRODUCT(($H101:$Q101&lt;&gt;"")*ISERROR(SEARCH($H101:$Q101,T101)))+SUMPRODUCT(($H101:$Q101&lt;&gt;"")*ISERROR(SEARCH($H101:$Q101,U101)))+SUMPRODUCT(($H101:$Q101&lt;&gt;"")*ISERROR(SEARCH($H101:$Q101,V101)))+SUMPRODUCT(($H101:$Q101&lt;&gt;"")*ISERROR(SEARCH($H101:$Q101,W101)))+SUMPRODUCT(($H101:$Q101&lt;&gt;"")*ISERROR(SEARCH($H101:$Q101,X101)))</f>
        <v/>
      </c>
      <c r="Z101" s="10" t="inlineStr">
        <is>
          <t>Enquadre: O rádio: &lt;i&gt;"…"&lt;/i&gt;</t>
        </is>
      </c>
    </row>
    <row r="102" ht="35.05" customHeight="1" s="8">
      <c r="A102" s="10" t="inlineStr">
        <is>
          <t>c6-p14-02</t>
        </is>
      </c>
      <c r="B102" s="10" t="n">
        <v>14</v>
      </c>
      <c r="C102" s="10" t="inlineStr">
        <is>
          <t>o jardineiro viu o vulto menor</t>
        </is>
      </c>
      <c r="D102" s="10" t="inlineStr">
        <is>
          <t>roteiro</t>
        </is>
      </c>
      <c r="E102" s="10" t="inlineStr">
        <is>
          <t>jardineiro</t>
        </is>
      </c>
      <c r="F102" s="10" t="inlineStr">
        <is>
          <t>grupo</t>
        </is>
      </c>
      <c r="G102" s="10" t="n"/>
      <c r="H102" s="10" t="inlineStr">
        <is>
          <t>janela dos fundos</t>
        </is>
      </c>
      <c r="I102" s="10" t="inlineStr">
        <is>
          <t>vi também</t>
        </is>
      </c>
      <c r="J102" s="10" t="inlineStr">
        <is>
          <t>despensa</t>
        </is>
      </c>
      <c r="K102" s="10" t="inlineStr">
        <is>
          <t>menor</t>
        </is>
      </c>
      <c r="L102" s="10" t="n"/>
      <c r="M102" s="10" t="n"/>
      <c r="N102" s="10" t="n"/>
      <c r="O102" s="10" t="n"/>
      <c r="P102" s="10" t="n"/>
      <c r="Q102" s="10" t="n"/>
      <c r="R102" s="10" t="inlineStr">
        <is>
          <t>O da janela dos fundos eu vi também, da despensa. Era menor.</t>
        </is>
      </c>
      <c r="S102" s="13" t="inlineStr">
        <is>
          <t>O da janela dos fundos eu vi também, da despensa! Era menor!</t>
        </is>
      </c>
      <c r="T102" s="13" t="inlineStr">
        <is>
          <t>O da janela dos fundos… eu vi também. Da despensa. Era menor.</t>
        </is>
      </c>
      <c r="U102" s="13" t="inlineStr">
        <is>
          <t>O da janela dos fundos eu vi também, da despensa… era menor, sabe?</t>
        </is>
      </c>
      <c r="V102" s="13" t="inlineStr">
        <is>
          <t>O da janela dos fundos eu vi também, da despensa. Era menor.</t>
        </is>
      </c>
      <c r="W102" s="13" t="inlineStr">
        <is>
          <t>Com essa chuva… O da janela dos fundos eu vi também, da despensa. Era menor.</t>
        </is>
      </c>
      <c r="X102" s="13" t="inlineStr">
        <is>
          <t>Anoto: o da janela dos fundos, vi também, da despensa. Era menor.</t>
        </is>
      </c>
      <c r="Y102" s="10">
        <f>SUMPRODUCT(($H102:$Q102&lt;&gt;"")*ISERROR(SEARCH($H102:$Q102,S102)))+SUMPRODUCT(($H102:$Q102&lt;&gt;"")*ISERROR(SEARCH($H102:$Q102,T102)))+SUMPRODUCT(($H102:$Q102&lt;&gt;"")*ISERROR(SEARCH($H102:$Q102,U102)))+SUMPRODUCT(($H102:$Q102&lt;&gt;"")*ISERROR(SEARCH($H102:$Q102,V102)))+SUMPRODUCT(($H102:$Q102&lt;&gt;"")*ISERROR(SEARCH($H102:$Q102,W102)))+SUMPRODUCT(($H102:$Q102&lt;&gt;"")*ISERROR(SEARCH($H102:$Q102,X102)))</f>
        <v/>
      </c>
      <c r="Z102" s="10" t="inlineStr">
        <is>
          <t>Enquadre: &lt;i&gt;"…"&lt;/i&gt;, disse {jar}. &lt;i&gt;"…"&lt;/i&gt; (original divide em duas citações).</t>
        </is>
      </c>
    </row>
    <row r="103" ht="35.05" customHeight="1" s="8">
      <c r="A103" s="10" t="inlineStr">
        <is>
          <t>c6-p14-03</t>
        </is>
      </c>
      <c r="B103" s="10" t="n">
        <v>14</v>
      </c>
      <c r="C103" s="10" t="inlineStr">
        <is>
          <t>quem estava onde: o relógio verde do advogado</t>
        </is>
      </c>
      <c r="D103" s="10" t="inlineStr">
        <is>
          <t>roteiro</t>
        </is>
      </c>
      <c r="E103" s="10" t="inlineStr">
        <is>
          <t>observadora</t>
        </is>
      </c>
      <c r="F103" s="10" t="inlineStr">
        <is>
          <t>grupo</t>
        </is>
      </c>
      <c r="G103" s="10" t="n"/>
      <c r="H103" s="10" t="inlineStr">
        <is>
          <t>relógio verde {de:adv}</t>
        </is>
      </c>
      <c r="I103" s="10" t="inlineStr">
        <is>
          <t>parado</t>
        </is>
      </c>
      <c r="J103" s="10" t="inlineStr">
        <is>
          <t>porta</t>
        </is>
      </c>
      <c r="K103" s="10" t="inlineStr">
        <is>
          <t>dois clarões</t>
        </is>
      </c>
      <c r="L103" s="10" t="inlineStr">
        <is>
          <t>da janela</t>
        </is>
      </c>
      <c r="M103" s="10" t="inlineStr">
        <is>
          <t>varanda vazia</t>
        </is>
      </c>
      <c r="N103" s="10" t="inlineStr">
        <is>
          <t>no quarto</t>
        </is>
      </c>
      <c r="O103" s="10" t="n"/>
      <c r="P103" s="10" t="n"/>
      <c r="Q103" s="10" t="n"/>
      <c r="R103" s="10" t="inlineStr">
        <is>
          <t>O relógio verde {de:adv} ficou parado na porta nos dois clarões. E da janela vi a varanda vazia no quarto.</t>
        </is>
      </c>
      <c r="S103" s="13" t="inlineStr">
        <is>
          <t>O relógio verde {de:adv} ficou parado na porta nos dois clarões! E da janela vi a varanda vazia no quarto!</t>
        </is>
      </c>
      <c r="T103" s="13" t="inlineStr">
        <is>
          <t>O relógio verde {de:adv}… parado na porta. Nos dois clarões. E da janela… a varanda vazia. No quarto.</t>
        </is>
      </c>
      <c r="U103" s="13" t="inlineStr">
        <is>
          <t>O relógio verde {de:adv} ficou parado na porta nos dois clarões, não ficou? E da janela vi a varanda vazia no quarto.</t>
        </is>
      </c>
      <c r="V103" s="13" t="inlineStr">
        <is>
          <t>O relógio verde {de:adv} ficou parado na porta nos dois clarões. E da janela vi a varanda vazia no quarto.</t>
        </is>
      </c>
      <c r="W103" s="13" t="inlineStr">
        <is>
          <t>Chuva sem fim… O relógio verde {de:adv} ficou parado na porta nos dois clarões. E da janela vi a varanda vazia no quarto.</t>
        </is>
      </c>
      <c r="X103" s="13" t="inlineStr">
        <is>
          <t>Para a ata: relógio verde {de:adv} parado na porta nos dois clarões. Da janela, varanda vazia no quarto.</t>
        </is>
      </c>
      <c r="Y103" s="10">
        <f>SUMPRODUCT(($H103:$Q103&lt;&gt;"")*ISERROR(SEARCH($H103:$Q103,S103)))+SUMPRODUCT(($H103:$Q103&lt;&gt;"")*ISERROR(SEARCH($H103:$Q103,T103)))+SUMPRODUCT(($H103:$Q103&lt;&gt;"")*ISERROR(SEARCH($H103:$Q103,U103)))+SUMPRODUCT(($H103:$Q103&lt;&gt;"")*ISERROR(SEARCH($H103:$Q103,V103)))+SUMPRODUCT(($H103:$Q103&lt;&gt;"")*ISERROR(SEARCH($H103:$Q103,W103)))+SUMPRODUCT(($H103:$Q103&lt;&gt;"")*ISERROR(SEARCH($H103:$Q103,X103)))</f>
        <v/>
      </c>
      <c r="Z103" s="10" t="inlineStr">
        <is>
          <t>Enquadre: &lt;i&gt;"…"&lt;/i&gt;, disse {obs}. &lt;i&gt;"…"&lt;/i&gt; (original divide em duas citações). "no quarto" = quarto clarão.</t>
        </is>
      </c>
    </row>
    <row r="104" ht="35.05" customHeight="1" s="8">
      <c r="A104" s="10" t="inlineStr">
        <is>
          <t>c6-p14-04</t>
        </is>
      </c>
      <c r="B104" s="10" t="n">
        <v>14</v>
      </c>
      <c r="C104" s="10" t="inlineStr">
        <is>
          <t>o casaco encharcado da herdeira</t>
        </is>
      </c>
      <c r="D104" s="10" t="inlineStr">
        <is>
          <t>roteiro</t>
        </is>
      </c>
      <c r="E104" s="10" t="inlineStr">
        <is>
          <t>jardineiro</t>
        </is>
      </c>
      <c r="F104" s="10" t="inlineStr">
        <is>
          <t>herdeira</t>
        </is>
      </c>
      <c r="G104" s="10" t="n"/>
      <c r="H104" s="10" t="inlineStr">
        <is>
          <t>casaco</t>
        </is>
      </c>
      <c r="I104" s="10" t="inlineStr">
        <is>
          <t>encharcado</t>
        </is>
      </c>
      <c r="J104" s="10" t="inlineStr">
        <is>
          <t>varanda coberta</t>
        </is>
      </c>
      <c r="K104" s="10" t="inlineStr">
        <is>
          <t>não molha lã</t>
        </is>
      </c>
      <c r="L104" s="10" t="n"/>
      <c r="M104" s="10" t="n"/>
      <c r="N104" s="10" t="n"/>
      <c r="O104" s="10" t="n"/>
      <c r="P104" s="10" t="n"/>
      <c r="Q104" s="10" t="n"/>
      <c r="R104" s="10" t="inlineStr">
        <is>
          <t>O seu casaco está encharcado. Varanda coberta não molha lã assim.</t>
        </is>
      </c>
      <c r="S104" s="13" t="inlineStr">
        <is>
          <t>O seu casaco está encharcado! Varanda coberta não molha lã assim. Bonito, hein.</t>
        </is>
      </c>
      <c r="T104" s="13" t="inlineStr">
        <is>
          <t>O seu casaco… encharcado. Varanda coberta… não molha lã assim.</t>
        </is>
      </c>
      <c r="U104" s="13" t="inlineStr">
        <is>
          <t>O seu casaco está encharcado… varanda coberta não molha lã assim, molha?</t>
        </is>
      </c>
      <c r="V104" s="13" t="inlineStr">
        <is>
          <t>O seu casaco está encharcado. Varanda coberta não molha lã assim.</t>
        </is>
      </c>
      <c r="W104" s="13" t="inlineStr">
        <is>
          <t>O seu casaco está encharcado. Varanda coberta não molha lã assim. Nem com essa umidade toda.</t>
        </is>
      </c>
      <c r="X104" s="13" t="inlineStr">
        <is>
          <t>Seu casaco: encharcado. Varanda coberta não molha lã assim.</t>
        </is>
      </c>
      <c r="Y104" s="10">
        <f>SUMPRODUCT(($H104:$Q104&lt;&gt;"")*ISERROR(SEARCH($H104:$Q104,S104)))+SUMPRODUCT(($H104:$Q104&lt;&gt;"")*ISERROR(SEARCH($H104:$Q104,T104)))+SUMPRODUCT(($H104:$Q104&lt;&gt;"")*ISERROR(SEARCH($H104:$Q104,U104)))+SUMPRODUCT(($H104:$Q104&lt;&gt;"")*ISERROR(SEARCH($H104:$Q104,V104)))+SUMPRODUCT(($H104:$Q104&lt;&gt;"")*ISERROR(SEARCH($H104:$Q104,W104)))+SUMPRODUCT(($H104:$Q104&lt;&gt;"")*ISERROR(SEARCH($H104:$Q104,X104)))</f>
        <v/>
      </c>
      <c r="Z104" s="10" t="inlineStr">
        <is>
          <t>Enquadre: &lt;i&gt;"…"&lt;/i&gt;, disse {jar} {a:her}. &lt;i&gt;"…"&lt;/i&gt; (original divide em duas citações).</t>
        </is>
      </c>
    </row>
    <row r="105" ht="57.45" customHeight="1" s="8">
      <c r="A105" s="10" t="inlineStr">
        <is>
          <t>c6-p14-05</t>
        </is>
      </c>
      <c r="B105" s="10" t="n">
        <v>14</v>
      </c>
      <c r="C105" s="10" t="inlineStr">
        <is>
          <t>a governanta destrancou a porta-janela</t>
        </is>
      </c>
      <c r="D105" s="10" t="inlineStr">
        <is>
          <t>roteiro</t>
        </is>
      </c>
      <c r="E105" s="10" t="inlineStr">
        <is>
          <t>governanta</t>
        </is>
      </c>
      <c r="F105" s="10" t="inlineStr">
        <is>
          <t>grupo</t>
        </is>
      </c>
      <c r="G105" s="10" t="n"/>
      <c r="H105" s="10" t="inlineStr">
        <is>
          <t>destranquei</t>
        </is>
      </c>
      <c r="I105" s="10" t="inlineStr">
        <is>
          <t>porta-janela da sala</t>
        </is>
      </c>
      <c r="J105" s="10" t="inlineStr">
        <is>
          <t>às nove</t>
        </is>
      </c>
      <c r="K105" s="10" t="inlineStr">
        <is>
          <t>gato</t>
        </is>
      </c>
      <c r="L105" s="10" t="inlineStr">
        <is>
          <t>chove</t>
        </is>
      </c>
      <c r="M105" s="10" t="inlineStr">
        <is>
          <t>{res}</t>
        </is>
      </c>
      <c r="N105" s="10" t="inlineStr">
        <is>
          <t>copa</t>
        </is>
      </c>
      <c r="O105" s="10" t="inlineStr">
        <is>
          <t>{jar}</t>
        </is>
      </c>
      <c r="P105" s="10" t="inlineStr">
        <is>
          <t>lanterna</t>
        </is>
      </c>
      <c r="Q105" s="10" t="inlineStr">
        <is>
          <t>porta da despensa</t>
        </is>
      </c>
      <c r="R105" s="10" t="inlineStr">
        <is>
          <t>Eu destranquei a porta-janela da sala às nove. Para o gato. Ele chora quando chove. E falei com {res} pela copa, e {jar} me pediu a lanterna pela porta da despensa.</t>
        </is>
      </c>
      <c r="S105" s="13" t="inlineStr">
        <is>
          <t>Eu destranquei a porta-janela da sala às nove! Para o gato, ele chora quando chove! E falei com {res} pela copa, e {jar} me pediu a lanterna pela porta da despensa!</t>
        </is>
      </c>
      <c r="T105" s="13" t="inlineStr">
        <is>
          <t>Eu destranquei… a porta-janela da sala. Às nove. Para o gato. Ele chora quando chove. Falei com {res}… pela copa. E {jar}… me pediu a lanterna pela porta da despensa.</t>
        </is>
      </c>
      <c r="U105" s="13" t="inlineStr">
        <is>
          <t>Eu destranquei a porta-janela da sala às nove, desculpa… para o gato, ele chora quando chove. E falei com {res} pela copa, e {jar} me pediu a lanterna pela porta da despensa.</t>
        </is>
      </c>
      <c r="V105" s="13" t="inlineStr">
        <is>
          <t>Eu destranquei a porta-janela da sala às nove. Para o gato; ele chora quando chove. E falei com {res} pela copa, e {jar} me pediu a lanterna pela porta da despensa.</t>
        </is>
      </c>
      <c r="W105" s="13" t="inlineStr">
        <is>
          <t>Com essa umidade toda… Eu destranquei a porta-janela da sala às nove. Para o gato; ele chora quando chove. Falei com {res} pela copa, e {jar} me pediu a lanterna pela porta da despensa.</t>
        </is>
      </c>
      <c r="X105" s="13" t="inlineStr">
        <is>
          <t>Às nove: destranquei a porta-janela da sala. Motivo: o gato, que chora quando chove. Falei com {res} pela copa. {Jar} me pediu a lanterna pela porta da despensa.</t>
        </is>
      </c>
      <c r="Y105" s="10">
        <f>SUMPRODUCT(($H105:$Q105&lt;&gt;"")*ISERROR(SEARCH($H105:$Q105,S105)))+SUMPRODUCT(($H105:$Q105&lt;&gt;"")*ISERROR(SEARCH($H105:$Q105,T105)))+SUMPRODUCT(($H105:$Q105&lt;&gt;"")*ISERROR(SEARCH($H105:$Q105,U105)))+SUMPRODUCT(($H105:$Q105&lt;&gt;"")*ISERROR(SEARCH($H105:$Q105,V105)))+SUMPRODUCT(($H105:$Q105&lt;&gt;"")*ISERROR(SEARCH($H105:$Q105,W105)))+SUMPRODUCT(($H105:$Q105&lt;&gt;"")*ISERROR(SEARCH($H105:$Q105,X105)))</f>
        <v/>
      </c>
      <c r="Z105" s="10" t="inlineStr">
        <is>
          <t>Enquadre: &lt;i&gt;"…"&lt;/i&gt;, disse {gov}. &lt;i&gt;"…"&lt;/i&gt; (original divide em duas citações).</t>
        </is>
      </c>
    </row>
    <row r="106" ht="35.05" customHeight="1" s="8">
      <c r="A106" s="10" t="inlineStr">
        <is>
          <t>c6-p15-01</t>
        </is>
      </c>
      <c r="B106" s="10" t="n">
        <v>15</v>
      </c>
      <c r="C106" s="10" t="inlineStr">
        <is>
          <t>quem estava onde: passos na parede</t>
        </is>
      </c>
      <c r="D106" s="10" t="inlineStr">
        <is>
          <t>roteiro</t>
        </is>
      </c>
      <c r="E106" s="10" t="inlineStr">
        <is>
          <t>residente</t>
        </is>
      </c>
      <c r="F106" s="10" t="inlineStr">
        <is>
          <t>grupo</t>
        </is>
      </c>
      <c r="G106" s="10" t="n"/>
      <c r="H106" s="10" t="inlineStr">
        <is>
          <t>cinquenta e oito</t>
        </is>
      </c>
      <c r="I106" s="10" t="inlineStr">
        <is>
          <t>passos</t>
        </is>
      </c>
      <c r="J106" s="10" t="inlineStr">
        <is>
          <t>dentro da parede</t>
        </is>
      </c>
      <c r="K106" s="10" t="inlineStr">
        <is>
          <t>despensa</t>
        </is>
      </c>
      <c r="L106" s="10" t="n"/>
      <c r="M106" s="10" t="n"/>
      <c r="N106" s="10" t="n"/>
      <c r="O106" s="10" t="n"/>
      <c r="P106" s="10" t="n"/>
      <c r="Q106" s="10" t="n"/>
      <c r="R106" s="10" t="inlineStr">
        <is>
          <t>Aos cinquenta e oito, passos dentro da parede, vindo da despensa.</t>
        </is>
      </c>
      <c r="S106" s="13" t="inlineStr">
        <is>
          <t>Aos cinquenta e oito, passos dentro da parede, vindo da despensa! Eu ouvi!</t>
        </is>
      </c>
      <c r="T106" s="13" t="inlineStr">
        <is>
          <t>Aos cinquenta e oito… passos. Dentro da parede. Vindo da despensa.</t>
        </is>
      </c>
      <c r="U106" s="13" t="inlineStr">
        <is>
          <t>Aos cinquenta e oito, passos dentro da parede, vindo da despensa… dá medo, não dá?</t>
        </is>
      </c>
      <c r="V106" s="13" t="inlineStr">
        <is>
          <t>Aos cinquenta e oito, passos dentro da parede, vindo da despensa.</t>
        </is>
      </c>
      <c r="W106" s="13" t="inlineStr">
        <is>
          <t>Com essa umidade toda… Aos cinquenta e oito, passos dentro da parede, vindo da despensa.</t>
        </is>
      </c>
      <c r="X106" s="13" t="inlineStr">
        <is>
          <t>Cinquenta e oito: passos dentro da parede, vindo da despensa.</t>
        </is>
      </c>
      <c r="Y106" s="10">
        <f>SUMPRODUCT(($H106:$Q106&lt;&gt;"")*ISERROR(SEARCH($H106:$Q106,S106)))+SUMPRODUCT(($H106:$Q106&lt;&gt;"")*ISERROR(SEARCH($H106:$Q106,T106)))+SUMPRODUCT(($H106:$Q106&lt;&gt;"")*ISERROR(SEARCH($H106:$Q106,U106)))+SUMPRODUCT(($H106:$Q106&lt;&gt;"")*ISERROR(SEARCH($H106:$Q106,V106)))+SUMPRODUCT(($H106:$Q106&lt;&gt;"")*ISERROR(SEARCH($H106:$Q106,W106)))+SUMPRODUCT(($H106:$Q106&lt;&gt;"")*ISERROR(SEARCH($H106:$Q106,X106)))</f>
        <v/>
      </c>
      <c r="Z106" s="10" t="inlineStr">
        <is>
          <t>Enquadre: &lt;i&gt;"…"&lt;/i&gt;, disse {res}.</t>
        </is>
      </c>
    </row>
    <row r="107" ht="46.25" customHeight="1" s="8">
      <c r="A107" s="10" t="inlineStr">
        <is>
          <t>c6-p15-02</t>
        </is>
      </c>
      <c r="B107" s="10" t="n">
        <v>15</v>
      </c>
      <c r="C107" s="10" t="inlineStr">
        <is>
          <t>o chefe olhou a mensagem e viu o zíper</t>
        </is>
      </c>
      <c r="D107" s="10" t="inlineStr">
        <is>
          <t>roteiro</t>
        </is>
      </c>
      <c r="E107" s="10" t="inlineStr">
        <is>
          <t>chefe_de_cozinha</t>
        </is>
      </c>
      <c r="F107" s="10" t="inlineStr">
        <is>
          <t>grupo</t>
        </is>
      </c>
      <c r="G107" s="10" t="n"/>
      <c r="H107" s="10" t="inlineStr">
        <is>
          <t>mensagem</t>
        </is>
      </c>
      <c r="I107" s="10" t="inlineStr">
        <is>
          <t>nove e meia</t>
        </is>
      </c>
      <c r="J107" s="10" t="inlineStr">
        <is>
          <t>olhei</t>
        </is>
      </c>
      <c r="K107" s="10" t="inlineStr">
        <is>
          <t>setenta e dois</t>
        </is>
      </c>
      <c r="L107" s="10" t="inlineStr">
        <is>
          <t>brilho de zíper</t>
        </is>
      </c>
      <c r="M107" s="10" t="inlineStr">
        <is>
          <t>pêndulo</t>
        </is>
      </c>
      <c r="N107" s="10" t="n"/>
      <c r="O107" s="10" t="n"/>
      <c r="P107" s="10" t="n"/>
      <c r="Q107" s="10" t="n"/>
      <c r="R107" s="10" t="inlineStr">
        <is>
          <t>A mensagem chegou às nove e meia e eu olhei. Aos setenta e dois vi um brilho de zíper junto ao pêndulo.</t>
        </is>
      </c>
      <c r="S107" s="13" t="inlineStr">
        <is>
          <t>A mensagem chegou às nove e meia e eu olhei, pronto! Mas aos setenta e dois vi um brilho de zíper junto ao pêndulo!</t>
        </is>
      </c>
      <c r="T107" s="13" t="inlineStr">
        <is>
          <t>A mensagem… às nove e meia. Eu olhei. Aos setenta e dois… um brilho de zíper. Junto ao pêndulo.</t>
        </is>
      </c>
      <c r="U107" s="13" t="inlineStr">
        <is>
          <t>A mensagem chegou às nove e meia e eu olhei, desculpa… Mas aos setenta e dois vi um brilho de zíper junto ao pêndulo, juro.</t>
        </is>
      </c>
      <c r="V107" s="13" t="inlineStr">
        <is>
          <t>A mensagem chegou às nove e meia e eu olhei. Aos setenta e dois vi um brilho de zíper junto ao pêndulo.</t>
        </is>
      </c>
      <c r="W107" s="13" t="inlineStr">
        <is>
          <t>Essa fome, esse cansaço… A mensagem chegou às nove e meia e eu olhei. Aos setenta e dois vi um brilho de zíper junto ao pêndulo.</t>
        </is>
      </c>
      <c r="X107" s="13" t="inlineStr">
        <is>
          <t>Nove e meia: a mensagem chegou; eu olhei. Aos setenta e dois, vi um brilho de zíper junto ao pêndulo.</t>
        </is>
      </c>
      <c r="Y107" s="10">
        <f>SUMPRODUCT(($H107:$Q107&lt;&gt;"")*ISERROR(SEARCH($H107:$Q107,S107)))+SUMPRODUCT(($H107:$Q107&lt;&gt;"")*ISERROR(SEARCH($H107:$Q107,T107)))+SUMPRODUCT(($H107:$Q107&lt;&gt;"")*ISERROR(SEARCH($H107:$Q107,U107)))+SUMPRODUCT(($H107:$Q107&lt;&gt;"")*ISERROR(SEARCH($H107:$Q107,V107)))+SUMPRODUCT(($H107:$Q107&lt;&gt;"")*ISERROR(SEARCH($H107:$Q107,W107)))+SUMPRODUCT(($H107:$Q107&lt;&gt;"")*ISERROR(SEARCH($H107:$Q107,X107)))</f>
        <v/>
      </c>
      <c r="Z107" s="10" t="inlineStr">
        <is>
          <t>Enquadre: &lt;i&gt;"…"&lt;/i&gt;, disse {che}, que guardava a porta. &lt;i&gt;"…"&lt;/i&gt; (original divide em duas citações).</t>
        </is>
      </c>
    </row>
    <row r="108" ht="23.85" customHeight="1" s="8">
      <c r="A108" s="10" t="inlineStr">
        <is>
          <t>c6-p15-03</t>
        </is>
      </c>
      <c r="B108" s="10" t="n">
        <v>15</v>
      </c>
      <c r="C108" s="10" t="inlineStr">
        <is>
          <t>quem estava onde: o dólmã na porta</t>
        </is>
      </c>
      <c r="D108" s="10" t="inlineStr">
        <is>
          <t>roteiro</t>
        </is>
      </c>
      <c r="E108" s="10" t="inlineStr">
        <is>
          <t>observadora</t>
        </is>
      </c>
      <c r="F108" s="10" t="inlineStr">
        <is>
          <t>grupo</t>
        </is>
      </c>
      <c r="G108" s="10" t="n"/>
      <c r="H108" s="10" t="inlineStr">
        <is>
          <t>{che}</t>
        </is>
      </c>
      <c r="I108" s="10" t="inlineStr">
        <is>
          <t>porta</t>
        </is>
      </c>
      <c r="J108" s="10" t="inlineStr">
        <is>
          <t>dólmã branco</t>
        </is>
      </c>
      <c r="K108" s="10" t="inlineStr">
        <is>
          <t>dois clarões</t>
        </is>
      </c>
      <c r="L108" s="10" t="n"/>
      <c r="M108" s="10" t="n"/>
      <c r="N108" s="10" t="n"/>
      <c r="O108" s="10" t="n"/>
      <c r="P108" s="10" t="n"/>
      <c r="Q108" s="10" t="n"/>
      <c r="R108" s="10" t="inlineStr">
        <is>
          <t>{Che} estava na porta, dólmã branco, nos dois clarões.</t>
        </is>
      </c>
      <c r="S108" s="13" t="inlineStr">
        <is>
          <t>{Che} estava na porta, dólmã branco, nos dois clarões!</t>
        </is>
      </c>
      <c r="T108" s="13" t="inlineStr">
        <is>
          <t>{Che}… na porta. Dólmã branco. Nos dois clarões.</t>
        </is>
      </c>
      <c r="U108" s="13" t="inlineStr">
        <is>
          <t>{Che} estava na porta, dólmã branco, nos dois clarões, não estava?</t>
        </is>
      </c>
      <c r="V108" s="13" t="inlineStr">
        <is>
          <t>{Che} estava na porta, dólmã branco, nos dois clarões.</t>
        </is>
      </c>
      <c r="W108" s="13" t="inlineStr">
        <is>
          <t>Com essa chuva lá fora… {Che} estava na porta, dólmã branco, nos dois clarões.</t>
        </is>
      </c>
      <c r="X108" s="13" t="inlineStr">
        <is>
          <t>Consta: {che} na porta, dólmã branco, nos dois clarões.</t>
        </is>
      </c>
      <c r="Y108" s="10">
        <f>SUMPRODUCT(($H108:$Q108&lt;&gt;"")*ISERROR(SEARCH($H108:$Q108,S108)))+SUMPRODUCT(($H108:$Q108&lt;&gt;"")*ISERROR(SEARCH($H108:$Q108,T108)))+SUMPRODUCT(($H108:$Q108&lt;&gt;"")*ISERROR(SEARCH($H108:$Q108,U108)))+SUMPRODUCT(($H108:$Q108&lt;&gt;"")*ISERROR(SEARCH($H108:$Q108,V108)))+SUMPRODUCT(($H108:$Q108&lt;&gt;"")*ISERROR(SEARCH($H108:$Q108,W108)))+SUMPRODUCT(($H108:$Q108&lt;&gt;"")*ISERROR(SEARCH($H108:$Q108,X108)))</f>
        <v/>
      </c>
      <c r="Z108" s="10" t="inlineStr">
        <is>
          <t>Enquadre: &lt;i&gt;"…"&lt;/i&gt;, disse {obs}.</t>
        </is>
      </c>
    </row>
    <row r="109" ht="35.05" customHeight="1" s="8">
      <c r="A109" s="10" t="inlineStr">
        <is>
          <t>c6-p15-04</t>
        </is>
      </c>
      <c r="B109" s="10" t="n">
        <v>15</v>
      </c>
      <c r="C109" s="10" t="inlineStr">
        <is>
          <t>a cal no couro do policial</t>
        </is>
      </c>
      <c r="D109" s="10" t="inlineStr">
        <is>
          <t>roteiro</t>
        </is>
      </c>
      <c r="E109" s="10" t="inlineStr">
        <is>
          <t>governanta</t>
        </is>
      </c>
      <c r="F109" s="10" t="inlineStr">
        <is>
          <t>policial</t>
        </is>
      </c>
      <c r="G109" s="10" t="n"/>
      <c r="H109" s="10" t="inlineStr">
        <is>
          <t>cal</t>
        </is>
      </c>
      <c r="I109" s="10" t="inlineStr">
        <is>
          <t>couro</t>
        </is>
      </c>
      <c r="J109" s="10" t="inlineStr">
        <is>
          <t>senhor</t>
        </is>
      </c>
      <c r="K109" s="10" t="n"/>
      <c r="L109" s="10" t="n"/>
      <c r="M109" s="10" t="n"/>
      <c r="N109" s="10" t="n"/>
      <c r="O109" s="10" t="n"/>
      <c r="P109" s="10" t="n"/>
      <c r="Q109" s="10" t="n"/>
      <c r="R109" s="10" t="inlineStr">
        <is>
          <t>Tem cal no seu couro.</t>
        </is>
      </c>
      <c r="S109" s="13" t="inlineStr">
        <is>
          <t>Tem cal no seu couro!</t>
        </is>
      </c>
      <c r="T109" s="13" t="inlineStr">
        <is>
          <t>Tem cal… no seu couro.</t>
        </is>
      </c>
      <c r="U109" s="13" t="inlineStr">
        <is>
          <t>Tem cal no seu couro… não tem?</t>
        </is>
      </c>
      <c r="V109" s="13" t="inlineStr">
        <is>
          <t>Tem cal no seu couro.</t>
        </is>
      </c>
      <c r="W109" s="13" t="inlineStr">
        <is>
          <t>Que noite úmida… Tem cal no seu couro.</t>
        </is>
      </c>
      <c r="X109" s="13" t="inlineStr">
        <is>
          <t>Seu couro: cal.</t>
        </is>
      </c>
      <c r="Y109" s="10">
        <f>SUMPRODUCT(($H109:$Q109&lt;&gt;"")*ISERROR(SEARCH($H109:$Q109,S109)))+SUMPRODUCT(($H109:$Q109&lt;&gt;"")*ISERROR(SEARCH($H109:$Q109,T109)))+SUMPRODUCT(($H109:$Q109&lt;&gt;"")*ISERROR(SEARCH($H109:$Q109,U109)))+SUMPRODUCT(($H109:$Q109&lt;&gt;"")*ISERROR(SEARCH($H109:$Q109,V109)))+SUMPRODUCT(($H109:$Q109&lt;&gt;"")*ISERROR(SEARCH($H109:$Q109,W109)))+SUMPRODUCT(($H109:$Q109&lt;&gt;"")*ISERROR(SEARCH($H109:$Q109,X109)))</f>
        <v/>
      </c>
      <c r="Z109" s="10" t="inlineStr">
        <is>
          <t>Enquadre: &lt;i&gt;"…"&lt;/i&gt;, disse {gov} {a:pol}. Atenção: "do senhor" fixa o Policial como masculino, como no original.</t>
        </is>
      </c>
    </row>
    <row r="110" ht="46.25" customHeight="1" s="8">
      <c r="A110" s="10" t="inlineStr">
        <is>
          <t>c6-p15-05</t>
        </is>
      </c>
      <c r="B110" s="10" t="n">
        <v>15</v>
      </c>
      <c r="C110" s="10" t="inlineStr">
        <is>
          <t>quem estava onde: o residente pela copa</t>
        </is>
      </c>
      <c r="D110" s="10" t="inlineStr">
        <is>
          <t>roteiro</t>
        </is>
      </c>
      <c r="E110" s="10" t="inlineStr">
        <is>
          <t>governanta</t>
        </is>
      </c>
      <c r="F110" s="10" t="inlineStr">
        <is>
          <t>grupo</t>
        </is>
      </c>
      <c r="G110" s="10" t="n"/>
      <c r="H110" s="10" t="inlineStr">
        <is>
          <t>{res}</t>
        </is>
      </c>
      <c r="I110" s="10" t="inlineStr">
        <is>
          <t>falou comigo</t>
        </is>
      </c>
      <c r="J110" s="10" t="inlineStr">
        <is>
          <t>copa</t>
        </is>
      </c>
      <c r="K110" s="10" t="n"/>
      <c r="L110" s="10" t="n"/>
      <c r="M110" s="10" t="n"/>
      <c r="N110" s="10" t="n"/>
      <c r="O110" s="10" t="n"/>
      <c r="P110" s="10" t="n"/>
      <c r="Q110" s="10" t="n"/>
      <c r="R110" s="10" t="inlineStr">
        <is>
          <t>E {res} falou comigo pela copa.</t>
        </is>
      </c>
      <c r="S110" s="13" t="inlineStr">
        <is>
          <t>E {res} falou comigo pela copa!</t>
        </is>
      </c>
      <c r="T110" s="13" t="inlineStr">
        <is>
          <t>E {res}… falou comigo. Pela copa.</t>
        </is>
      </c>
      <c r="U110" s="13" t="inlineStr">
        <is>
          <t>E {res} falou comigo pela copa, eu lembro bem.</t>
        </is>
      </c>
      <c r="V110" s="13" t="inlineStr">
        <is>
          <t>E {res} falou comigo pela copa.</t>
        </is>
      </c>
      <c r="W110" s="13" t="inlineStr">
        <is>
          <t>E {res} falou comigo pela copa. A noite toda úmida desse jeito…</t>
        </is>
      </c>
      <c r="X110" s="13" t="inlineStr">
        <is>
          <t>Registre: {res} falou comigo pela copa.</t>
        </is>
      </c>
      <c r="Y110" s="10">
        <f>SUMPRODUCT(($H110:$Q110&lt;&gt;"")*ISERROR(SEARCH($H110:$Q110,S110)))+SUMPRODUCT(($H110:$Q110&lt;&gt;"")*ISERROR(SEARCH($H110:$Q110,T110)))+SUMPRODUCT(($H110:$Q110&lt;&gt;"")*ISERROR(SEARCH($H110:$Q110,U110)))+SUMPRODUCT(($H110:$Q110&lt;&gt;"")*ISERROR(SEARCH($H110:$Q110,V110)))+SUMPRODUCT(($H110:$Q110&lt;&gt;"")*ISERROR(SEARCH($H110:$Q110,W110)))+SUMPRODUCT(($H110:$Q110&lt;&gt;"")*ISERROR(SEARCH($H110:$Q110,X110)))</f>
        <v/>
      </c>
      <c r="Z110" s="10" t="inlineStr">
        <is>
          <t>Enquadre: (narração sem fala sobre {tab} na biblioteca e {adv} com {jor}) &lt;i&gt;"…"&lt;/i&gt;, disse {gov}. Segue narração sem fala (farol viu o oleado na varanda).</t>
        </is>
      </c>
    </row>
    <row r="111" ht="57.45" customHeight="1" s="8">
      <c r="A111" s="10" t="inlineStr">
        <is>
          <t>c6-p15-med</t>
        </is>
      </c>
      <c r="B111" s="10" t="n">
        <v>15</v>
      </c>
      <c r="C111" s="10" t="inlineStr">
        <is>
          <t>Cap. 6: quem estava onde (o Médico)</t>
        </is>
      </c>
      <c r="D111" s="10" t="inlineStr">
        <is>
          <t>roteiro</t>
        </is>
      </c>
      <c r="E111" s="10" t="inlineStr">
        <is>
          <t>medico</t>
        </is>
      </c>
      <c r="F111" s="10" t="inlineStr">
        <is>
          <t>grupo</t>
        </is>
      </c>
      <c r="G111" s="10" t="inlineStr">
        <is>
          <t>Médico na casa</t>
        </is>
      </c>
      <c r="H111" s="10" t="inlineStr">
        <is>
          <t>patamar</t>
        </is>
      </c>
      <c r="I111" s="10" t="inlineStr">
        <is>
          <t>{ele}</t>
        </is>
      </c>
      <c r="J111" s="10" t="inlineStr">
        <is>
          <t>conversando</t>
        </is>
      </c>
      <c r="K111" s="10" t="inlineStr">
        <is>
          <t>tempo todo</t>
        </is>
      </c>
      <c r="L111" s="10" t="n"/>
      <c r="M111" s="10" t="n"/>
      <c r="N111" s="10" t="n"/>
      <c r="O111" s="10" t="n"/>
      <c r="P111" s="10" t="n"/>
      <c r="Q111" s="10" t="n"/>
      <c r="R111" s="10" t="inlineStr">
        <is>
          <t>Fiquei no patamar com {ele}, conversando, o tempo todo.</t>
        </is>
      </c>
      <c r="S111" s="13" t="inlineStr">
        <is>
          <t>No patamar com {ele}, conversando, o tempo todo! De novo isso?</t>
        </is>
      </c>
      <c r="T111" s="13" t="inlineStr">
        <is>
          <t>Patamar. Com {ele}… conversando. O tempo todo.</t>
        </is>
      </c>
      <c r="U111" s="13" t="inlineStr">
        <is>
          <t>Fiquei no patamar com {ele}, conversando, o tempo todo… alguém mais lembra?</t>
        </is>
      </c>
      <c r="V111" s="13" t="inlineStr">
        <is>
          <t>Fiquei no patamar com {ele}, conversando, o tempo todo.</t>
        </is>
      </c>
      <c r="W111" s="13" t="inlineStr">
        <is>
          <t>A demora daquela luz… Fiquei no patamar com {ele}, conversando, o tempo todo.</t>
        </is>
      </c>
      <c r="X111" s="13" t="inlineStr">
        <is>
          <t>Ordem dos fatos: patamar, com {ele}, conversando, o tempo todo.</t>
        </is>
      </c>
      <c r="Y111" s="10">
        <f>SUMPRODUCT(($H111:$Q111&lt;&gt;"")*ISERROR(SEARCH($H111:$Q111,S111)))+SUMPRODUCT(($H111:$Q111&lt;&gt;"")*ISERROR(SEARCH($H111:$Q111,T111)))+SUMPRODUCT(($H111:$Q111&lt;&gt;"")*ISERROR(SEARCH($H111:$Q111,U111)))+SUMPRODUCT(($H111:$Q111&lt;&gt;"")*ISERROR(SEARCH($H111:$Q111,V111)))+SUMPRODUCT(($H111:$Q111&lt;&gt;"")*ISERROR(SEARCH($H111:$Q111,W111)))+SUMPRODUCT(($H111:$Q111&lt;&gt;"")*ISERROR(SEARCH($H111:$Q111,X111)))</f>
        <v/>
      </c>
      <c r="Z111" s="10" t="inlineStr">
        <is>
          <t>&lt;i&gt;"…"&lt;/i&gt;, disse {med}, e {ele} confirmou. Médico (02/10): 13º personagem, só com 12 humanos, então é sempre humano; os tipos servem ao narrador.</t>
        </is>
      </c>
    </row>
    <row r="112" ht="46.25" customHeight="1" s="8">
      <c r="A112" s="10" t="inlineStr">
        <is>
          <t>fim-p01-01</t>
        </is>
      </c>
      <c r="B112" s="10" t="n">
        <v>1</v>
      </c>
      <c r="C112" s="10" t="inlineStr">
        <is>
          <t>a revelação: o impostor diz que esteve com ele no fim</t>
        </is>
      </c>
      <c r="D112" s="10" t="inlineStr">
        <is>
          <t>roteiro</t>
        </is>
      </c>
      <c r="E112" s="10" t="inlineStr">
        <is>
          <t>residente</t>
        </is>
      </c>
      <c r="F112" s="10" t="inlineStr">
        <is>
          <t>grupo</t>
        </is>
      </c>
      <c r="G112" s="10" t="n"/>
      <c r="H112" s="10" t="inlineStr">
        <is>
          <t>toda semana</t>
        </is>
      </c>
      <c r="I112" s="10" t="inlineStr">
        <is>
          <t>até o fim</t>
        </is>
      </c>
      <c r="J112" s="10" t="n"/>
      <c r="K112" s="10" t="n"/>
      <c r="L112" s="10" t="n"/>
      <c r="M112" s="10" t="n"/>
      <c r="N112" s="10" t="n"/>
      <c r="O112" s="10" t="n"/>
      <c r="P112" s="10" t="n"/>
      <c r="Q112" s="10" t="n"/>
      <c r="R112" s="10" t="inlineStr">
        <is>
          <t>Eu vinha toda semana. Fiquei com ele até o fim.</t>
        </is>
      </c>
      <c r="S112" s="13" t="inlineStr">
        <is>
          <t>Eu vinha toda semana! Fiquei com ele até o fim.</t>
        </is>
      </c>
      <c r="T112" s="13" t="inlineStr">
        <is>
          <t>Eu vinha… toda semana. Fiquei com ele… até o fim.</t>
        </is>
      </c>
      <c r="U112" s="13" t="inlineStr">
        <is>
          <t>Eu vinha toda semana, sabe? Fiquei com ele até o fim… achei que todo mundo soubesse.</t>
        </is>
      </c>
      <c r="V112" s="13" t="inlineStr">
        <is>
          <t>Eu vinha toda semana. Fiquei com ele até o fim, e ficaria de novo.</t>
        </is>
      </c>
      <c r="W112" s="13" t="inlineStr">
        <is>
          <t>A estrada, a chuva, a demora… Eu vinha toda semana. Fiquei com ele até o fim.</t>
        </is>
      </c>
      <c r="X112" s="13" t="inlineStr">
        <is>
          <t>Consta: eu vinha toda semana. Fiquei com ele até o fim.</t>
        </is>
      </c>
      <c r="Y112" s="10">
        <f>SUMPRODUCT(($H112:$Q112&lt;&gt;"")*ISERROR(SEARCH($H112:$Q112,S112)))+SUMPRODUCT(($H112:$Q112&lt;&gt;"")*ISERROR(SEARCH($H112:$Q112,T112)))+SUMPRODUCT(($H112:$Q112&lt;&gt;"")*ISERROR(SEARCH($H112:$Q112,U112)))+SUMPRODUCT(($H112:$Q112&lt;&gt;"")*ISERROR(SEARCH($H112:$Q112,V112)))+SUMPRODUCT(($H112:$Q112&lt;&gt;"")*ISERROR(SEARCH($H112:$Q112,W112)))+SUMPRODUCT(($H112:$Q112&lt;&gt;"")*ISERROR(SEARCH($H112:$Q112,X112)))</f>
        <v/>
      </c>
      <c r="Z112" s="10" t="inlineStr">
        <is>
          <t>Dito em sis(220): &lt;i&gt;"…"&lt;/i&gt;, disse {imp}. A voz não tremeu. (o código tira o ponto final; manter a última frase sem ponto se possível)</t>
        </is>
      </c>
    </row>
    <row r="113" ht="46.25" customHeight="1" s="8">
      <c r="A113" s="10" t="inlineStr">
        <is>
          <t>fim-p02-01</t>
        </is>
      </c>
      <c r="B113" s="10" t="n">
        <v>2</v>
      </c>
      <c r="C113" s="10" t="inlineStr">
        <is>
          <t>a revelação: o impostor diz que esteve com ele no fim</t>
        </is>
      </c>
      <c r="D113" s="10" t="inlineStr">
        <is>
          <t>roteiro</t>
        </is>
      </c>
      <c r="E113" s="10" t="inlineStr">
        <is>
          <t>tabeliao</t>
        </is>
      </c>
      <c r="F113" s="10" t="inlineStr">
        <is>
          <t>grupo</t>
        </is>
      </c>
      <c r="G113" s="10" t="n"/>
      <c r="H113" s="10" t="inlineStr">
        <is>
          <t>esteve com ele no fim</t>
        </is>
      </c>
      <c r="I113" s="10" t="inlineStr">
        <is>
          <t>assinatura</t>
        </is>
      </c>
      <c r="J113" s="10" t="inlineStr">
        <is>
          <t>leito</t>
        </is>
      </c>
      <c r="K113" s="10" t="n"/>
      <c r="L113" s="10" t="n"/>
      <c r="M113" s="10" t="n"/>
      <c r="N113" s="10" t="n"/>
      <c r="O113" s="10" t="n"/>
      <c r="P113" s="10" t="n"/>
      <c r="Q113" s="10" t="n"/>
      <c r="R113" s="10" t="inlineStr">
        <is>
          <t>Fui eu quem esteve com ele no fim. Colhi a assinatura dele no leito.</t>
        </is>
      </c>
      <c r="S113" s="13" t="inlineStr">
        <is>
          <t>Fui eu quem esteve com ele no fim! Colhi a assinatura dele no leito, e ponto.</t>
        </is>
      </c>
      <c r="T113" s="13" t="inlineStr">
        <is>
          <t>Fui eu… quem esteve com ele no fim. A assinatura dele… colhi no leito.</t>
        </is>
      </c>
      <c r="U113" s="13" t="inlineStr">
        <is>
          <t>Fui eu quem esteve com ele no fim, não é? Colhi a assinatura dele no leito…</t>
        </is>
      </c>
      <c r="V113" s="13" t="inlineStr">
        <is>
          <t>Fui eu quem esteve com ele no fim. Colhi a assinatura dele no leito.</t>
        </is>
      </c>
      <c r="W113" s="13" t="inlineStr">
        <is>
          <t>Aquela estrada, aquela demora… Fui eu quem esteve com ele no fim. Colhi a assinatura dele no leito.</t>
        </is>
      </c>
      <c r="X113" s="13" t="inlineStr">
        <is>
          <t>Para a ata: fui eu quem esteve com ele no fim. Assinatura dele colhida no leito.</t>
        </is>
      </c>
      <c r="Y113" s="10">
        <f>SUMPRODUCT(($H113:$Q113&lt;&gt;"")*ISERROR(SEARCH($H113:$Q113,S113)))+SUMPRODUCT(($H113:$Q113&lt;&gt;"")*ISERROR(SEARCH($H113:$Q113,T113)))+SUMPRODUCT(($H113:$Q113&lt;&gt;"")*ISERROR(SEARCH($H113:$Q113,U113)))+SUMPRODUCT(($H113:$Q113&lt;&gt;"")*ISERROR(SEARCH($H113:$Q113,V113)))+SUMPRODUCT(($H113:$Q113&lt;&gt;"")*ISERROR(SEARCH($H113:$Q113,W113)))+SUMPRODUCT(($H113:$Q113&lt;&gt;"")*ISERROR(SEARCH($H113:$Q113,X113)))</f>
        <v/>
      </c>
      <c r="Z113" s="10" t="inlineStr">
        <is>
          <t xml:space="preserve">Dito em sis(220): &lt;i&gt;"…"&lt;/i&gt;, disse {imp}. A voz não tremeu. (o código tira o ponto final; manter a última frase sem ponto se possível) </t>
        </is>
      </c>
    </row>
    <row r="114" ht="46.25" customHeight="1" s="8">
      <c r="A114" s="10" t="inlineStr">
        <is>
          <t>fim-p04-01</t>
        </is>
      </c>
      <c r="B114" s="10" t="n">
        <v>4</v>
      </c>
      <c r="C114" s="10" t="inlineStr">
        <is>
          <t>a revelação: o impostor diz que esteve com ele no fim</t>
        </is>
      </c>
      <c r="D114" s="10" t="inlineStr">
        <is>
          <t>roteiro</t>
        </is>
      </c>
      <c r="E114" s="10" t="inlineStr">
        <is>
          <t>chefe_de_cozinha</t>
        </is>
      </c>
      <c r="F114" s="10" t="inlineStr">
        <is>
          <t>grupo</t>
        </is>
      </c>
      <c r="G114" s="10" t="n"/>
      <c r="H114" s="10" t="inlineStr">
        <is>
          <t>caldo</t>
        </is>
      </c>
      <c r="I114" s="10" t="inlineStr">
        <is>
          <t>último dia</t>
        </is>
      </c>
      <c r="J114" s="10" t="inlineStr">
        <is>
          <t>fui eu</t>
        </is>
      </c>
      <c r="K114" s="10" t="n"/>
      <c r="L114" s="10" t="n"/>
      <c r="M114" s="10" t="n"/>
      <c r="N114" s="10" t="n"/>
      <c r="O114" s="10" t="n"/>
      <c r="P114" s="10" t="n"/>
      <c r="Q114" s="10" t="n"/>
      <c r="R114" s="10" t="inlineStr">
        <is>
          <t>Fiz o caldo dele até o último dia. Fui eu.</t>
        </is>
      </c>
      <c r="S114" s="13" t="inlineStr">
        <is>
          <t>Fiz o caldo dele até o último dia! Fui eu!</t>
        </is>
      </c>
      <c r="T114" s="13" t="inlineStr">
        <is>
          <t>O caldo dele… até o último dia. Fui eu.</t>
        </is>
      </c>
      <c r="U114" s="13" t="inlineStr">
        <is>
          <t>Fiz o caldo dele até o último dia, sabe? Fui eu…</t>
        </is>
      </c>
      <c r="V114" s="13" t="inlineStr">
        <is>
          <t>O caldo dele, fiz até o último dia. Fui eu.</t>
        </is>
      </c>
      <c r="W114" s="13" t="inlineStr">
        <is>
          <t>Aquele frio de cozinha, aquela demora… Fiz o caldo dele até o último dia. Fui eu.</t>
        </is>
      </c>
      <c r="X114" s="13" t="inlineStr">
        <is>
          <t>Registre: fiz o caldo dele até o último dia. Fui eu.</t>
        </is>
      </c>
      <c r="Y114" s="10">
        <f>SUMPRODUCT(($H114:$Q114&lt;&gt;"")*ISERROR(SEARCH($H114:$Q114,S114)))+SUMPRODUCT(($H114:$Q114&lt;&gt;"")*ISERROR(SEARCH($H114:$Q114,T114)))+SUMPRODUCT(($H114:$Q114&lt;&gt;"")*ISERROR(SEARCH($H114:$Q114,U114)))+SUMPRODUCT(($H114:$Q114&lt;&gt;"")*ISERROR(SEARCH($H114:$Q114,V114)))+SUMPRODUCT(($H114:$Q114&lt;&gt;"")*ISERROR(SEARCH($H114:$Q114,W114)))+SUMPRODUCT(($H114:$Q114&lt;&gt;"")*ISERROR(SEARCH($H114:$Q114,X114)))</f>
        <v/>
      </c>
      <c r="Z114" s="10" t="inlineStr">
        <is>
          <t xml:space="preserve">Dito em sis(220): &lt;i&gt;"…"&lt;/i&gt;, disse {imp}. A voz não tremeu. (o código tira o ponto final; manter a última frase sem ponto se possível) </t>
        </is>
      </c>
    </row>
    <row r="115" ht="46.25" customHeight="1" s="8">
      <c r="A115" s="10" t="inlineStr">
        <is>
          <t>fim-p05-01</t>
        </is>
      </c>
      <c r="B115" s="10" t="n">
        <v>5</v>
      </c>
      <c r="C115" s="10" t="inlineStr">
        <is>
          <t>a revelação: o impostor diz que esteve com ele no fim</t>
        </is>
      </c>
      <c r="D115" s="10" t="inlineStr">
        <is>
          <t>roteiro</t>
        </is>
      </c>
      <c r="E115" s="10" t="inlineStr">
        <is>
          <t>advogado</t>
        </is>
      </c>
      <c r="F115" s="10" t="inlineStr">
        <is>
          <t>grupo</t>
        </is>
      </c>
      <c r="G115" s="10" t="n"/>
      <c r="H115" s="10" t="inlineStr">
        <is>
          <t>último domingo</t>
        </is>
      </c>
      <c r="I115" s="10" t="inlineStr">
        <is>
          <t>deu corda</t>
        </is>
      </c>
      <c r="J115" s="10" t="n"/>
      <c r="K115" s="10" t="n"/>
      <c r="L115" s="10" t="n"/>
      <c r="M115" s="10" t="n"/>
      <c r="N115" s="10" t="n"/>
      <c r="O115" s="10" t="n"/>
      <c r="P115" s="10" t="n"/>
      <c r="Q115" s="10" t="n"/>
      <c r="R115" s="10" t="inlineStr">
        <is>
          <t>Estive com ele no último domingo. Ele mesmo deu corda.</t>
        </is>
      </c>
      <c r="S115" s="13" t="inlineStr">
        <is>
          <t>Estive com ele no último domingo! Ele mesmo deu corda!</t>
        </is>
      </c>
      <c r="T115" s="13" t="inlineStr">
        <is>
          <t>Estive com ele… no último domingo. Ele mesmo… deu corda.</t>
        </is>
      </c>
      <c r="U115" s="13" t="inlineStr">
        <is>
          <t>Estive com ele no último domingo, não é? Ele mesmo deu corda…</t>
        </is>
      </c>
      <c r="V115" s="13" t="inlineStr">
        <is>
          <t>Estive com ele no último domingo. Ele mesmo deu corda.</t>
        </is>
      </c>
      <c r="W115" s="13" t="inlineStr">
        <is>
          <t>Que frio faz nesta sala… Estive com ele no último domingo. Ele mesmo deu corda.</t>
        </is>
      </c>
      <c r="X115" s="13" t="inlineStr">
        <is>
          <t>Último domingo: estive com ele. Ele mesmo deu corda.</t>
        </is>
      </c>
      <c r="Y115" s="10">
        <f>SUMPRODUCT(($H115:$Q115&lt;&gt;"")*ISERROR(SEARCH($H115:$Q115,S115)))+SUMPRODUCT(($H115:$Q115&lt;&gt;"")*ISERROR(SEARCH($H115:$Q115,T115)))+SUMPRODUCT(($H115:$Q115&lt;&gt;"")*ISERROR(SEARCH($H115:$Q115,U115)))+SUMPRODUCT(($H115:$Q115&lt;&gt;"")*ISERROR(SEARCH($H115:$Q115,V115)))+SUMPRODUCT(($H115:$Q115&lt;&gt;"")*ISERROR(SEARCH($H115:$Q115,W115)))+SUMPRODUCT(($H115:$Q115&lt;&gt;"")*ISERROR(SEARCH($H115:$Q115,X115)))</f>
        <v/>
      </c>
      <c r="Z115" s="10" t="inlineStr">
        <is>
          <t xml:space="preserve">Dito em sis(220): &lt;i&gt;"…"&lt;/i&gt;, disse {imp}. A voz não tremeu. (o código tira o ponto final; manter a última frase sem ponto se possível) </t>
        </is>
      </c>
    </row>
    <row r="116" ht="46.25" customHeight="1" s="8">
      <c r="A116" s="10" t="inlineStr">
        <is>
          <t>fim-p07-01</t>
        </is>
      </c>
      <c r="B116" s="10" t="n">
        <v>7</v>
      </c>
      <c r="C116" s="10" t="inlineStr">
        <is>
          <t>a revelação: o impostor diz que esteve com ele no fim</t>
        </is>
      </c>
      <c r="D116" s="10" t="inlineStr">
        <is>
          <t>roteiro</t>
        </is>
      </c>
      <c r="E116" s="10" t="inlineStr">
        <is>
          <t>governanta</t>
        </is>
      </c>
      <c r="F116" s="10" t="inlineStr">
        <is>
          <t>grupo</t>
        </is>
      </c>
      <c r="G116" s="10" t="n"/>
      <c r="H116" s="10" t="inlineStr">
        <is>
          <t>servi</t>
        </is>
      </c>
      <c r="I116" s="10" t="inlineStr">
        <is>
          <t>último café</t>
        </is>
      </c>
      <c r="J116" s="10" t="inlineStr">
        <is>
          <t>até o fim</t>
        </is>
      </c>
      <c r="K116" s="10" t="n"/>
      <c r="L116" s="10" t="n"/>
      <c r="M116" s="10" t="n"/>
      <c r="N116" s="10" t="n"/>
      <c r="O116" s="10" t="n"/>
      <c r="P116" s="10" t="n"/>
      <c r="Q116" s="10" t="n"/>
      <c r="R116" s="10" t="inlineStr">
        <is>
          <t>Eu servi o último café dele. Fiquei até o fim.</t>
        </is>
      </c>
      <c r="S116" s="13" t="inlineStr">
        <is>
          <t>Eu servi o último café dele! Fiquei até o fim!</t>
        </is>
      </c>
      <c r="T116" s="13" t="inlineStr">
        <is>
          <t>Eu servi… o último café dele. Fiquei até o fim.</t>
        </is>
      </c>
      <c r="U116" s="13" t="inlineStr">
        <is>
          <t>Eu servi o último café dele, sabe? Fiquei até o fim…</t>
        </is>
      </c>
      <c r="V116" s="13" t="inlineStr">
        <is>
          <t>Eu servi o último café dele. Fiquei até o fim, ao lado dele.</t>
        </is>
      </c>
      <c r="W116" s="13" t="inlineStr">
        <is>
          <t>Aquele frio, aquela chuva… Eu servi o último café dele. Fiquei até o fim.</t>
        </is>
      </c>
      <c r="X116" s="13" t="inlineStr">
        <is>
          <t>Registre: eu servi o último café dele. Fiquei até o fim.</t>
        </is>
      </c>
      <c r="Y116" s="10">
        <f>SUMPRODUCT(($H116:$Q116&lt;&gt;"")*ISERROR(SEARCH($H116:$Q116,S116)))+SUMPRODUCT(($H116:$Q116&lt;&gt;"")*ISERROR(SEARCH($H116:$Q116,T116)))+SUMPRODUCT(($H116:$Q116&lt;&gt;"")*ISERROR(SEARCH($H116:$Q116,U116)))+SUMPRODUCT(($H116:$Q116&lt;&gt;"")*ISERROR(SEARCH($H116:$Q116,V116)))+SUMPRODUCT(($H116:$Q116&lt;&gt;"")*ISERROR(SEARCH($H116:$Q116,W116)))+SUMPRODUCT(($H116:$Q116&lt;&gt;"")*ISERROR(SEARCH($H116:$Q116,X116)))</f>
        <v/>
      </c>
      <c r="Z116" s="10" t="inlineStr">
        <is>
          <t xml:space="preserve">Dito em sis(220): &lt;i&gt;"…"&lt;/i&gt;, disse {imp}. A voz não tremeu. (o código tira o ponto final; manter a última frase sem ponto se possível) </t>
        </is>
      </c>
    </row>
    <row r="117" ht="46.25" customHeight="1" s="8">
      <c r="A117" s="10" t="inlineStr">
        <is>
          <t>fim-p08-01</t>
        </is>
      </c>
      <c r="B117" s="10" t="n">
        <v>8</v>
      </c>
      <c r="C117" s="10" t="inlineStr">
        <is>
          <t>a revelação: o impostor diz que esteve com ele no fim</t>
        </is>
      </c>
      <c r="D117" s="10" t="inlineStr">
        <is>
          <t>roteiro</t>
        </is>
      </c>
      <c r="E117" s="10" t="inlineStr">
        <is>
          <t>eletricista</t>
        </is>
      </c>
      <c r="F117" s="10" t="inlineStr">
        <is>
          <t>grupo</t>
        </is>
      </c>
      <c r="G117" s="10" t="n"/>
      <c r="H117" s="10" t="inlineStr">
        <is>
          <t>última semana</t>
        </is>
      </c>
      <c r="I117" s="10" t="inlineStr">
        <is>
          <t>fiquei com ele</t>
        </is>
      </c>
      <c r="J117" s="10" t="n"/>
      <c r="K117" s="10" t="n"/>
      <c r="L117" s="10" t="n"/>
      <c r="M117" s="10" t="n"/>
      <c r="N117" s="10" t="n"/>
      <c r="O117" s="10" t="n"/>
      <c r="P117" s="10" t="n"/>
      <c r="Q117" s="10" t="n"/>
      <c r="R117" s="10" t="inlineStr">
        <is>
          <t>Vim na última semana dele. Fiquei com ele.</t>
        </is>
      </c>
      <c r="S117" s="13" t="inlineStr">
        <is>
          <t>Vim na última semana dele! Fiquei com ele!</t>
        </is>
      </c>
      <c r="T117" s="13" t="inlineStr">
        <is>
          <t>Vim… na última semana dele. Fiquei com ele.</t>
        </is>
      </c>
      <c r="U117" s="13" t="inlineStr">
        <is>
          <t>Vim na última semana dele, não é? Fiquei com ele…</t>
        </is>
      </c>
      <c r="V117" s="13" t="inlineStr">
        <is>
          <t>Vim na última semana dele. Fiquei com ele.</t>
        </is>
      </c>
      <c r="W117" s="13" t="inlineStr">
        <is>
          <t>Esse cansaço… Vim na última semana dele. Fiquei com ele.</t>
        </is>
      </c>
      <c r="X117" s="13" t="inlineStr">
        <is>
          <t>Última semana dele: vim. Fiquei com ele.</t>
        </is>
      </c>
      <c r="Y117" s="10">
        <f>SUMPRODUCT(($H117:$Q117&lt;&gt;"")*ISERROR(SEARCH($H117:$Q117,S117)))+SUMPRODUCT(($H117:$Q117&lt;&gt;"")*ISERROR(SEARCH($H117:$Q117,T117)))+SUMPRODUCT(($H117:$Q117&lt;&gt;"")*ISERROR(SEARCH($H117:$Q117,U117)))+SUMPRODUCT(($H117:$Q117&lt;&gt;"")*ISERROR(SEARCH($H117:$Q117,V117)))+SUMPRODUCT(($H117:$Q117&lt;&gt;"")*ISERROR(SEARCH($H117:$Q117,W117)))+SUMPRODUCT(($H117:$Q117&lt;&gt;"")*ISERROR(SEARCH($H117:$Q117,X117)))</f>
        <v/>
      </c>
      <c r="Z117" s="10" t="inlineStr">
        <is>
          <t xml:space="preserve">Dito em sis(220): &lt;i&gt;"…"&lt;/i&gt;, disse {imp}. A voz não tremeu. (o código tira o ponto final; manter a última frase sem ponto se possível) </t>
        </is>
      </c>
    </row>
    <row r="118" ht="46.25" customHeight="1" s="8">
      <c r="A118" s="10" t="inlineStr">
        <is>
          <t>fim-p09-01</t>
        </is>
      </c>
      <c r="B118" s="10" t="n">
        <v>9</v>
      </c>
      <c r="C118" s="10" t="inlineStr">
        <is>
          <t>a revelação: o impostor diz que esteve com ele no fim</t>
        </is>
      </c>
      <c r="D118" s="10" t="inlineStr">
        <is>
          <t>roteiro</t>
        </is>
      </c>
      <c r="E118" s="10" t="inlineStr">
        <is>
          <t>jornalista</t>
        </is>
      </c>
      <c r="F118" s="10" t="inlineStr">
        <is>
          <t>grupo</t>
        </is>
      </c>
      <c r="G118" s="10" t="n"/>
      <c r="H118" s="10" t="inlineStr">
        <is>
          <t>entrevistei</t>
        </is>
      </c>
      <c r="I118" s="10" t="inlineStr">
        <is>
          <t>última semana</t>
        </is>
      </c>
      <c r="J118" s="10" t="inlineStr">
        <is>
          <t>no fim</t>
        </is>
      </c>
      <c r="K118" s="10" t="n"/>
      <c r="L118" s="10" t="n"/>
      <c r="M118" s="10" t="n"/>
      <c r="N118" s="10" t="n"/>
      <c r="O118" s="10" t="n"/>
      <c r="P118" s="10" t="n"/>
      <c r="Q118" s="10" t="n"/>
      <c r="R118" s="10" t="inlineStr">
        <is>
          <t>Eu o entrevistei na última semana. Estive com ele no fim.</t>
        </is>
      </c>
      <c r="S118" s="13" t="inlineStr">
        <is>
          <t>Eu o entrevistei na última semana! Estive com ele no fim!</t>
        </is>
      </c>
      <c r="T118" s="13" t="inlineStr">
        <is>
          <t>Eu o entrevistei… na última semana. Estive com ele… no fim.</t>
        </is>
      </c>
      <c r="U118" s="13" t="inlineStr">
        <is>
          <t>Eu o entrevistei na última semana, sabe? Estive com ele no fim…</t>
        </is>
      </c>
      <c r="V118" s="13" t="inlineStr">
        <is>
          <t>Eu o entrevistei na última semana. Estive com ele no fim.</t>
        </is>
      </c>
      <c r="W118" s="13" t="inlineStr">
        <is>
          <t>Aquela estrada, aquela chuva… Eu o entrevistei na última semana. Estive com ele no fim.</t>
        </is>
      </c>
      <c r="X118" s="13" t="inlineStr">
        <is>
          <t>Última semana: eu o entrevistei. Estive com ele no fim.</t>
        </is>
      </c>
      <c r="Y118" s="10">
        <f>SUMPRODUCT(($H118:$Q118&lt;&gt;"")*ISERROR(SEARCH($H118:$Q118,S118)))+SUMPRODUCT(($H118:$Q118&lt;&gt;"")*ISERROR(SEARCH($H118:$Q118,T118)))+SUMPRODUCT(($H118:$Q118&lt;&gt;"")*ISERROR(SEARCH($H118:$Q118,U118)))+SUMPRODUCT(($H118:$Q118&lt;&gt;"")*ISERROR(SEARCH($H118:$Q118,V118)))+SUMPRODUCT(($H118:$Q118&lt;&gt;"")*ISERROR(SEARCH($H118:$Q118,W118)))+SUMPRODUCT(($H118:$Q118&lt;&gt;"")*ISERROR(SEARCH($H118:$Q118,X118)))</f>
        <v/>
      </c>
      <c r="Z118" s="10" t="inlineStr">
        <is>
          <t xml:space="preserve">Dito em sis(220): &lt;i&gt;"…"&lt;/i&gt;, disse {imp}. A voz não tremeu. (o código tira o ponto final; manter a última frase sem ponto se possível) </t>
        </is>
      </c>
    </row>
    <row r="119" ht="46.25" customHeight="1" s="8">
      <c r="A119" s="10" t="inlineStr">
        <is>
          <t>fim-p10-01</t>
        </is>
      </c>
      <c r="B119" s="10" t="n">
        <v>10</v>
      </c>
      <c r="C119" s="10" t="inlineStr">
        <is>
          <t>a revelação: o impostor diz que esteve com ele no fim</t>
        </is>
      </c>
      <c r="D119" s="10" t="inlineStr">
        <is>
          <t>roteiro</t>
        </is>
      </c>
      <c r="E119" s="10" t="inlineStr">
        <is>
          <t>jardineiro</t>
        </is>
      </c>
      <c r="F119" s="10" t="inlineStr">
        <is>
          <t>grupo</t>
        </is>
      </c>
      <c r="G119" s="10" t="n"/>
      <c r="H119" s="10" t="inlineStr">
        <is>
          <t>plantei o jasmim</t>
        </is>
      </c>
      <c r="I119" s="10" t="inlineStr">
        <is>
          <t>no fim</t>
        </is>
      </c>
      <c r="J119" s="10" t="inlineStr">
        <is>
          <t>fiquei com ele</t>
        </is>
      </c>
      <c r="K119" s="10" t="n"/>
      <c r="L119" s="10" t="n"/>
      <c r="M119" s="10" t="n"/>
      <c r="N119" s="10" t="n"/>
      <c r="O119" s="10" t="n"/>
      <c r="P119" s="10" t="n"/>
      <c r="Q119" s="10" t="n"/>
      <c r="R119" s="10" t="inlineStr">
        <is>
          <t>Plantei o jasmim para ele no fim. Fiquei com ele.</t>
        </is>
      </c>
      <c r="S119" s="13" t="inlineStr">
        <is>
          <t>Plantei o jasmim para ele no fim! Fiquei com ele!</t>
        </is>
      </c>
      <c r="T119" s="13" t="inlineStr">
        <is>
          <t>Plantei o jasmim… para ele. No fim. Fiquei com ele.</t>
        </is>
      </c>
      <c r="U119" s="13" t="inlineStr">
        <is>
          <t>Plantei o jasmim para ele no fim, sabe? Fiquei com ele…</t>
        </is>
      </c>
      <c r="V119" s="13" t="inlineStr">
        <is>
          <t>Plantei o jasmim para ele no fim. Fiquei com ele.</t>
        </is>
      </c>
      <c r="W119" s="13" t="inlineStr">
        <is>
          <t>Aquela umidade, aquele frio… Plantei o jasmim para ele no fim. Fiquei com ele.</t>
        </is>
      </c>
      <c r="X119" s="13" t="inlineStr">
        <is>
          <t>Declaro: plantei o jasmim para ele no fim. Fiquei com ele.</t>
        </is>
      </c>
      <c r="Y119" s="10">
        <f>SUMPRODUCT(($H119:$Q119&lt;&gt;"")*ISERROR(SEARCH($H119:$Q119,S119)))+SUMPRODUCT(($H119:$Q119&lt;&gt;"")*ISERROR(SEARCH($H119:$Q119,T119)))+SUMPRODUCT(($H119:$Q119&lt;&gt;"")*ISERROR(SEARCH($H119:$Q119,U119)))+SUMPRODUCT(($H119:$Q119&lt;&gt;"")*ISERROR(SEARCH($H119:$Q119,V119)))+SUMPRODUCT(($H119:$Q119&lt;&gt;"")*ISERROR(SEARCH($H119:$Q119,W119)))+SUMPRODUCT(($H119:$Q119&lt;&gt;"")*ISERROR(SEARCH($H119:$Q119,X119)))</f>
        <v/>
      </c>
      <c r="Z119" s="10" t="inlineStr">
        <is>
          <t xml:space="preserve">Dito em sis(220): &lt;i&gt;"…"&lt;/i&gt;, disse {imp}. A voz não tremeu. (o código tira o ponto final; manter a última frase sem ponto se possível) </t>
        </is>
      </c>
    </row>
    <row r="120" ht="46.25" customHeight="1" s="8">
      <c r="A120" s="10" t="inlineStr">
        <is>
          <t>fim-p12-01</t>
        </is>
      </c>
      <c r="B120" s="10" t="n">
        <v>12</v>
      </c>
      <c r="C120" s="10" t="inlineStr">
        <is>
          <t>a revelação: o impostor diz que esteve com ele no fim</t>
        </is>
      </c>
      <c r="D120" s="10" t="inlineStr">
        <is>
          <t>roteiro</t>
        </is>
      </c>
      <c r="E120" s="10" t="inlineStr">
        <is>
          <t>observadora</t>
        </is>
      </c>
      <c r="F120" s="10" t="inlineStr">
        <is>
          <t>grupo</t>
        </is>
      </c>
      <c r="G120" s="10" t="n"/>
      <c r="H120" s="10" t="inlineStr">
        <is>
          <t>fui eu</t>
        </is>
      </c>
      <c r="I120" s="10" t="inlineStr">
        <is>
          <t>estive com ele</t>
        </is>
      </c>
      <c r="J120" s="10" t="inlineStr">
        <is>
          <t>até o fim</t>
        </is>
      </c>
      <c r="K120" s="10" t="n"/>
      <c r="L120" s="10" t="n"/>
      <c r="M120" s="10" t="n"/>
      <c r="N120" s="10" t="n"/>
      <c r="O120" s="10" t="n"/>
      <c r="P120" s="10" t="n"/>
      <c r="Q120" s="10" t="n"/>
      <c r="R120" s="10" t="inlineStr">
        <is>
          <t>Fui eu. Eu estive com ele até o fim.</t>
        </is>
      </c>
      <c r="S120" s="13" t="inlineStr">
        <is>
          <t>Fui eu! Eu estive com ele até o fim!</t>
        </is>
      </c>
      <c r="T120" s="13" t="inlineStr">
        <is>
          <t>Fui eu… Eu estive com ele. Até o fim.</t>
        </is>
      </c>
      <c r="U120" s="13" t="inlineStr">
        <is>
          <t>Fui eu… Eu estive com ele até o fim, sabe?</t>
        </is>
      </c>
      <c r="V120" s="13" t="inlineStr">
        <is>
          <t>Fui eu. Eu estive com ele até o fim.</t>
        </is>
      </c>
      <c r="W120" s="13" t="inlineStr">
        <is>
          <t>Aquela estrada, aquele frio… Fui eu. Eu estive com ele até o fim.</t>
        </is>
      </c>
      <c r="X120" s="13" t="inlineStr">
        <is>
          <t>Consta: fui eu. Eu estive com ele até o fim.</t>
        </is>
      </c>
      <c r="Y120" s="10">
        <f>SUMPRODUCT(($H120:$Q120&lt;&gt;"")*ISERROR(SEARCH($H120:$Q120,S120)))+SUMPRODUCT(($H120:$Q120&lt;&gt;"")*ISERROR(SEARCH($H120:$Q120,T120)))+SUMPRODUCT(($H120:$Q120&lt;&gt;"")*ISERROR(SEARCH($H120:$Q120,U120)))+SUMPRODUCT(($H120:$Q120&lt;&gt;"")*ISERROR(SEARCH($H120:$Q120,V120)))+SUMPRODUCT(($H120:$Q120&lt;&gt;"")*ISERROR(SEARCH($H120:$Q120,W120)))+SUMPRODUCT(($H120:$Q120&lt;&gt;"")*ISERROR(SEARCH($H120:$Q120,X120)))</f>
        <v/>
      </c>
      <c r="Z120" s="10" t="inlineStr">
        <is>
          <t xml:space="preserve">Dito em sis(220): &lt;i&gt;"…"&lt;/i&gt;, disse {imp}. A voz não tremeu. (o código tira o ponto final; manter a última frase sem ponto se possível) </t>
        </is>
      </c>
    </row>
    <row r="121" ht="46.25" customHeight="1" s="8">
      <c r="A121" s="10" t="inlineStr">
        <is>
          <t>fim-p13-01</t>
        </is>
      </c>
      <c r="B121" s="10" t="n">
        <v>13</v>
      </c>
      <c r="C121" s="10" t="inlineStr">
        <is>
          <t>a revelação: o impostor diz que esteve com ele no fim</t>
        </is>
      </c>
      <c r="D121" s="10" t="inlineStr">
        <is>
          <t>roteiro</t>
        </is>
      </c>
      <c r="E121" s="10" t="inlineStr">
        <is>
          <t>investigador</t>
        </is>
      </c>
      <c r="F121" s="10" t="inlineStr">
        <is>
          <t>grupo</t>
        </is>
      </c>
      <c r="G121" s="10" t="n"/>
      <c r="H121" s="10" t="inlineStr">
        <is>
          <t>três semanas antes</t>
        </is>
      </c>
      <c r="I121" s="10" t="inlineStr">
        <is>
          <t>voltei no último dia</t>
        </is>
      </c>
      <c r="J121" s="10" t="n"/>
      <c r="K121" s="10" t="n"/>
      <c r="L121" s="10" t="n"/>
      <c r="M121" s="10" t="n"/>
      <c r="N121" s="10" t="n"/>
      <c r="O121" s="10" t="n"/>
      <c r="P121" s="10" t="n"/>
      <c r="Q121" s="10" t="n"/>
      <c r="R121" s="10" t="inlineStr">
        <is>
          <t>Estive aqui três semanas antes. E voltei no último dia.</t>
        </is>
      </c>
      <c r="S121" s="13" t="inlineStr">
        <is>
          <t>Estive aqui três semanas antes! E voltei no último dia!</t>
        </is>
      </c>
      <c r="T121" s="13" t="inlineStr">
        <is>
          <t>Estive aqui… três semanas antes. E voltei no último dia.</t>
        </is>
      </c>
      <c r="U121" s="13" t="inlineStr">
        <is>
          <t>Estive aqui três semanas antes, não é? E voltei no último dia…</t>
        </is>
      </c>
      <c r="V121" s="13" t="inlineStr">
        <is>
          <t>Estive aqui três semanas antes. E voltei no último dia.</t>
        </is>
      </c>
      <c r="W121" s="13" t="inlineStr">
        <is>
          <t>Aquela estrada, aquela demora… Estive aqui três semanas antes. E voltei no último dia.</t>
        </is>
      </c>
      <c r="X121" s="13" t="inlineStr">
        <is>
          <t>Três semanas antes: estive aqui. E voltei no último dia.</t>
        </is>
      </c>
      <c r="Y121" s="10">
        <f>SUMPRODUCT(($H121:$Q121&lt;&gt;"")*ISERROR(SEARCH($H121:$Q121,S121)))+SUMPRODUCT(($H121:$Q121&lt;&gt;"")*ISERROR(SEARCH($H121:$Q121,T121)))+SUMPRODUCT(($H121:$Q121&lt;&gt;"")*ISERROR(SEARCH($H121:$Q121,U121)))+SUMPRODUCT(($H121:$Q121&lt;&gt;"")*ISERROR(SEARCH($H121:$Q121,V121)))+SUMPRODUCT(($H121:$Q121&lt;&gt;"")*ISERROR(SEARCH($H121:$Q121,W121)))+SUMPRODUCT(($H121:$Q121&lt;&gt;"")*ISERROR(SEARCH($H121:$Q121,X121)))</f>
        <v/>
      </c>
      <c r="Z121" s="10" t="inlineStr">
        <is>
          <t xml:space="preserve">Dito em sis(220): &lt;i&gt;"…"&lt;/i&gt;, disse {imp}. A voz não tremeu. (o código tira o ponto final; manter a última frase sem ponto se possível) </t>
        </is>
      </c>
    </row>
    <row r="122" ht="46.25" customHeight="1" s="8">
      <c r="A122" s="10" t="inlineStr">
        <is>
          <t>fim-p14-01</t>
        </is>
      </c>
      <c r="B122" s="10" t="n">
        <v>14</v>
      </c>
      <c r="C122" s="10" t="inlineStr">
        <is>
          <t>a revelação: o impostor diz que esteve com ele no fim</t>
        </is>
      </c>
      <c r="D122" s="10" t="inlineStr">
        <is>
          <t>roteiro</t>
        </is>
      </c>
      <c r="E122" s="10" t="inlineStr">
        <is>
          <t>herdeira</t>
        </is>
      </c>
      <c r="F122" s="10" t="inlineStr">
        <is>
          <t>grupo</t>
        </is>
      </c>
      <c r="G122" s="10" t="n"/>
      <c r="H122" s="10" t="inlineStr">
        <is>
          <t>vinha à noite</t>
        </is>
      </c>
      <c r="I122" s="10" t="inlineStr">
        <is>
          <t>fechar tudo</t>
        </is>
      </c>
      <c r="J122" s="10" t="n"/>
      <c r="K122" s="10" t="n"/>
      <c r="L122" s="10" t="n"/>
      <c r="M122" s="10" t="n"/>
      <c r="N122" s="10" t="n"/>
      <c r="O122" s="10" t="n"/>
      <c r="P122" s="10" t="n"/>
      <c r="Q122" s="10" t="n"/>
      <c r="R122" s="10" t="inlineStr">
        <is>
          <t>Eu vinha à noite. Ele me pedia para fechar tudo.</t>
        </is>
      </c>
      <c r="S122" s="13" t="inlineStr">
        <is>
          <t>Eu vinha à noite! Ele me pedia para fechar tudo!</t>
        </is>
      </c>
      <c r="T122" s="13" t="inlineStr">
        <is>
          <t>Eu vinha à noite… Ele me pedia… para fechar tudo.</t>
        </is>
      </c>
      <c r="U122" s="13" t="inlineStr">
        <is>
          <t>Eu vinha à noite, sabe? Ele me pedia para fechar tudo…</t>
        </is>
      </c>
      <c r="V122" s="13" t="inlineStr">
        <is>
          <t>Eu vinha à noite. Ele me pedia para fechar tudo.</t>
        </is>
      </c>
      <c r="W122" s="13" t="inlineStr">
        <is>
          <t>Aquela estrada, aquele frio… Eu vinha à noite. Ele me pedia para fechar tudo.</t>
        </is>
      </c>
      <c r="X122" s="13" t="inlineStr">
        <is>
          <t>Consta: eu vinha à noite. Ele me pedia para fechar tudo.</t>
        </is>
      </c>
      <c r="Y122" s="10">
        <f>SUMPRODUCT(($H122:$Q122&lt;&gt;"")*ISERROR(SEARCH($H122:$Q122,S122)))+SUMPRODUCT(($H122:$Q122&lt;&gt;"")*ISERROR(SEARCH($H122:$Q122,T122)))+SUMPRODUCT(($H122:$Q122&lt;&gt;"")*ISERROR(SEARCH($H122:$Q122,U122)))+SUMPRODUCT(($H122:$Q122&lt;&gt;"")*ISERROR(SEARCH($H122:$Q122,V122)))+SUMPRODUCT(($H122:$Q122&lt;&gt;"")*ISERROR(SEARCH($H122:$Q122,W122)))+SUMPRODUCT(($H122:$Q122&lt;&gt;"")*ISERROR(SEARCH($H122:$Q122,X122)))</f>
        <v/>
      </c>
      <c r="Z122" s="10" t="inlineStr">
        <is>
          <t xml:space="preserve">Dito em sis(220): &lt;i&gt;"…"&lt;/i&gt;, disse {imp}. A voz não tremeu. (o código tira o ponto final; manter a última frase sem ponto se possível) </t>
        </is>
      </c>
    </row>
    <row r="123" ht="46.25" customHeight="1" s="8">
      <c r="A123" s="10" t="inlineStr">
        <is>
          <t>fim-p15-01</t>
        </is>
      </c>
      <c r="B123" s="10" t="n">
        <v>15</v>
      </c>
      <c r="C123" s="10" t="inlineStr">
        <is>
          <t>a revelação: o impostor diz que esteve com ele no fim</t>
        </is>
      </c>
      <c r="D123" s="10" t="inlineStr">
        <is>
          <t>roteiro</t>
        </is>
      </c>
      <c r="E123" s="10" t="inlineStr">
        <is>
          <t>policial</t>
        </is>
      </c>
      <c r="F123" s="10" t="inlineStr">
        <is>
          <t>grupo</t>
        </is>
      </c>
      <c r="G123" s="10" t="n"/>
      <c r="H123" s="10" t="inlineStr">
        <is>
          <t>última noite</t>
        </is>
      </c>
      <c r="I123" s="10" t="inlineStr">
        <is>
          <t>lia na biblioteca</t>
        </is>
      </c>
      <c r="J123" s="10" t="n"/>
      <c r="K123" s="10" t="n"/>
      <c r="L123" s="10" t="n"/>
      <c r="M123" s="10" t="n"/>
      <c r="N123" s="10" t="n"/>
      <c r="O123" s="10" t="n"/>
      <c r="P123" s="10" t="n"/>
      <c r="Q123" s="10" t="n"/>
      <c r="R123" s="10" t="inlineStr">
        <is>
          <t>Estive com ele na última noite. Ele lia na biblioteca.</t>
        </is>
      </c>
      <c r="S123" s="13" t="inlineStr">
        <is>
          <t>Estive com ele na última noite! Ele lia na biblioteca!</t>
        </is>
      </c>
      <c r="T123" s="13" t="inlineStr">
        <is>
          <t>Estive com ele… na última noite. Ele lia na biblioteca.</t>
        </is>
      </c>
      <c r="U123" s="13" t="inlineStr">
        <is>
          <t>Estive com ele na última noite, não é? Ele lia na biblioteca…</t>
        </is>
      </c>
      <c r="V123" s="13" t="inlineStr">
        <is>
          <t>Estive com ele na última noite. Ele lia na biblioteca.</t>
        </is>
      </c>
      <c r="W123" s="13" t="inlineStr">
        <is>
          <t>Aquela estrada, aquela chuva… Estive com ele na última noite. Ele lia na biblioteca.</t>
        </is>
      </c>
      <c r="X123" s="13" t="inlineStr">
        <is>
          <t>Para a ata: estive com ele na última noite. Ele lia na biblioteca.</t>
        </is>
      </c>
      <c r="Y123" s="10">
        <f>SUMPRODUCT(($H123:$Q123&lt;&gt;"")*ISERROR(SEARCH($H123:$Q123,S123)))+SUMPRODUCT(($H123:$Q123&lt;&gt;"")*ISERROR(SEARCH($H123:$Q123,T123)))+SUMPRODUCT(($H123:$Q123&lt;&gt;"")*ISERROR(SEARCH($H123:$Q123,U123)))+SUMPRODUCT(($H123:$Q123&lt;&gt;"")*ISERROR(SEARCH($H123:$Q123,V123)))+SUMPRODUCT(($H123:$Q123&lt;&gt;"")*ISERROR(SEARCH($H123:$Q123,W123)))+SUMPRODUCT(($H123:$Q123&lt;&gt;"")*ISERROR(SEARCH($H123:$Q123,X123)))</f>
        <v/>
      </c>
      <c r="Z123" s="10" t="inlineStr">
        <is>
          <t xml:space="preserve">Dito em sis(220): &lt;i&gt;"…"&lt;/i&gt;, disse {imp}. A voz não tremeu. (o código tira o ponto final; manter a última frase sem ponto se possível) </t>
        </is>
      </c>
    </row>
    <row r="124" ht="23.85" customHeight="1" s="8">
      <c r="A124" s="10" t="inlineStr">
        <is>
          <t>c6-p11-01</t>
        </is>
      </c>
      <c r="B124" s="10" t="n">
        <v>11</v>
      </c>
      <c r="C124" s="10" t="inlineStr">
        <is>
          <t>Cap. 6: quem estava onde</t>
        </is>
      </c>
      <c r="D124" s="10" t="inlineStr">
        <is>
          <t>roteiro</t>
        </is>
      </c>
      <c r="E124" s="10" t="inlineStr">
        <is>
          <t>investigador</t>
        </is>
      </c>
      <c r="F124" s="10" t="inlineStr">
        <is>
          <t>grupo</t>
        </is>
      </c>
      <c r="G124" s="10" t="n"/>
      <c r="H124" s="10" t="inlineStr">
        <is>
          <t>contei os clarões</t>
        </is>
      </c>
      <c r="I124" s="10" t="inlineStr">
        <is>
          <t>voz alta</t>
        </is>
      </c>
      <c r="J124" s="10" t="inlineStr">
        <is>
          <t>seis</t>
        </is>
      </c>
      <c r="K124" s="10" t="inlineStr">
        <is>
          <t>batem com o farol</t>
        </is>
      </c>
      <c r="L124" s="10" t="n"/>
      <c r="M124" s="10" t="n"/>
      <c r="N124" s="10" t="n"/>
      <c r="O124" s="10" t="n"/>
      <c r="P124" s="10" t="n"/>
      <c r="Q124" s="10" t="n"/>
      <c r="R124" s="10" t="inlineStr">
        <is>
          <t>Contei os clarões em voz alta. Seis. Batem com o farol.</t>
        </is>
      </c>
      <c r="S124" s="13" t="inlineStr">
        <is>
          <t>Contei os clarões em voz alta! Seis. Batem com o farol.</t>
        </is>
      </c>
      <c r="T124" s="13" t="inlineStr">
        <is>
          <t>Contei os clarões… em voz alta. Seis. Batem com o farol.</t>
        </is>
      </c>
      <c r="U124" s="13" t="inlineStr">
        <is>
          <t>Contei os clarões em voz alta. Seis. Batem com o farol, não batem?</t>
        </is>
      </c>
      <c r="V124" s="13" t="inlineStr">
        <is>
          <t>Contei os clarões em voz alta. Seis. Batem com o farol.</t>
        </is>
      </c>
      <c r="W124" s="13" t="inlineStr">
        <is>
          <t>Para passar o frio, contei os clarões em voz alta. Seis. Batem com o farol.</t>
        </is>
      </c>
      <c r="X124" s="13" t="inlineStr">
        <is>
          <t>Contei os clarões em voz alta. Total: seis. Batem com o farol.</t>
        </is>
      </c>
      <c r="Y124" s="10">
        <f>SUMPRODUCT(($H124:$Q124&lt;&gt;"")*ISERROR(SEARCH($H124:$Q124,S124)))+SUMPRODUCT(($H124:$Q124&lt;&gt;"")*ISERROR(SEARCH($H124:$Q124,T124)))+SUMPRODUCT(($H124:$Q124&lt;&gt;"")*ISERROR(SEARCH($H124:$Q124,U124)))+SUMPRODUCT(($H124:$Q124&lt;&gt;"")*ISERROR(SEARCH($H124:$Q124,V124)))+SUMPRODUCT(($H124:$Q124&lt;&gt;"")*ISERROR(SEARCH($H124:$Q124,W124)))+SUMPRODUCT(($H124:$Q124&lt;&gt;"")*ISERROR(SEARCH($H124:$Q124,X124)))</f>
        <v/>
      </c>
      <c r="Z124" s="10" t="inlineStr">
        <is>
          <t>&lt;i&gt;"…"&lt;/i&gt;, disse {inv}. P3/P11 como casa de 6 (02/10). Falas do cânone.</t>
        </is>
      </c>
    </row>
    <row r="125" ht="46.25" customHeight="1" s="8">
      <c r="A125" s="10" t="inlineStr">
        <is>
          <t>c6-p11-02</t>
        </is>
      </c>
      <c r="B125" s="10" t="n">
        <v>11</v>
      </c>
      <c r="C125" s="10" t="inlineStr">
        <is>
          <t>Cap. 6: quem estava onde</t>
        </is>
      </c>
      <c r="D125" s="10" t="inlineStr">
        <is>
          <t>roteiro</t>
        </is>
      </c>
      <c r="E125" s="10" t="inlineStr">
        <is>
          <t>herdeira</t>
        </is>
      </c>
      <c r="F125" s="10" t="inlineStr">
        <is>
          <t>grupo</t>
        </is>
      </c>
      <c r="G125" s="10" t="n"/>
      <c r="H125" s="10" t="inlineStr">
        <is>
          <t>ouvi</t>
        </is>
      </c>
      <c r="I125" s="10" t="inlineStr">
        <is>
          <t>mesmo lugar</t>
        </is>
      </c>
      <c r="J125" s="10" t="inlineStr">
        <is>
          <t>biblioteca</t>
        </is>
      </c>
      <c r="K125" s="10" t="inlineStr">
        <is>
          <t>luz do celular</t>
        </is>
      </c>
      <c r="L125" s="10" t="inlineStr">
        <is>
          <t>{de:pol}</t>
        </is>
      </c>
      <c r="M125" s="10" t="inlineStr">
        <is>
          <t>não saiu da porta</t>
        </is>
      </c>
      <c r="N125" s="10" t="inlineStr">
        <is>
          <t>não se mexeu</t>
        </is>
      </c>
      <c r="O125" s="10" t="n"/>
      <c r="P125" s="10" t="n"/>
      <c r="Q125" s="10" t="n"/>
      <c r="R125" s="10" t="inlineStr">
        <is>
          <t>Ouvi. Sempre do mesmo lugar, da biblioteca. E a luz do celular {de:pol} não saiu da porta um segundo. Ele não se mexeu.</t>
        </is>
      </c>
      <c r="S125" s="13" t="inlineStr">
        <is>
          <t>Ouvi! Sempre do mesmo lugar, da biblioteca. E a luz do celular {de:pol} não saiu da porta um segundo. Ele não se mexeu.</t>
        </is>
      </c>
      <c r="T125" s="13" t="inlineStr">
        <is>
          <t>Ouvi. Sempre do mesmo lugar… da biblioteca. E a luz do celular {de:pol}… não saiu da porta. Ele não se mexeu.</t>
        </is>
      </c>
      <c r="U125" s="13" t="inlineStr">
        <is>
          <t>Ouvi. Sempre do mesmo lugar, da biblioteca. E a luz do celular {de:pol} não saiu da porta um segundo… ele não se mexeu, certo?</t>
        </is>
      </c>
      <c r="V125" s="13" t="inlineStr">
        <is>
          <t>Ouvi. Sempre do mesmo lugar, da biblioteca. E a luz do celular {de:pol} não saiu da porta um segundo. Ele não se mexeu.</t>
        </is>
      </c>
      <c r="W125" s="13" t="inlineStr">
        <is>
          <t>Ouvi, apesar da chuva. Sempre do mesmo lugar, da biblioteca. E a luz do celular {de:pol} não saiu da porta um segundo. Ele não se mexeu.</t>
        </is>
      </c>
      <c r="X125" s="13" t="inlineStr">
        <is>
          <t>Ouvi, sempre do mesmo lugar: a biblioteca. Luz do celular {de:pol}: não saiu da porta. Ele não se mexeu.</t>
        </is>
      </c>
      <c r="Y125" s="10">
        <f>SUMPRODUCT(($H125:$Q125&lt;&gt;"")*ISERROR(SEARCH($H125:$Q125,S125)))+SUMPRODUCT(($H125:$Q125&lt;&gt;"")*ISERROR(SEARCH($H125:$Q125,T125)))+SUMPRODUCT(($H125:$Q125&lt;&gt;"")*ISERROR(SEARCH($H125:$Q125,U125)))+SUMPRODUCT(($H125:$Q125&lt;&gt;"")*ISERROR(SEARCH($H125:$Q125,V125)))+SUMPRODUCT(($H125:$Q125&lt;&gt;"")*ISERROR(SEARCH($H125:$Q125,W125)))+SUMPRODUCT(($H125:$Q125&lt;&gt;"")*ISERROR(SEARCH($H125:$Q125,X125)))</f>
        <v/>
      </c>
      <c r="Z125" s="10" t="inlineStr">
        <is>
          <t>&lt;i&gt;"…"&lt;/i&gt;, disse {her}. É o álibi falso que ela dá ao Policial (ajudante). Nenhuma versão duvida da luz. P3/P11 como casa de 6 (02/10). Falas do cânone.</t>
        </is>
      </c>
    </row>
    <row r="126" ht="57.45" customHeight="1" s="8">
      <c r="A126" s="10" t="inlineStr">
        <is>
          <t>c6-p11-03</t>
        </is>
      </c>
      <c r="B126" s="10" t="n">
        <v>11</v>
      </c>
      <c r="C126" s="10" t="inlineStr">
        <is>
          <t>Cap. 6: quem estava onde</t>
        </is>
      </c>
      <c r="D126" s="10" t="inlineStr">
        <is>
          <t>roteiro</t>
        </is>
      </c>
      <c r="E126" s="10" t="inlineStr">
        <is>
          <t>investigador</t>
        </is>
      </c>
      <c r="F126" s="10" t="inlineStr">
        <is>
          <t>grupo</t>
        </is>
      </c>
      <c r="G126" s="10" t="n"/>
      <c r="H126" s="10" t="inlineStr">
        <is>
          <t>luz não se mexeu</t>
        </is>
      </c>
      <c r="I126" s="10" t="inlineStr">
        <is>
          <t>nada se mexeu</t>
        </is>
      </c>
      <c r="J126" s="10" t="inlineStr">
        <is>
          <t>dois minutos</t>
        </is>
      </c>
      <c r="K126" s="10" t="inlineStr">
        <is>
          <t>sem tremer</t>
        </is>
      </c>
      <c r="L126" s="10" t="inlineStr">
        <is>
          <t>celular estava no chão</t>
        </is>
      </c>
      <c r="M126" s="10" t="inlineStr">
        <is>
          <t>abaixou para pegar</t>
        </is>
      </c>
      <c r="N126" s="10" t="n"/>
      <c r="O126" s="10" t="n"/>
      <c r="P126" s="10" t="n"/>
      <c r="Q126" s="10" t="n"/>
      <c r="R126" s="10" t="inlineStr">
        <is>
          <t>A luz não se mexeu. Nada se mexeu. Ninguém segura um celular dois minutos sem tremer. Quando a luz voltou, o celular estava no chão, e ele se abaixou para pegar.</t>
        </is>
      </c>
      <c r="S126" s="13" t="inlineStr">
        <is>
          <t>A luz não se mexeu! Nada se mexeu. Ninguém segura um celular dois minutos sem tremer. Quando a luz voltou, o celular estava no chão, e ele se abaixou para pegar.</t>
        </is>
      </c>
      <c r="T126" s="13" t="inlineStr">
        <is>
          <t>A luz não se mexeu. Nada se mexeu. … Ninguém segura um celular dois minutos sem tremer. Quando a luz voltou, o celular estava no chão. E ele se abaixou para pegar.</t>
        </is>
      </c>
      <c r="U126" s="13" t="inlineStr">
        <is>
          <t>A luz não se mexeu. Nada se mexeu. Ninguém segura um celular dois minutos sem tremer, segura? Quando a luz voltou, o celular estava no chão, e ele se abaixou para pegar.</t>
        </is>
      </c>
      <c r="V126" s="13" t="inlineStr">
        <is>
          <t>A luz não se mexeu. Nada se mexeu. Ninguém segura um celular dois minutos sem tremer. Quando a luz voltou, o celular estava no chão, e ele se abaixou para pegar.</t>
        </is>
      </c>
      <c r="W126" s="13" t="inlineStr">
        <is>
          <t>Com aquele frio, as mãos tremem. A luz não se mexeu. Nada se mexeu. Ninguém segura um celular dois minutos sem tremer. Quando a luz voltou, o celular estava no chão, e ele se abaixou para pegar.</t>
        </is>
      </c>
      <c r="X126" s="13" t="inlineStr">
        <is>
          <t>A luz não se mexeu; nada se mexeu. Ninguém segura um celular dois minutos sem tremer. Ao voltar a luz: o celular estava no chão, e ele se abaixou para pegar.</t>
        </is>
      </c>
      <c r="Y126" s="10">
        <f>SUMPRODUCT(($H126:$Q126&lt;&gt;"")*ISERROR(SEARCH($H126:$Q126,S126)))+SUMPRODUCT(($H126:$Q126&lt;&gt;"")*ISERROR(SEARCH($H126:$Q126,T126)))+SUMPRODUCT(($H126:$Q126&lt;&gt;"")*ISERROR(SEARCH($H126:$Q126,U126)))+SUMPRODUCT(($H126:$Q126&lt;&gt;"")*ISERROR(SEARCH($H126:$Q126,V126)))+SUMPRODUCT(($H126:$Q126&lt;&gt;"")*ISERROR(SEARCH($H126:$Q126,W126)))+SUMPRODUCT(($H126:$Q126&lt;&gt;"")*ISERROR(SEARCH($H126:$Q126,X126)))</f>
        <v/>
      </c>
      <c r="Z126" s="10" t="inlineStr">
        <is>
          <t>&lt;i&gt;"…"&lt;/i&gt;, disse {inv}. Prova própria do ajudante. P3/P11 como casa de 6 (02/10). Falas do cânone.</t>
        </is>
      </c>
    </row>
    <row r="127" ht="46.25" customHeight="1" s="8">
      <c r="A127" s="10" t="inlineStr">
        <is>
          <t>c6-p11-04</t>
        </is>
      </c>
      <c r="B127" s="10" t="n">
        <v>11</v>
      </c>
      <c r="C127" s="10" t="inlineStr">
        <is>
          <t>Cap. 6: quem estava onde</t>
        </is>
      </c>
      <c r="D127" s="10" t="inlineStr">
        <is>
          <t>roteiro</t>
        </is>
      </c>
      <c r="E127" s="10" t="inlineStr">
        <is>
          <t>investigador</t>
        </is>
      </c>
      <c r="F127" s="10" t="inlineStr">
        <is>
          <t>grupo</t>
        </is>
      </c>
      <c r="G127" s="10" t="n"/>
      <c r="H127" s="10" t="inlineStr">
        <is>
          <t>degrau da soleira</t>
        </is>
      </c>
      <c r="I127" s="10" t="inlineStr">
        <is>
          <t>cinquenta e cinco</t>
        </is>
      </c>
      <c r="J127" s="10" t="inlineStr">
        <is>
          <t>cento e doze</t>
        </is>
      </c>
      <c r="K127" s="10" t="inlineStr">
        <is>
          <t>quarto clarão</t>
        </is>
      </c>
      <c r="L127" s="10" t="inlineStr">
        <is>
          <t>reluziu numa manga</t>
        </is>
      </c>
      <c r="M127" s="10" t="inlineStr">
        <is>
          <t>junto ao pêndulo</t>
        </is>
      </c>
      <c r="N127" s="10" t="n"/>
      <c r="O127" s="10" t="n"/>
      <c r="P127" s="10" t="n"/>
      <c r="Q127" s="10" t="n"/>
      <c r="R127" s="10" t="inlineStr">
        <is>
          <t>O degrau da soleira rangeu aos cinquenta e cinco e aos cento e doze. E no quarto clarão alguma coisa reluziu numa manga, junto ao pêndulo.</t>
        </is>
      </c>
      <c r="S127" s="13" t="inlineStr">
        <is>
          <t>O degrau da soleira rangeu aos cinquenta e cinco e aos cento e doze! E no quarto clarão alguma coisa reluziu numa manga, junto ao pêndulo.</t>
        </is>
      </c>
      <c r="T127" s="13" t="inlineStr">
        <is>
          <t>O degrau da soleira… aos cinquenta e cinco e aos cento e doze. E no quarto clarão… alguma coisa reluziu numa manga. Junto ao pêndulo.</t>
        </is>
      </c>
      <c r="U127" s="13" t="inlineStr">
        <is>
          <t>O degrau da soleira rangeu aos cinquenta e cinco e aos cento e doze. E no quarto clarão alguma coisa reluziu numa manga, junto ao pêndulo. Alguém mais viu?</t>
        </is>
      </c>
      <c r="V127" s="13" t="inlineStr">
        <is>
          <t>O degrau da soleira rangeu aos cinquenta e cinco e aos cento e doze. E no quarto clarão alguma coisa reluziu numa manga, junto ao pêndulo.</t>
        </is>
      </c>
      <c r="W127" s="13" t="inlineStr">
        <is>
          <t>Casa velha, úmida… o degrau da soleira rangeu aos cinquenta e cinco e aos cento e doze. E no quarto clarão alguma coisa reluziu numa manga, junto ao pêndulo.</t>
        </is>
      </c>
      <c r="X127" s="13" t="inlineStr">
        <is>
          <t>Degrau da soleira: rangeu aos cinquenta e cinco e aos cento e doze. Quarto clarão: alguma coisa reluziu numa manga, junto ao pêndulo.</t>
        </is>
      </c>
      <c r="Y127" s="10">
        <f>SUMPRODUCT(($H127:$Q127&lt;&gt;"")*ISERROR(SEARCH($H127:$Q127,S127)))+SUMPRODUCT(($H127:$Q127&lt;&gt;"")*ISERROR(SEARCH($H127:$Q127,T127)))+SUMPRODUCT(($H127:$Q127&lt;&gt;"")*ISERROR(SEARCH($H127:$Q127,U127)))+SUMPRODUCT(($H127:$Q127&lt;&gt;"")*ISERROR(SEARCH($H127:$Q127,V127)))+SUMPRODUCT(($H127:$Q127&lt;&gt;"")*ISERROR(SEARCH($H127:$Q127,W127)))+SUMPRODUCT(($H127:$Q127&lt;&gt;"")*ISERROR(SEARCH($H127:$Q127,X127)))</f>
        <v/>
      </c>
      <c r="Z127" s="10" t="inlineStr">
        <is>
          <t>&lt;i&gt;"…"&lt;/i&gt;, continuou {inv}. P3/P11 como casa de 6 (02/10). Falas do cânone.</t>
        </is>
      </c>
    </row>
    <row r="128" ht="35.05" customHeight="1" s="8">
      <c r="A128" s="10" t="inlineStr">
        <is>
          <t>c6-p11-05</t>
        </is>
      </c>
      <c r="B128" s="10" t="n">
        <v>11</v>
      </c>
      <c r="C128" s="10" t="inlineStr">
        <is>
          <t>Cap. 6: quem estava onde</t>
        </is>
      </c>
      <c r="D128" s="10" t="inlineStr">
        <is>
          <t>roteiro</t>
        </is>
      </c>
      <c r="E128" s="10" t="inlineStr">
        <is>
          <t>faroleiro</t>
        </is>
      </c>
      <c r="F128" s="10" t="inlineStr">
        <is>
          <t>grupo (pelo rádio)</t>
        </is>
      </c>
      <c r="G128" s="10" t="n"/>
      <c r="H128" s="10" t="inlineStr">
        <is>
          <t>quarto clarão</t>
        </is>
      </c>
      <c r="I128" s="10" t="inlineStr">
        <is>
          <t>reluziu</t>
        </is>
      </c>
      <c r="J128" s="10" t="inlineStr">
        <is>
          <t>dentro da sala</t>
        </is>
      </c>
      <c r="K128" s="10" t="inlineStr">
        <is>
          <t>rente à vidraça</t>
        </is>
      </c>
      <c r="L128" s="10" t="inlineStr">
        <is>
          <t>lado do relógio</t>
        </is>
      </c>
      <c r="M128" s="10" t="n"/>
      <c r="N128" s="10" t="n"/>
      <c r="O128" s="10" t="n"/>
      <c r="P128" s="10" t="n"/>
      <c r="Q128" s="10" t="n"/>
      <c r="R128" s="10" t="inlineStr">
        <is>
          <t>No quarto clarão, uma coisa que reluziu dentro da sala, rente à vidraça, do lado do relógio.</t>
        </is>
      </c>
      <c r="S128" s="13" t="inlineStr">
        <is>
          <t>No quarto clarão, uma coisa que reluziu dentro da sala, rente à vidraça, do lado do relógio! Eu vi.</t>
        </is>
      </c>
      <c r="T128" s="13" t="inlineStr">
        <is>
          <t>No quarto clarão… uma coisa que reluziu. Dentro da sala. Rente à vidraça, do lado do relógio.</t>
        </is>
      </c>
      <c r="U128" s="13" t="inlineStr">
        <is>
          <t>No quarto clarão, uma coisa que reluziu dentro da sala, rente à vidraça, do lado do relógio. Serve?</t>
        </is>
      </c>
      <c r="V128" s="13" t="inlineStr">
        <is>
          <t>No quarto clarão, uma coisa que reluziu dentro da sala, rente à vidraça, do lado do relógio.</t>
        </is>
      </c>
      <c r="W128" s="13" t="inlineStr">
        <is>
          <t>Com essa chuva aqui em cima… no quarto clarão, uma coisa que reluziu dentro da sala, rente à vidraça, do lado do relógio.</t>
        </is>
      </c>
      <c r="X128" s="13" t="inlineStr">
        <is>
          <t>Registro do farol: no quarto clarão, uma coisa que reluziu dentro da sala, rente à vidraça, do lado do relógio.</t>
        </is>
      </c>
      <c r="Y128" s="10">
        <f>SUMPRODUCT(($H128:$Q128&lt;&gt;"")*ISERROR(SEARCH($H128:$Q128,S128)))+SUMPRODUCT(($H128:$Q128&lt;&gt;"")*ISERROR(SEARCH($H128:$Q128,T128)))+SUMPRODUCT(($H128:$Q128&lt;&gt;"")*ISERROR(SEARCH($H128:$Q128,U128)))+SUMPRODUCT(($H128:$Q128&lt;&gt;"")*ISERROR(SEARCH($H128:$Q128,V128)))+SUMPRODUCT(($H128:$Q128&lt;&gt;"")*ISERROR(SEARCH($H128:$Q128,W128)))+SUMPRODUCT(($H128:$Q128&lt;&gt;"")*ISERROR(SEARCH($H128:$Q128,X128)))</f>
        <v/>
      </c>
      <c r="Z128" s="10" t="inlineStr">
        <is>
          <t>O rádio: &lt;i&gt;"…"&lt;/i&gt;. Mesmo fato de c5-p11-farol. P3/P11 como casa de 6 (02/10). Falas do cânone.</t>
        </is>
      </c>
    </row>
    <row r="129" ht="35.05" customHeight="1" s="8">
      <c r="A129" s="10" t="inlineStr">
        <is>
          <t>c6-p11-06</t>
        </is>
      </c>
      <c r="B129" s="10" t="n">
        <v>11</v>
      </c>
      <c r="C129" s="10" t="inlineStr">
        <is>
          <t>Cap. 6: quem estava onde</t>
        </is>
      </c>
      <c r="D129" s="10" t="inlineStr">
        <is>
          <t>roteiro</t>
        </is>
      </c>
      <c r="E129" s="10" t="inlineStr">
        <is>
          <t>residente</t>
        </is>
      </c>
      <c r="F129" s="10" t="inlineStr">
        <is>
          <t>grupo</t>
        </is>
      </c>
      <c r="G129" s="10" t="n"/>
      <c r="H129" s="10" t="inlineStr">
        <is>
          <t>minha faixa</t>
        </is>
      </c>
      <c r="I129" s="10" t="inlineStr">
        <is>
          <t>reluz</t>
        </is>
      </c>
      <c r="J129" s="10" t="inlineStr">
        <is>
          <t>fita na portinhola</t>
        </is>
      </c>
      <c r="K129" s="10" t="inlineStr">
        <is>
          <t>inteira</t>
        </is>
      </c>
      <c r="L129" s="10" t="inlineStr">
        <is>
          <t>não passou ninguém</t>
        </is>
      </c>
      <c r="M129" s="10" t="n"/>
      <c r="N129" s="10" t="n"/>
      <c r="O129" s="10" t="n"/>
      <c r="P129" s="10" t="n"/>
      <c r="Q129" s="10" t="n"/>
      <c r="R129" s="10" t="inlineStr">
        <is>
          <t>Minha faixa reluz. Mas a fita na portinhola está inteira. Por ali não passou ninguém.</t>
        </is>
      </c>
      <c r="S129" s="13" t="inlineStr">
        <is>
          <t>Minha faixa reluz, tá bom! Mas a fita na portinhola está inteira. Por ali não passou ninguém.</t>
        </is>
      </c>
      <c r="T129" s="13" t="inlineStr">
        <is>
          <t>Minha faixa reluz. … Mas a fita na portinhola está inteira. Por ali não passou ninguém.</t>
        </is>
      </c>
      <c r="U129" s="13" t="inlineStr">
        <is>
          <t>Minha faixa reluz… mas a fita na portinhola está inteira. Por ali não passou ninguém, não é?</t>
        </is>
      </c>
      <c r="V129" s="13" t="inlineStr">
        <is>
          <t>Minha faixa reluz. Mas a fita na portinhola está inteira. Por ali não passou ninguém.</t>
        </is>
      </c>
      <c r="W129" s="13" t="inlineStr">
        <is>
          <t>Minha faixa reluz, com essa água toda mais ainda. Mas a fita na portinhola está inteira. Por ali não passou ninguém.</t>
        </is>
      </c>
      <c r="X129" s="13" t="inlineStr">
        <is>
          <t>Minha faixa reluz. Porém: fita na portinhola inteira. Por ali não passou ninguém.</t>
        </is>
      </c>
      <c r="Y129" s="10">
        <f>SUMPRODUCT(($H129:$Q129&lt;&gt;"")*ISERROR(SEARCH($H129:$Q129,S129)))+SUMPRODUCT(($H129:$Q129&lt;&gt;"")*ISERROR(SEARCH($H129:$Q129,T129)))+SUMPRODUCT(($H129:$Q129&lt;&gt;"")*ISERROR(SEARCH($H129:$Q129,U129)))+SUMPRODUCT(($H129:$Q129&lt;&gt;"")*ISERROR(SEARCH($H129:$Q129,V129)))+SUMPRODUCT(($H129:$Q129&lt;&gt;"")*ISERROR(SEARCH($H129:$Q129,W129)))+SUMPRODUCT(($H129:$Q129&lt;&gt;"")*ISERROR(SEARCH($H129:$Q129,X129)))</f>
        <v/>
      </c>
      <c r="Z129" s="10" t="inlineStr">
        <is>
          <t>&lt;i&gt;"…"&lt;/i&gt;, disse {res}. Exclusão do Residente pelo lacre. P3/P11 como casa de 6 (02/10). Falas do cânone.</t>
        </is>
      </c>
    </row>
    <row r="130" ht="57.45" customHeight="1" s="8">
      <c r="A130" s="10" t="inlineStr">
        <is>
          <t>fim-p03-01</t>
        </is>
      </c>
      <c r="B130" s="10" t="n">
        <v>3</v>
      </c>
      <c r="C130" s="10" t="inlineStr">
        <is>
          <t>a revelação: o impostor diz que esteve com ele no fim</t>
        </is>
      </c>
      <c r="D130" s="10" t="inlineStr">
        <is>
          <t>roteiro</t>
        </is>
      </c>
      <c r="E130" s="10" t="inlineStr">
        <is>
          <t>herdeira</t>
        </is>
      </c>
      <c r="F130" s="10" t="inlineStr">
        <is>
          <t>grupo</t>
        </is>
      </c>
      <c r="G130" s="10" t="n"/>
      <c r="H130" s="10" t="inlineStr">
        <is>
          <t>vinha no fim</t>
        </is>
      </c>
      <c r="I130" s="10" t="inlineStr">
        <is>
          <t>à noite</t>
        </is>
      </c>
      <c r="J130" s="10" t="inlineStr">
        <is>
          <t>{g:her:escondida|escondido}</t>
        </is>
      </c>
      <c r="K130" s="10" t="n"/>
      <c r="L130" s="10" t="n"/>
      <c r="M130" s="10" t="n"/>
      <c r="N130" s="10" t="n"/>
      <c r="O130" s="10" t="n"/>
      <c r="P130" s="10" t="n"/>
      <c r="Q130" s="10" t="n"/>
      <c r="R130" s="10" t="inlineStr">
        <is>
          <t>Eu vinha no fim. À noite, {g:her:escondida|escondido}.</t>
        </is>
      </c>
      <c r="S130" s="13" t="inlineStr">
        <is>
          <t>Eu vinha no fim! À noite, {g:her:escondida|escondido}</t>
        </is>
      </c>
      <c r="T130" s="13" t="inlineStr">
        <is>
          <t>Eu vinha no fim. … À noite. {g:her:Escondida|Escondido}</t>
        </is>
      </c>
      <c r="U130" s="13" t="inlineStr">
        <is>
          <t>Eu vinha no fim… à noite, {g:her:escondida|escondido}, sabe?</t>
        </is>
      </c>
      <c r="V130" s="13" t="inlineStr">
        <is>
          <t>Eu vinha no fim. À noite, {g:her:escondida|escondido}</t>
        </is>
      </c>
      <c r="W130" s="13" t="inlineStr">
        <is>
          <t>Pela estrada, toda noite… eu vinha no fim. À noite, {g:her:escondida|escondido}</t>
        </is>
      </c>
      <c r="X130" s="13" t="inlineStr">
        <is>
          <t>Eu vinha no fim. Horário: à noite. {g:her:Escondida|Escondido}</t>
        </is>
      </c>
      <c r="Y130" s="10">
        <f>SUMPRODUCT(($H130:$Q130&lt;&gt;"")*ISERROR(SEARCH($H130:$Q130,S130)))+SUMPRODUCT(($H130:$Q130&lt;&gt;"")*ISERROR(SEARCH($H130:$Q130,T130)))+SUMPRODUCT(($H130:$Q130&lt;&gt;"")*ISERROR(SEARCH($H130:$Q130,U130)))+SUMPRODUCT(($H130:$Q130&lt;&gt;"")*ISERROR(SEARCH($H130:$Q130,V130)))+SUMPRODUCT(($H130:$Q130&lt;&gt;"")*ISERROR(SEARCH($H130:$Q130,W130)))+SUMPRODUCT(($H130:$Q130&lt;&gt;"")*ISERROR(SEARCH($H130:$Q130,X130)))</f>
        <v/>
      </c>
      <c r="Z130" s="10" t="inlineStr">
        <is>
          <t>Dito em sis(220): &lt;i&gt;"…"&lt;/i&gt;, disse {imp}. A voz não tremeu. (o código tira o ponto final). É a mentira do fim: o caderno diz "A filha não veio". P3/P11 como casa de 6 (02/10). Falas do cânone.</t>
        </is>
      </c>
    </row>
    <row r="131" ht="57.45" customHeight="1" s="8">
      <c r="A131" s="10" t="inlineStr">
        <is>
          <t>fim-p11-01</t>
        </is>
      </c>
      <c r="B131" s="10" t="n">
        <v>11</v>
      </c>
      <c r="C131" s="10" t="inlineStr">
        <is>
          <t>a revelação: o impostor diz que esteve com ele no fim</t>
        </is>
      </c>
      <c r="D131" s="10" t="inlineStr">
        <is>
          <t>roteiro</t>
        </is>
      </c>
      <c r="E131" s="10" t="inlineStr">
        <is>
          <t>policial</t>
        </is>
      </c>
      <c r="F131" s="10" t="inlineStr">
        <is>
          <t>grupo</t>
        </is>
      </c>
      <c r="G131" s="10" t="n"/>
      <c r="H131" s="10" t="inlineStr">
        <is>
          <t>até tarde</t>
        </is>
      </c>
      <c r="I131" s="10" t="inlineStr">
        <is>
          <t>última noite</t>
        </is>
      </c>
      <c r="J131" s="10" t="inlineStr">
        <is>
          <t>lá em cima</t>
        </is>
      </c>
      <c r="K131" s="10" t="n"/>
      <c r="L131" s="10" t="n"/>
      <c r="M131" s="10" t="n"/>
      <c r="N131" s="10" t="n"/>
      <c r="O131" s="10" t="n"/>
      <c r="P131" s="10" t="n"/>
      <c r="Q131" s="10" t="n"/>
      <c r="R131" s="10" t="inlineStr">
        <is>
          <t>Fiquei com ele até tarde na última noite, lá em cima.</t>
        </is>
      </c>
      <c r="S131" s="13" t="inlineStr">
        <is>
          <t>Fiquei com ele até tarde na última noite, lá em cima! É isso</t>
        </is>
      </c>
      <c r="T131" s="13" t="inlineStr">
        <is>
          <t>Fiquei com ele… até tarde. Na última noite. Lá em cima</t>
        </is>
      </c>
      <c r="U131" s="13" t="inlineStr">
        <is>
          <t>Fiquei com ele até tarde na última noite, lá em cima… foi isso</t>
        </is>
      </c>
      <c r="V131" s="13" t="inlineStr">
        <is>
          <t>Fiquei com ele até tarde na última noite, lá em cima</t>
        </is>
      </c>
      <c r="W131" s="13" t="inlineStr">
        <is>
          <t>Noite comprida, chuvosa… fiquei com ele até tarde na última noite, lá em cima</t>
        </is>
      </c>
      <c r="X131" s="13" t="inlineStr">
        <is>
          <t>Última noite: fiquei com ele até tarde, lá em cima</t>
        </is>
      </c>
      <c r="Y131" s="10">
        <f>SUMPRODUCT(($H131:$Q131&lt;&gt;"")*ISERROR(SEARCH($H131:$Q131,S131)))+SUMPRODUCT(($H131:$Q131&lt;&gt;"")*ISERROR(SEARCH($H131:$Q131,T131)))+SUMPRODUCT(($H131:$Q131&lt;&gt;"")*ISERROR(SEARCH($H131:$Q131,U131)))+SUMPRODUCT(($H131:$Q131&lt;&gt;"")*ISERROR(SEARCH($H131:$Q131,V131)))+SUMPRODUCT(($H131:$Q131&lt;&gt;"")*ISERROR(SEARCH($H131:$Q131,W131)))+SUMPRODUCT(($H131:$Q131&lt;&gt;"")*ISERROR(SEARCH($H131:$Q131,X131)))</f>
        <v/>
      </c>
      <c r="Z131" s="10" t="inlineStr">
        <is>
          <t>Dito em sis(220): &lt;i&gt;"…"&lt;/i&gt;, disse {imp}. A voz não tremeu. O caderno: "O quarto de cima ninguém usa desde março." P3/P11 como casa de 6 (02/10). Falas do cânone.</t>
        </is>
      </c>
    </row>
  </sheetData>
  <autoFilter ref="A1:Z131"/>
  <conditionalFormatting sqref="Y2:Y131">
    <cfRule type="expression" rank="0" priority="2" equalAverage="0" aboveAverage="0" dxfId="4" text="" percent="0" bottom="0">
      <formula>Y2&gt;0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7" min="1" max="1"/>
    <col width="30" customWidth="1" style="7" min="2" max="2"/>
    <col width="70" customWidth="1" style="7" min="3" max="3"/>
    <col width="14" customWidth="1" style="7" min="4" max="4"/>
  </cols>
  <sheetData>
    <row r="1" ht="15" customHeight="1" s="8">
      <c r="A1" s="12" t="inlineStr">
        <is>
          <t>Aba</t>
        </is>
      </c>
      <c r="B1" s="12" t="inlineStr">
        <is>
          <t>Fonte no código</t>
        </is>
      </c>
      <c r="C1" s="12" t="inlineStr">
        <is>
          <t>O que é</t>
        </is>
      </c>
      <c r="D1" s="12" t="inlineStr">
        <is>
          <t>Quantos textos</t>
        </is>
      </c>
    </row>
    <row r="2" ht="35.05" customHeight="1" s="8">
      <c r="A2" s="10" t="inlineStr">
        <is>
          <t>Cap 1</t>
        </is>
      </c>
      <c r="B2" s="10" t="inlineStr">
        <is>
          <t>MATRIZ_C1[p].voltou[1]</t>
        </is>
      </c>
      <c r="C2" s="10" t="inlineStr">
        <is>
          <t>frase de quem deixa escapar que voltou à casa (sis 275, '{X} olhou em volta e deixou escapar'); partidas 1,2,4,5,6,7,9,10,13,14,15 (5 e 13 têm o mesmo texto; 8 e 12 usam o Porto, que está no tronco)</t>
        </is>
      </c>
      <c r="D2" s="10" t="n">
        <v>11</v>
      </c>
    </row>
    <row r="3" ht="15" customHeight="1" s="8">
      <c r="A3" s="10" t="inlineStr">
        <is>
          <t>Cap 1</t>
        </is>
      </c>
      <c r="B3" s="10" t="inlineStr">
        <is>
          <t>MATRIZ_C1[p].xicara[1]</t>
        </is>
      </c>
      <c r="C3" s="10" t="inlineStr">
        <is>
          <t>fala extra, mais baixa, de quem viu a xícara primeiro (partidas 6 e 7)</t>
        </is>
      </c>
      <c r="D3" s="10" t="n">
        <v>2</v>
      </c>
    </row>
    <row r="4" ht="15" customHeight="1" s="8">
      <c r="A4" s="10" t="inlineStr">
        <is>
          <t>Cap 2</t>
        </is>
      </c>
      <c r="B4" s="10" t="inlineStr">
        <is>
          <t>MATRIZ_C2.frase[1]</t>
        </is>
      </c>
      <c r="C4" s="10" t="inlineStr">
        <is>
          <t>frase dita baixinho perto do corredor de serviço, por partida</t>
        </is>
      </c>
      <c r="D4" s="10" t="n">
        <v>13</v>
      </c>
    </row>
    <row r="5" ht="15" customHeight="1" s="8">
      <c r="A5" s="10" t="inlineStr">
        <is>
          <t>Cap 2</t>
        </is>
      </c>
      <c r="B5" s="10" t="inlineStr">
        <is>
          <t>MATRIZ_C2.frase[2]</t>
        </is>
      </c>
      <c r="C5" s="10" t="inlineStr">
        <is>
          <t>resposta da voz (ACOMP) à frase dita baixinho, por partida</t>
        </is>
      </c>
      <c r="D5" s="10" t="n">
        <v>13</v>
      </c>
    </row>
    <row r="6" ht="15" customHeight="1" s="8">
      <c r="A6" s="10" t="inlineStr">
        <is>
          <t>Cap 2</t>
        </is>
      </c>
      <c r="B6" s="10" t="inlineStr">
        <is>
          <t>MATRIZ_C2.mentira</t>
        </is>
      </c>
      <c r="C6" s="10" t="inlineStr">
        <is>
          <t>lembrança falsa do impostor sobre o proprietário (P1,4,8,10,12,15)</t>
        </is>
      </c>
      <c r="D6" s="10" t="n">
        <v>6</v>
      </c>
    </row>
    <row r="7" ht="15" customHeight="1" s="8">
      <c r="A7" s="10" t="inlineStr">
        <is>
          <t>Cap 2</t>
        </is>
      </c>
      <c r="B7" s="10" t="inlineStr">
        <is>
          <t>MATRIZ_C2.extra</t>
        </is>
      </c>
      <c r="C7" s="10" t="inlineStr">
        <is>
          <t>lembrança extra do Tabelião (P13)</t>
        </is>
      </c>
      <c r="D7" s="10" t="n">
        <v>1</v>
      </c>
    </row>
    <row r="8" ht="15" customHeight="1" s="8">
      <c r="A8" s="10" t="inlineStr">
        <is>
          <t>Cap 3</t>
        </is>
      </c>
      <c r="B8" s="10" t="inlineStr">
        <is>
          <t>MATRIZ_C3</t>
        </is>
      </c>
      <c r="C8" s="10" t="inlineStr">
        <is>
          <t>sorteio por partida de mao/palavras/religa/fala</t>
        </is>
      </c>
      <c r="D8" s="10" t="n">
        <v>13</v>
      </c>
    </row>
    <row r="9" ht="15" customHeight="1" s="8">
      <c r="A9" s="10" t="inlineStr">
        <is>
          <t>Cap 3</t>
        </is>
      </c>
      <c r="B9" s="10" t="inlineStr">
        <is>
          <t>FALA.p1..p14 (C3_R2)</t>
        </is>
      </c>
      <c r="C9" s="10" t="inlineStr">
        <is>
          <t>cenas de falas citadas por partida (p1,p4,p5,p7,p8,p9,p10,p12,p13,p14)</t>
        </is>
      </c>
      <c r="D9" s="10" t="n">
        <v>10</v>
      </c>
    </row>
    <row r="10" ht="15" customHeight="1" s="8">
      <c r="A10" s="10" t="inlineStr">
        <is>
          <t>Cap 3</t>
        </is>
      </c>
      <c r="B10" s="10" t="inlineStr">
        <is>
          <t>sis(185) se M.fala==='p2'</t>
        </is>
      </c>
      <c r="C10" s="10" t="inlineStr">
        <is>
          <t>Tabelião lê a ata, Governanta e Investigador sobre a gaveta (só P2)</t>
        </is>
      </c>
      <c r="D10" s="10" t="n">
        <v>1</v>
      </c>
    </row>
    <row r="11" ht="15" customHeight="1" s="8">
      <c r="A11" s="10" t="inlineStr">
        <is>
          <t>Cap 3</t>
        </is>
      </c>
      <c r="B11" s="10" t="inlineStr">
        <is>
          <t>MAO_C3.*.detalhe</t>
        </is>
      </c>
      <c r="C11" s="10" t="inlineStr">
        <is>
          <t>detalhe da marca dito pela Observadora ({mao_detalhe})</t>
        </is>
      </c>
      <c r="D11" s="10" t="n">
        <v>8</v>
      </c>
    </row>
    <row r="12" ht="15" customHeight="1" s="8">
      <c r="A12" s="10" t="inlineStr">
        <is>
          <t>Cap 3</t>
        </is>
      </c>
      <c r="B12" s="10" t="inlineStr">
        <is>
          <t>MAO_C3.governanta.dono</t>
        </is>
      </c>
      <c r="C12" s="10" t="inlineStr">
        <is>
          <t>fala citada da Governanta: a janela dos fundos batia (só P13)</t>
        </is>
      </c>
      <c r="D12" s="10" t="n">
        <v>1</v>
      </c>
    </row>
    <row r="13" ht="15" customHeight="1" s="8">
      <c r="A13" s="10" t="inlineStr">
        <is>
          <t>Cap 4</t>
        </is>
      </c>
      <c r="B13" s="10" t="inlineStr">
        <is>
          <t>if(P===12) sis(74) e sis(88)</t>
        </is>
      </c>
      <c r="C13" s="10" t="inlineStr">
        <is>
          <t>discussão da trilha entre a Observadora e o Jardineiro (P12): falas citadas</t>
        </is>
      </c>
      <c r="D13" s="10" t="n">
        <v>5</v>
      </c>
    </row>
    <row r="14" ht="15" customHeight="1" s="8">
      <c r="A14" s="10" t="inlineStr">
        <is>
          <t>Cap 4</t>
        </is>
      </c>
      <c r="B14" s="10" t="inlineStr">
        <is>
          <t>if(P===11) sis(100)</t>
        </is>
      </c>
      <c r="C14" s="10" t="inlineStr">
        <is>
          <t>variante da passagem na P11 (Residente, Policial, Residente): falas citadas</t>
        </is>
      </c>
      <c r="D14" s="10" t="n">
        <v>3</v>
      </c>
    </row>
    <row r="15" ht="23.85" customHeight="1" s="8">
      <c r="A15" s="10" t="inlineStr">
        <is>
          <t>Cap 4</t>
        </is>
      </c>
      <c r="B15" s="10" t="inlineStr">
        <is>
          <t>if(P===12) sis(162)</t>
        </is>
      </c>
      <c r="C15" s="10" t="inlineStr">
        <is>
          <t>Investigador lembra a Observadora da fotografia e ela responde (P12), com variante se o jogador é o Investigador</t>
        </is>
      </c>
      <c r="D15" s="10" t="n">
        <v>2</v>
      </c>
    </row>
    <row r="16" ht="15" customHeight="1" s="8">
      <c r="A16" s="10" t="inlineStr">
        <is>
          <t>Cap 4</t>
        </is>
      </c>
      <c r="B16" s="10" t="inlineStr">
        <is>
          <t>LEMBRA (P2, P5, P9, P13) sis(176)</t>
        </is>
      </c>
      <c r="C16" s="10" t="inlineStr">
        <is>
          <t>lembrança dele que o caderno vai checar</t>
        </is>
      </c>
      <c r="D16" s="10" t="n">
        <v>4</v>
      </c>
    </row>
    <row r="17" ht="15" customHeight="1" s="8">
      <c r="A17" s="10" t="inlineStr">
        <is>
          <t>Cap 4</t>
        </is>
      </c>
      <c r="B17" s="10" t="inlineStr">
        <is>
          <t>if(P===2) sis(200)</t>
        </is>
      </c>
      <c r="C17" s="10" t="inlineStr">
        <is>
          <t>o Tabelião manda o Policial para o rádio</t>
        </is>
      </c>
      <c r="D17" s="10" t="n">
        <v>1</v>
      </c>
    </row>
    <row r="18" ht="23.85" customHeight="1" s="8">
      <c r="A18" s="10" t="inlineStr">
        <is>
          <t>Cap 4</t>
        </is>
      </c>
      <c r="B18" s="10" t="inlineStr">
        <is>
          <t>sis(222) com ch, POSTOS_R2 e EXTRA</t>
        </is>
      </c>
      <c r="C18" s="10" t="inlineStr">
        <is>
          <t>'E o senhor/a senhora/você?' do condutor e a resposta de quem escolheu o posto (lugar e EXTRA mudam por partida)</t>
        </is>
      </c>
      <c r="D18" s="10" t="n">
        <v>26</v>
      </c>
    </row>
    <row r="19" ht="23.85" customHeight="1" s="8">
      <c r="A19" s="10" t="inlineStr">
        <is>
          <t>Cap 4</t>
        </is>
      </c>
      <c r="B19" s="10" t="inlineStr">
        <is>
          <t>SAIDA_R2 / T sis(250)</t>
        </is>
      </c>
      <c r="C19" s="10" t="inlineStr">
        <is>
          <t>falas citadas na cena da saída deixada aberta (Herdeira P1/P7/P12, Governanta e Herdeira na P12, Jardineiro P8, Residente P9, Observadora P10)</t>
        </is>
      </c>
      <c r="D19" s="10" t="n">
        <v>8</v>
      </c>
    </row>
    <row r="20" ht="23.85" customHeight="1" s="8">
      <c r="A20" s="10" t="inlineStr">
        <is>
          <t>Cap 4</t>
        </is>
      </c>
      <c r="B20" s="10" t="inlineStr">
        <is>
          <t>MATRIZ_C4 + POSTOS_R2 sis(208)</t>
        </is>
      </c>
      <c r="C20" s="10" t="inlineStr">
        <is>
          <t>lista de postos por partida (narração, sem fala)</t>
        </is>
      </c>
      <c r="D20" s="10" t="n">
        <v>13</v>
      </c>
    </row>
    <row r="21" ht="23.85" customHeight="1" s="8">
      <c r="A21" s="10" t="inlineStr">
        <is>
          <t>Cap 5</t>
        </is>
      </c>
      <c r="B21" s="10" t="inlineStr">
        <is>
          <t>C5_R2[P].ev</t>
        </is>
      </c>
      <c r="C21" s="10" t="inlineStr">
        <is>
          <t>percepções no escuro por partida (13 partidas), segundo a segundo; contêm 30 falas citadas entre &lt;i&gt;"…"&lt;/i&gt; (gritos, perguntas, ditados de hora, respostas)</t>
        </is>
      </c>
      <c r="D21" s="10" t="n">
        <v>106</v>
      </c>
    </row>
    <row r="22" ht="15" customHeight="1" s="8">
      <c r="A22" s="10" t="inlineStr">
        <is>
          <t>Cap 5</t>
        </is>
      </c>
      <c r="B22" s="10" t="inlineStr">
        <is>
          <t>C5_R2[P].farol</t>
        </is>
      </c>
      <c r="C22" s="10" t="inlineStr">
        <is>
          <t>continuação da fala do Faroleiro no rádio (o que ele viu nos clarões)</t>
        </is>
      </c>
      <c r="D22" s="10" t="n">
        <v>13</v>
      </c>
    </row>
    <row r="23" ht="15" customHeight="1" s="8">
      <c r="A23" s="10" t="inlineStr">
        <is>
          <t>Cap 5</t>
        </is>
      </c>
      <c r="B23" s="10" t="inlineStr">
        <is>
          <t>C5_R2[P].depois</t>
        </is>
      </c>
      <c r="C23" s="10" t="inlineStr">
        <is>
          <t>narração de quando a luz volta, algumas com fala citada (Eletricista, Tabelião na ata)</t>
        </is>
      </c>
      <c r="D23" s="10" t="n">
        <v>9</v>
      </c>
    </row>
    <row r="24" ht="46.25" customHeight="1" s="8">
      <c r="A24" s="10" t="inlineStr">
        <is>
          <t>Cap 5</t>
        </is>
      </c>
      <c r="B24" s="10" t="inlineStr">
        <is>
          <t>fragmento colado após C5_R2 (linhas 184-191: P14.outros e P15 diz/fala/rota/ausencia/caderno/ajudou/outros)</t>
        </is>
      </c>
      <c r="C24" s="10" t="inlineStr">
        <is>
          <t>pedaço de tabela do Final (parece FIM_R2) solto dentro do trecho do Cap. 5; não pertence a este capítulo</t>
        </is>
      </c>
      <c r="D24" s="10" t="n">
        <v>8</v>
      </c>
    </row>
    <row r="25" ht="23.85" customHeight="1" s="8">
      <c r="A25" s="10" t="inlineStr">
        <is>
          <t>Cap 6</t>
        </is>
      </c>
      <c r="B25" s="10" t="inlineStr">
        <is>
          <t>C6_ONDE</t>
        </is>
      </c>
      <c r="C25" s="10" t="inlineStr">
        <is>
          <t>diálogos de 'quem estava onde' por partida (13 partidas, 44 trechos de narração com falas citadas)</t>
        </is>
      </c>
      <c r="D25" s="10" t="n">
        <v>128</v>
      </c>
    </row>
    <row r="26" ht="15" customHeight="1" s="8">
      <c r="A26" s="10" t="inlineStr">
        <is>
          <t>Cap 6</t>
        </is>
      </c>
      <c r="B26" s="10" t="inlineStr">
        <is>
          <t>C6_NOTA</t>
        </is>
      </c>
      <c r="C26" s="10" t="inlineStr">
        <is>
          <t>nota da P12 (blusa da Observadora) com troca de falas</t>
        </is>
      </c>
      <c r="D26" s="10" t="n">
        <v>2</v>
      </c>
    </row>
    <row r="27" ht="15" customHeight="1" s="8">
      <c r="A27" s="10" t="inlineStr">
        <is>
          <t>Cap 6</t>
        </is>
      </c>
      <c r="B27" s="10" t="inlineStr">
        <is>
          <t>FIM_R2.diz</t>
        </is>
      </c>
      <c r="C27" s="10" t="inlineStr">
        <is>
          <t>o 'fui eu' do impostor, dito em sis(220); P6 é a voz (diz vazio) e a P15 não tem entrada</t>
        </is>
      </c>
      <c r="D27" s="10" t="n">
        <v>11</v>
      </c>
    </row>
    <row r="28" ht="15" customHeight="1" s="8">
      <c r="A28" s="10" t="inlineStr">
        <is>
          <t>Cap 6</t>
        </is>
      </c>
      <c r="B28" s="10" t="inlineStr">
        <is>
          <t>CADERNO_EXTRA</t>
        </is>
      </c>
      <c r="C28" s="10" t="inlineStr">
        <is>
          <t>linhas extras do caderno por partida (documento lido em voz alta pelo Investigador)</t>
        </is>
      </c>
      <c r="D28" s="10" t="n">
        <v>21</v>
      </c>
    </row>
    <row r="29" ht="23.85" customHeight="1" s="8">
      <c r="A29" s="10" t="inlineStr">
        <is>
          <t>Cap 6</t>
        </is>
      </c>
      <c r="B29" s="10" t="inlineStr">
        <is>
          <t>cadernoDe</t>
        </is>
      </c>
      <c r="C29" s="10" t="inlineStr">
        <is>
          <t>linhas-base do caderno + 'Ele não acordou' (documento, não fala; variam por observadora presente, seguro no fim e P5)</t>
        </is>
      </c>
      <c r="D29" s="10" t="n">
        <v>11</v>
      </c>
    </row>
    <row r="30" ht="15" customHeight="1" s="8">
      <c r="A30" s="10" t="inlineStr">
        <is>
          <t>Cap 6</t>
        </is>
      </c>
      <c r="B30" s="10" t="inlineStr">
        <is>
          <t>VISITA_R2</t>
        </is>
      </c>
      <c r="C30" s="10" t="inlineStr">
        <is>
          <t>quem bateu à porta no último mês (só id, alimenta a pergunta; sem fala)</t>
        </is>
      </c>
      <c r="D30" s="10" t="n">
        <v>13</v>
      </c>
    </row>
    <row r="31" ht="35.05" customHeight="1" s="8">
      <c r="A31" s="10" t="inlineStr">
        <is>
          <t>Final</t>
        </is>
      </c>
      <c r="B31" s="10" t="inlineStr">
        <is>
          <t>FIM_R2.fala/rota/ausencia/caderno/ajudou/outros</t>
        </is>
      </c>
      <c r="C31" s="10" t="inlineStr">
        <is>
          <t>textos da revelação (O que sabia, Por onde foi, Quem viu não estar, O que o caderno desmente, Quem ajudou, Por que os outros caíram), por partida (12 partidas: 1,2,4,5,6,7,8,9,10,12,13,14); a partida 14 não tem 'outros' no trecho</t>
        </is>
      </c>
      <c r="D31" s="10" t="n">
        <v>71</v>
      </c>
    </row>
    <row r="32" ht="23.85" customHeight="1" s="8">
      <c r="A32" s="10" t="inlineStr">
        <is>
          <t>Partidas Cap 5</t>
        </is>
      </c>
      <c r="B32" s="10" t="inlineStr">
        <is>
          <t>fragmento colado após C5_R2 (P14.outros, P15 diz/fala/...)</t>
        </is>
      </c>
      <c r="C32" s="10" t="inlineStr">
        <is>
          <t>pertence ao Final (FIM_R2), não ao Cap. 5; não tratado aqui</t>
        </is>
      </c>
      <c r="D32" s="10" t="n">
        <v>8</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2026-10-03T02:10:29Z</dcterms:created>
  <dcterms:modified xmlns:dcterms="http://purl.org/dc/terms/" xmlns:xsi="http://www.w3.org/2001/XMLSchema-instance" xsi:type="dcterms:W3CDTF">2026-10-11T14:26:35Z</dcterms:modified>
  <cp:revision>0</cp:revision>
</cp:coreProperties>
</file>
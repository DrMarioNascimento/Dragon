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Resumo" sheetId="2" state="visible" r:id="rId2"/>
    <sheet xmlns:r="http://schemas.openxmlformats.org/officeDocument/2006/relationships" name="Partidas" sheetId="3" state="visible" r:id="rId3"/>
    <sheet xmlns:r="http://schemas.openxmlformats.org/officeDocument/2006/relationships" name="Ajustes A1–A10" sheetId="4" state="visible" r:id="rId4"/>
    <sheet xmlns:r="http://schemas.openxmlformats.org/officeDocument/2006/relationships" name="Elenco" sheetId="5" state="visible" r:id="rId5"/>
    <sheet xmlns:r="http://schemas.openxmlformats.org/officeDocument/2006/relationships" name="Casas" sheetId="6" state="visible" r:id="rId6"/>
    <sheet xmlns:r="http://schemas.openxmlformats.org/officeDocument/2006/relationships" name="Linha do tempo" sheetId="7" state="visible" r:id="rId7"/>
    <sheet xmlns:r="http://schemas.openxmlformats.org/officeDocument/2006/relationships" name="Janela 87 s" sheetId="8" state="visible" r:id="rId8"/>
    <sheet xmlns:r="http://schemas.openxmlformats.org/officeDocument/2006/relationships" name="Postos na janela" sheetId="9" state="visible" r:id="rId9"/>
    <sheet xmlns:r="http://schemas.openxmlformats.org/officeDocument/2006/relationships" name="Perspectivas" sheetId="10" state="visible" r:id="rId10"/>
    <sheet xmlns:r="http://schemas.openxmlformats.org/officeDocument/2006/relationships" name="Lugares" sheetId="11" state="visible" r:id="rId11"/>
    <sheet xmlns:r="http://schemas.openxmlformats.org/officeDocument/2006/relationships" name="Rotas e visão" sheetId="12" state="visible" r:id="rId12"/>
    <sheet xmlns:r="http://schemas.openxmlformats.org/officeDocument/2006/relationships" name="Acessos" sheetId="13" state="visible" r:id="rId13"/>
    <sheet xmlns:r="http://schemas.openxmlformats.org/officeDocument/2006/relationships" name="Capítulos" sheetId="14" state="visible" r:id="rId14"/>
    <sheet xmlns:r="http://schemas.openxmlformats.org/officeDocument/2006/relationships" name="Seis eixos" sheetId="15" state="visible" r:id="rId15"/>
    <sheet xmlns:r="http://schemas.openxmlformats.org/officeDocument/2006/relationships" name="Provas e cobertura" sheetId="16" state="visible" r:id="rId16"/>
    <sheet xmlns:r="http://schemas.openxmlformats.org/officeDocument/2006/relationships" name="Perguntas" sheetId="17" state="visible" r:id="rId17"/>
    <sheet xmlns:r="http://schemas.openxmlformats.org/officeDocument/2006/relationships" name="Plantações" sheetId="18" state="visible" r:id="rId18"/>
    <sheet xmlns:r="http://schemas.openxmlformats.org/officeDocument/2006/relationships" name="RA" sheetId="19" state="visible" r:id="rId19"/>
    <sheet xmlns:r="http://schemas.openxmlformats.org/officeDocument/2006/relationships" name="Prólogo" sheetId="20" state="visible" r:id="rId20"/>
    <sheet xmlns:r="http://schemas.openxmlformats.org/officeDocument/2006/relationships" name="Cap 1" sheetId="21" state="visible" r:id="rId21"/>
    <sheet xmlns:r="http://schemas.openxmlformats.org/officeDocument/2006/relationships" name="Cap 2" sheetId="22" state="visible" r:id="rId22"/>
    <sheet xmlns:r="http://schemas.openxmlformats.org/officeDocument/2006/relationships" name="Cap 3" sheetId="23" state="visible" r:id="rId23"/>
    <sheet xmlns:r="http://schemas.openxmlformats.org/officeDocument/2006/relationships" name="Cap 4" sheetId="24" state="visible" r:id="rId24"/>
    <sheet xmlns:r="http://schemas.openxmlformats.org/officeDocument/2006/relationships" name="Cap 5" sheetId="25" state="visible" r:id="rId25"/>
    <sheet xmlns:r="http://schemas.openxmlformats.org/officeDocument/2006/relationships" name="Cap 6" sheetId="26" state="visible" r:id="rId26"/>
    <sheet xmlns:r="http://schemas.openxmlformats.org/officeDocument/2006/relationships" name="Cap 7" sheetId="27" state="visible" r:id="rId27"/>
    <sheet xmlns:r="http://schemas.openxmlformats.org/officeDocument/2006/relationships" name="Cap 8" sheetId="28" state="visible" r:id="rId28"/>
    <sheet xmlns:r="http://schemas.openxmlformats.org/officeDocument/2006/relationships" name="Variantes Cap 8" sheetId="29" state="visible" r:id="rId29"/>
    <sheet xmlns:r="http://schemas.openxmlformats.org/officeDocument/2006/relationships" name="Pendências" sheetId="30" state="visible" r:id="rId30"/>
    <sheet xmlns:r="http://schemas.openxmlformats.org/officeDocument/2006/relationships" name="Mudanças no docx" sheetId="31" state="visible" r:id="rId31"/>
  </sheets>
  <definedNames>
    <definedName name="_xlnm._FilterDatabase" localSheetId="2" hidden="1">'Partidas'!$A$1:$K$4</definedName>
    <definedName name="_xlnm._FilterDatabase" localSheetId="3" hidden="1">'Ajustes A1–A10'!$A$1:$E$15</definedName>
    <definedName name="_xlnm._FilterDatabase" localSheetId="4" hidden="1">'Elenco'!$A$1:$R$19</definedName>
    <definedName name="_xlnm._FilterDatabase" localSheetId="5" hidden="1">'Casas'!$A$1:$G$6</definedName>
    <definedName name="_xlnm._FilterDatabase" localSheetId="6" hidden="1">'Linha do tempo'!$A$1:$H$74</definedName>
    <definedName name="_xlnm._FilterDatabase" localSheetId="7" hidden="1">'Janela 87 s'!$A$3:$D$21</definedName>
    <definedName name="_xlnm._FilterDatabase" localSheetId="8" hidden="1">'Postos na janela'!$A$1:$E$19</definedName>
    <definedName name="_xlnm._FilterDatabase" localSheetId="9" hidden="1">'Perspectivas'!$A$1:$E$22</definedName>
    <definedName name="_xlnm._FilterDatabase" localSheetId="10" hidden="1">'Lugares'!$A$1:$C$20</definedName>
    <definedName name="_xlnm._FilterDatabase" localSheetId="11" hidden="1">'Rotas e visão'!$A$1:$D$13</definedName>
    <definedName name="_xlnm._FilterDatabase" localSheetId="12" hidden="1">'Acessos'!$A$1:$B$8</definedName>
    <definedName name="_xlnm._FilterDatabase" localSheetId="13" hidden="1">'Capítulos'!$A$1:$S$10</definedName>
    <definedName name="_xlnm._FilterDatabase" localSheetId="14" hidden="1">'Seis eixos'!$A$1:$F$43</definedName>
    <definedName name="_xlnm._FilterDatabase" localSheetId="15" hidden="1">'Provas e cobertura'!$A$1:$J$24</definedName>
    <definedName name="_xlnm._FilterDatabase" localSheetId="16" hidden="1">'Perguntas'!$A$1:$K$26</definedName>
    <definedName name="_xlnm._FilterDatabase" localSheetId="17" hidden="1">'Plantações'!$A$1:$D$9</definedName>
    <definedName name="_xlnm._FilterDatabase" localSheetId="18" hidden="1">'RA'!$A$1:$E$10</definedName>
    <definedName name="_xlnm._FilterDatabase" localSheetId="19" hidden="1">'Prólogo'!$A$1:$T$15</definedName>
    <definedName name="_xlnm._FilterDatabase" localSheetId="20" hidden="1">'Cap 1'!$A$1:$T$45</definedName>
    <definedName name="_xlnm._FilterDatabase" localSheetId="21" hidden="1">'Cap 2'!$A$1:$T$47</definedName>
    <definedName name="_xlnm._FilterDatabase" localSheetId="22" hidden="1">'Cap 3'!$A$1:$T$35</definedName>
    <definedName name="_xlnm._FilterDatabase" localSheetId="23" hidden="1">'Cap 4'!$A$1:$T$41</definedName>
    <definedName name="_xlnm._FilterDatabase" localSheetId="24" hidden="1">'Cap 5'!$A$1:$T$37</definedName>
    <definedName name="_xlnm._FilterDatabase" localSheetId="25" hidden="1">'Cap 6'!$A$1:$T$28</definedName>
    <definedName name="_xlnm._FilterDatabase" localSheetId="26" hidden="1">'Cap 7'!$A$1:$T$37</definedName>
    <definedName name="_xlnm._FilterDatabase" localSheetId="27" hidden="1">'Cap 8'!$A$1:$T$39</definedName>
    <definedName name="_xlnm._FilterDatabase" localSheetId="28" hidden="1">'Variantes Cap 8'!$A$1:$G$4</definedName>
    <definedName name="_xlnm._FilterDatabase" localSheetId="29" hidden="1">'Pendências'!$A$1:$F$19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A4D"/>
      <sz val="13"/>
    </font>
    <font>
      <name val="Arial"/>
      <b val="1"/>
      <color rgb="00000000"/>
      <sz val="10"/>
    </font>
    <font>
      <name val="Arial"/>
      <sz val="10"/>
    </font>
    <font>
      <name val="Arial"/>
      <b val="1"/>
      <color rgb="00FFFFFF"/>
      <sz val="10"/>
    </font>
    <font>
      <name val="Arial"/>
      <b val="1"/>
      <color rgb="001F3A4D"/>
      <sz val="11"/>
    </font>
    <font>
      <name val="Arial"/>
      <b val="1"/>
      <sz val="10"/>
    </font>
    <font>
      <name val="Arial"/>
      <b val="1"/>
      <color rgb="001F3A4D"/>
      <sz val="12"/>
    </font>
  </fonts>
  <fills count="7">
    <fill>
      <patternFill/>
    </fill>
    <fill>
      <patternFill patternType="gray125"/>
    </fill>
    <fill>
      <patternFill patternType="solid">
        <fgColor rgb="001F3A4D"/>
      </patternFill>
    </fill>
    <fill>
      <patternFill patternType="solid">
        <fgColor rgb="00F4F6F8"/>
      </patternFill>
    </fill>
    <fill>
      <patternFill patternType="solid">
        <fgColor rgb="00FCE4D6"/>
      </patternFill>
    </fill>
    <fill>
      <patternFill patternType="solid">
        <fgColor rgb="00FFF2CC"/>
      </patternFill>
    </fill>
    <fill>
      <patternFill patternType="solid">
        <fgColor rgb="00E2EFD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4" fillId="2" borderId="0" pivotButton="0" quotePrefix="0" xfId="0"/>
    <xf numFmtId="0" fontId="6" fillId="0" borderId="0" pivotButton="0" quotePrefix="0" xfId="0"/>
    <xf numFmtId="0" fontId="4" fillId="2"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5" fillId="0" borderId="0" pivotButton="0" quotePrefix="0" xfId="0"/>
    <xf numFmtId="0" fontId="3" fillId="4" borderId="1" applyAlignment="1" pivotButton="0" quotePrefix="0" xfId="0">
      <alignment vertical="top" wrapText="1"/>
    </xf>
    <xf numFmtId="0" fontId="3" fillId="5" borderId="1" applyAlignment="1" pivotButton="0" quotePrefix="0" xfId="0">
      <alignment vertical="top" wrapText="1"/>
    </xf>
    <xf numFmtId="0" fontId="7" fillId="0" borderId="0" pivotButton="0" quotePrefix="0" xfId="0"/>
    <xf numFmtId="0" fontId="3" fillId="6" borderId="1" applyAlignment="1" pivotButton="0" quotePrefix="0" xfId="0">
      <alignment vertical="top" wrapText="1"/>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2" customWidth="1" min="1" max="1"/>
    <col width="120" customWidth="1" min="2" max="2"/>
  </cols>
  <sheetData>
    <row r="1">
      <c r="A1" s="1" t="inlineStr">
        <is>
          <t>MOSAICO · A Manhã do Carro-Forte · O Impostor — Matriz do caso</t>
        </is>
      </c>
      <c r="B1" s="2" t="n"/>
    </row>
    <row r="2">
      <c r="A2" s="3" t="inlineStr"/>
      <c r="B2" s="2" t="n"/>
    </row>
    <row r="3">
      <c r="A3" s="3" t="inlineStr">
        <is>
          <t>O que é</t>
        </is>
      </c>
      <c r="B3" s="4" t="inlineStr">
        <is>
          <t>A "bíblia antes do código" (Guia técnico, seção 18): tudo o que o jogo precisa saber da história, em tabelas. Fonte única: A_Manha_do_Carro_Forte_-_O_impostor_revisao2.docx (revisão 2, 4/10/2026). Nada aqui é texto para o jogador.</t>
        </is>
      </c>
    </row>
    <row r="4">
      <c r="A4" s="3" t="inlineStr">
        <is>
          <t>Partidas lógicas</t>
        </is>
      </c>
      <c r="B4" s="4" t="inlineStr">
        <is>
          <t>Três: S (impostor: Subgerente, versão de referência), G (Gerente) e V (Caixa Veterano). O ato é o mesmo; mudam só os pontos A1–A10.</t>
        </is>
      </c>
    </row>
    <row r="5">
      <c r="A5" s="3" t="inlineStr">
        <is>
          <t>Casas</t>
        </is>
      </c>
      <c r="B5" s="4" t="inlineStr">
        <is>
          <t>Núcleo 6 → +1º bloco = 8 → +2º = 10 → +3º = 12 → +Transportador = 13 personagens jogáveis. O oculto (Monitor Remoto), o vigia de fora (Operador de Rádio) e os três de apoio (Motorista, Segurança Interno, Caixa Novato) estão em toda casa, sempre do sistema.</t>
        </is>
      </c>
    </row>
    <row r="6">
      <c r="A6" s="3" t="inlineStr">
        <is>
          <t>Abas de estrutura</t>
        </is>
      </c>
      <c r="B6" s="4" t="inlineStr">
        <is>
          <t>Partidas · Ajustes A1–A10 · Elenco · Casas · Linha do tempo · Janela 87 s · Postos na janela · Perspectivas · Lugares · Rotas e visão · Acessos · Capítulos · Seis eixos · Provas e cobertura · Perguntas · Plantações · RA</t>
        </is>
      </c>
    </row>
    <row r="7">
      <c r="A7" s="3" t="inlineStr">
        <is>
          <t>Abas de falas</t>
        </is>
      </c>
      <c r="B7" s="4" t="inlineStr">
        <is>
          <t>Prólogo e Cap 1 a Cap 8: cada fala do texto público (diretas e indiretas), com quem fala, canal, função, prova, ponto de ajuste, variação G/V e se sai quando o personagem não está na casa. As 6 colunas de personalidade estão vazias: é a próxima passada.</t>
        </is>
      </c>
    </row>
    <row r="8">
      <c r="A8" s="3" t="inlineStr">
        <is>
          <t>Variantes Cap 8</t>
        </is>
      </c>
      <c r="B8" s="4" t="inlineStr">
        <is>
          <t>Confissão, saída (A10), mudanças na acusação e no epílogo de cada partida.</t>
        </is>
      </c>
    </row>
    <row r="9">
      <c r="A9" s="3" t="inlineStr">
        <is>
          <t>Pendências</t>
        </is>
      </c>
      <c r="B9" s="4" t="inlineStr">
        <is>
          <t>Contradições e buracos encontrados ao montar a matriz, com proposta e a decisão do Mario. Verde = decidido ou aplicado no jogo.</t>
        </is>
      </c>
    </row>
    <row r="10">
      <c r="A10" s="3" t="inlineStr">
        <is>
          <t>Mudanças no docx</t>
        </is>
      </c>
      <c r="B10" s="4" t="inlineStr">
        <is>
          <t>Lista do que mudar no docx da revisão 2 para a revisão 3: texto atual, texto novo e motivo. O docx não foi alterado.</t>
        </is>
      </c>
    </row>
    <row r="11">
      <c r="A11" s="3" t="inlineStr">
        <is>
          <t>Cores</t>
        </is>
      </c>
      <c r="B11" s="4" t="inlineStr">
        <is>
          <t>Amarelo = linha com ponto de ajuste (muda por partida). Laranja = falta fonte / pendência. Verde = coberto.</t>
        </is>
      </c>
    </row>
    <row r="12">
      <c r="A12" s="3" t="inlineStr">
        <is>
          <t>Ids</t>
        </is>
      </c>
      <c r="B12" s="4" t="inlineStr">
        <is>
          <t>Personagens pela função, minúsculas, sem acento (gerente, caixa_veterano…). Lugares com hífen (sala-gerencia, arquivo-morto…). Falas: cN-NNN.</t>
        </is>
      </c>
    </row>
    <row r="13">
      <c r="A13" s="3" t="inlineStr">
        <is>
          <t>Rascunho</t>
        </is>
      </c>
      <c r="B13" s="4" t="inlineStr">
        <is>
          <t>As perguntas por capítulo são proposta minha a partir das fichas dos capítulos; precisam da sua aprovação.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min="1" max="1"/>
    <col width="16" customWidth="1" min="2" max="2"/>
    <col width="16" customWidth="1" min="3" max="3"/>
    <col width="16" customWidth="1" min="4" max="4"/>
  </cols>
  <sheetData>
    <row r="1">
      <c r="A1" s="5" t="inlineStr">
        <is>
          <t>Aba</t>
        </is>
      </c>
      <c r="B1" s="5" t="inlineStr">
        <is>
          <t>Linhas</t>
        </is>
      </c>
      <c r="C1" s="5" t="inlineStr">
        <is>
          <t>Com ajuste</t>
        </is>
      </c>
      <c r="D1" s="5" t="inlineStr">
        <is>
          <t>Saem se ausente</t>
        </is>
      </c>
    </row>
    <row r="2">
      <c r="A2" t="inlineStr">
        <is>
          <t>Prólogo</t>
        </is>
      </c>
      <c r="B2">
        <f>COUNTA('Prólogo'!A2:A15)</f>
        <v/>
      </c>
      <c r="C2">
        <f>COUNTIF('Prólogo'!J2:J15,"A*")</f>
        <v/>
      </c>
      <c r="D2">
        <f>COUNTIF('Prólogo'!M2:M15,"sim")</f>
        <v/>
      </c>
    </row>
    <row r="3">
      <c r="A3" t="inlineStr">
        <is>
          <t>Cap 1</t>
        </is>
      </c>
      <c r="B3">
        <f>COUNTA('Cap 1'!A2:A45)</f>
        <v/>
      </c>
      <c r="C3">
        <f>COUNTIF('Cap 1'!J2:J45,"A*")</f>
        <v/>
      </c>
      <c r="D3">
        <f>COUNTIF('Cap 1'!M2:M45,"sim")</f>
        <v/>
      </c>
    </row>
    <row r="4">
      <c r="A4" t="inlineStr">
        <is>
          <t>Cap 2</t>
        </is>
      </c>
      <c r="B4">
        <f>COUNTA('Cap 2'!A2:A47)</f>
        <v/>
      </c>
      <c r="C4">
        <f>COUNTIF('Cap 2'!J2:J47,"A*")</f>
        <v/>
      </c>
      <c r="D4">
        <f>COUNTIF('Cap 2'!M2:M47,"sim")</f>
        <v/>
      </c>
    </row>
    <row r="5">
      <c r="A5" t="inlineStr">
        <is>
          <t>Cap 3</t>
        </is>
      </c>
      <c r="B5">
        <f>COUNTA('Cap 3'!A2:A35)</f>
        <v/>
      </c>
      <c r="C5">
        <f>COUNTIF('Cap 3'!J2:J35,"A*")</f>
        <v/>
      </c>
      <c r="D5">
        <f>COUNTIF('Cap 3'!M2:M35,"sim")</f>
        <v/>
      </c>
    </row>
    <row r="6">
      <c r="A6" t="inlineStr">
        <is>
          <t>Cap 4</t>
        </is>
      </c>
      <c r="B6">
        <f>COUNTA('Cap 4'!A2:A41)</f>
        <v/>
      </c>
      <c r="C6">
        <f>COUNTIF('Cap 4'!J2:J41,"A*")</f>
        <v/>
      </c>
      <c r="D6">
        <f>COUNTIF('Cap 4'!M2:M41,"sim")</f>
        <v/>
      </c>
    </row>
    <row r="7">
      <c r="A7" t="inlineStr">
        <is>
          <t>Cap 5</t>
        </is>
      </c>
      <c r="B7">
        <f>COUNTA('Cap 5'!A2:A37)</f>
        <v/>
      </c>
      <c r="C7">
        <f>COUNTIF('Cap 5'!J2:J37,"A*")</f>
        <v/>
      </c>
      <c r="D7">
        <f>COUNTIF('Cap 5'!M2:M37,"sim")</f>
        <v/>
      </c>
    </row>
    <row r="8">
      <c r="A8" t="inlineStr">
        <is>
          <t>Cap 6</t>
        </is>
      </c>
      <c r="B8">
        <f>COUNTA('Cap 6'!A2:A28)</f>
        <v/>
      </c>
      <c r="C8">
        <f>COUNTIF('Cap 6'!J2:J28,"A*")</f>
        <v/>
      </c>
      <c r="D8">
        <f>COUNTIF('Cap 6'!M2:M28,"sim")</f>
        <v/>
      </c>
    </row>
    <row r="9">
      <c r="A9" t="inlineStr">
        <is>
          <t>Cap 7</t>
        </is>
      </c>
      <c r="B9">
        <f>COUNTA('Cap 7'!A2:A37)</f>
        <v/>
      </c>
      <c r="C9">
        <f>COUNTIF('Cap 7'!J2:J37,"A*")</f>
        <v/>
      </c>
      <c r="D9">
        <f>COUNTIF('Cap 7'!M2:M37,"sim")</f>
        <v/>
      </c>
    </row>
    <row r="10">
      <c r="A10" t="inlineStr">
        <is>
          <t>Cap 8</t>
        </is>
      </c>
      <c r="B10">
        <f>COUNTA('Cap 8'!A2:A39)</f>
        <v/>
      </c>
      <c r="C10">
        <f>COUNTIF('Cap 8'!J2:J39,"A*")</f>
        <v/>
      </c>
      <c r="D10">
        <f>COUNTIF('Cap 8'!M2:M39,"sim")</f>
        <v/>
      </c>
    </row>
    <row r="11">
      <c r="A11" s="6" t="inlineStr">
        <is>
          <t>Total</t>
        </is>
      </c>
      <c r="B11" s="6">
        <f>SUM(B2:B10)</f>
        <v/>
      </c>
      <c r="C11" s="6">
        <f>SUM(C2:C10)</f>
        <v/>
      </c>
      <c r="D11" s="6">
        <f>SUM(D2:D10)</f>
        <v/>
      </c>
    </row>
    <row r="12"/>
    <row r="13">
      <c r="A13" t="inlineStr">
        <is>
          <t>Pendências abertas</t>
        </is>
      </c>
      <c r="B13">
        <f>COUNTA(Pendências!A2:A60)-COUNTA(Pendências!F2:F60)</f>
        <v/>
      </c>
    </row>
    <row r="14">
      <c r="A14" t="inlineStr">
        <is>
          <t>Perguntas (rascunho)</t>
        </is>
      </c>
      <c r="B14">
        <f>COUNTA(Perguntas!A2:A26)</f>
        <v/>
      </c>
    </row>
    <row r="15">
      <c r="A15" t="inlineStr">
        <is>
          <t>Provas com FALTA na casa 6</t>
        </is>
      </c>
      <c r="B15">
        <f>COUNTIF('Provas e cobertura'!F2:F24,"FALTA")</f>
        <v/>
      </c>
    </row>
    <row r="16">
      <c r="A16" t="inlineStr">
        <is>
          <t>Mudanças no docx (para a revisão 3)</t>
        </is>
      </c>
      <c r="B16">
        <f>COUNTA('Mudanças no docx'!A2:A60)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30" customWidth="1" min="3" max="3"/>
    <col width="14" customWidth="1" min="4" max="4"/>
    <col width="9" customWidth="1" min="5" max="5"/>
    <col width="30" customWidth="1" min="6" max="6"/>
    <col width="22" customWidth="1" min="7" max="7"/>
    <col width="38" customWidth="1" min="8" max="8"/>
    <col width="34" customWidth="1" min="9" max="9"/>
    <col width="30" customWidth="1" min="10" max="10"/>
    <col width="26" customWidth="1" min="11" max="11"/>
  </cols>
  <sheetData>
    <row r="1">
      <c r="A1" s="7" t="inlineStr">
        <is>
          <t>Partida</t>
        </is>
      </c>
      <c r="B1" s="7" t="inlineStr">
        <is>
          <t>Impostor (sempre do sistema)</t>
        </is>
      </c>
      <c r="C1" s="7" t="inlineStr">
        <is>
          <t>Ajudante (A2)</t>
        </is>
      </c>
      <c r="D1" s="7" t="inlineStr">
        <is>
          <t>Falso culpado</t>
        </is>
      </c>
      <c r="E1" s="7" t="inlineStr">
        <is>
          <t>Casa mínima</t>
        </is>
      </c>
      <c r="F1" s="7" t="inlineStr">
        <is>
          <t>Lugares para humanos (casa − impostor)</t>
        </is>
      </c>
      <c r="G1" s="7" t="inlineStr">
        <is>
          <t>Onde disse estar na janela (A5)</t>
        </is>
      </c>
      <c r="H1" s="7" t="inlineStr">
        <is>
          <t>Quem o viu não estar (A5)</t>
        </is>
      </c>
      <c r="I1" s="7" t="inlineStr">
        <is>
          <t>Rastros (A3, A6, A7)</t>
        </is>
      </c>
      <c r="J1" s="7" t="inlineStr">
        <is>
          <t>Origem dos R$ 96.000 (A8)</t>
        </is>
      </c>
      <c r="K1" s="7" t="inlineStr">
        <is>
          <t>Confissão (A9)</t>
        </is>
      </c>
    </row>
    <row r="2">
      <c r="A2" s="8" t="inlineStr">
        <is>
          <t>S</t>
        </is>
      </c>
      <c r="B2" s="8" t="inlineStr">
        <is>
          <t>O Subgerente</t>
        </is>
      </c>
      <c r="C2" s="8" t="inlineStr">
        <is>
          <t>O Caixa Veterano (inconsciente: assinou o malote sem contar)</t>
        </is>
      </c>
      <c r="D2" s="8" t="inlineStr">
        <is>
          <t>O Técnico</t>
        </is>
      </c>
      <c r="E2" s="8" t="n">
        <v>8</v>
      </c>
      <c r="F2" s="8" t="inlineStr">
        <is>
          <t>casa 8: 7; casa 10: 9; casa 12: 11; casa 13: 12</t>
        </is>
      </c>
      <c r="G2" s="8" t="inlineStr">
        <is>
          <t>Nos Guichês, buscando a guia</t>
        </is>
      </c>
      <c r="H2" s="8" t="inlineStr">
        <is>
          <t>Câmera 2 (só o mostra às 8h00:05); reforço: Estagiária</t>
        </is>
      </c>
      <c r="I2" s="8" t="inlineStr">
        <is>
          <t>fita no indicador (A3), farinha na barra (A6), cartão do rádio (A7)</t>
        </is>
      </c>
      <c r="J2" s="8" t="inlineStr">
        <is>
          <t>joias da família empenhadas (A8)</t>
        </is>
      </c>
      <c r="K2" s="8" t="inlineStr">
        <is>
          <t>Texto público do Cap. 8 (versão de referência)</t>
        </is>
      </c>
    </row>
    <row r="3">
      <c r="A3" s="9" t="inlineStr">
        <is>
          <t>G</t>
        </is>
      </c>
      <c r="B3" s="9" t="inlineStr">
        <is>
          <t>O Gerente</t>
        </is>
      </c>
      <c r="C3" s="9" t="inlineStr">
        <is>
          <t>O Subgerente (inconsciente: assinou o malote sem contar)</t>
        </is>
      </c>
      <c r="D3" s="9" t="inlineStr">
        <is>
          <t>O Técnico</t>
        </is>
      </c>
      <c r="E3" s="9" t="n">
        <v>8</v>
      </c>
      <c r="F3" s="9" t="inlineStr">
        <is>
          <t>casa 8: 7; casa 10: 9; casa 12: 11; casa 13: 12</t>
        </is>
      </c>
      <c r="G3" s="9" t="inlineStr">
        <is>
          <t>"Ao telefone"</t>
        </is>
      </c>
      <c r="H3" s="9" t="inlineStr">
        <is>
          <t>Ramal da Gerência sem chamada entre 7h50 e 8h10; câmera 1 o mostra entrando na divisória às 7h57:50</t>
        </is>
      </c>
      <c r="I3" s="9" t="inlineStr">
        <is>
          <t>fita (A3: tabela diz indicador, Variante G diz indicador), farinha (A6), cartão (A7)</t>
        </is>
      </c>
      <c r="J3" s="9" t="inlineStr">
        <is>
          <t>resgate antecipado da previdência privada (A8)</t>
        </is>
      </c>
      <c r="K3" s="9" t="inlineStr">
        <is>
          <t>Variante G, no fim do Cap. 8</t>
        </is>
      </c>
    </row>
    <row r="4">
      <c r="A4" s="8" t="inlineStr">
        <is>
          <t>V</t>
        </is>
      </c>
      <c r="B4" s="8" t="inlineStr">
        <is>
          <t>O Caixa Veterano</t>
        </is>
      </c>
      <c r="C4" s="8" t="inlineStr">
        <is>
          <t>O Subgerente (inconsciente: assinou o malote sem contar)</t>
        </is>
      </c>
      <c r="D4" s="8" t="inlineStr">
        <is>
          <t>O Técnico</t>
        </is>
      </c>
      <c r="E4" s="8" t="n">
        <v>8</v>
      </c>
      <c r="F4" s="8" t="inlineStr">
        <is>
          <t>casa 8: 7; casa 10: 9; casa 12: 11; casa 13: 12</t>
        </is>
      </c>
      <c r="G4" s="8" t="inlineStr">
        <is>
          <t>"Na Mesa"</t>
        </is>
      </c>
      <c r="H4" s="8" t="inlineStr">
        <is>
          <t>Câmera 2 mostra a Mesa vazia até 8h00:02; reforço: Segurança do Veículo</t>
        </is>
      </c>
      <c r="I4" s="8" t="inlineStr">
        <is>
          <t>fita no indicador (A3), farinha (A6), cartão (A7)</t>
        </is>
      </c>
      <c r="J4" s="8" t="inlineStr">
        <is>
          <t>economias guardadas para a aposentadoria (A8)</t>
        </is>
      </c>
      <c r="K4" s="8" t="inlineStr">
        <is>
          <t>Variante V, no fim do Cap. 8</t>
        </is>
      </c>
    </row>
    <row r="6">
      <c r="A6" s="10" t="inlineStr">
        <is>
          <t>Fixo nas três partidas</t>
        </is>
      </c>
    </row>
    <row r="7" ht="45" customHeight="1">
      <c r="A7" s="6" t="inlineStr">
        <is>
          <t>Falso culpado (fixo)</t>
        </is>
      </c>
      <c r="B7" s="4" t="inlineStr">
        <is>
          <t>O Técnico — conta admin.local, chave da porta lateral, passagem, "no Rack", atualização que travou o sistema. Exclusão na virada do fim do Cap. 6: Segurança Interno + registro do aplicativo de entregas (7h58:51); reforço: fotografias do Padeiro.</t>
        </is>
      </c>
    </row>
    <row r="8" ht="45" customHeight="1">
      <c r="A8" s="6" t="inlineStr">
        <is>
          <t>Ajudantes involuntários (fixos)</t>
        </is>
      </c>
      <c r="B8" s="4" t="inlineStr">
        <is>
          <t>Segurança Interno (rádio fora do carregador), Segurança do Veículo (conferiu o lacre pela tela), Funcionário da Limpeza (transformou o descarte em cena).</t>
        </is>
      </c>
    </row>
    <row r="9" ht="45" customHeight="1">
      <c r="A9" s="6" t="inlineStr">
        <is>
          <t>Encobrimento (fixo)</t>
        </is>
      </c>
      <c r="B9" s="4" t="inlineStr">
        <is>
          <t>O Gerente, às 8h31, encosta um cabo na grade quente do exaustor do Rack (curto às 8h51) para apagar o ajuste_96. Na partida G é encobrimento e autoria.</t>
        </is>
      </c>
    </row>
    <row r="10" ht="45" customHeight="1">
      <c r="A10" s="6" t="inlineStr">
        <is>
          <t>O oculto (fixo)</t>
        </is>
      </c>
      <c r="B10" s="4" t="inlineStr">
        <is>
          <t>O Monitor Remoto: denúncia anônima, mensagem das 8h10, reimpressão das 8h35, mensagem do epílogo. Nunca aparece, nunca é o impostor, nunca é humano.</t>
        </is>
      </c>
    </row>
    <row r="11" ht="45" customHeight="1">
      <c r="A11" s="6" t="inlineStr">
        <is>
          <t>O vigia de fora (fixo)</t>
        </is>
      </c>
      <c r="B11" s="4" t="inlineStr">
        <is>
          <t>O Operador de Rádio: antecipação das 6h52, canal fechado às 7h49, registro bruto das 8h29, contagem das 9h31, suprimento à 0392 (9h56). Não mente; nunca é humano.</t>
        </is>
      </c>
    </row>
    <row r="12" ht="45" customHeight="1">
      <c r="A12" s="6" t="inlineStr">
        <is>
          <t>Pistas menores (fixas)</t>
        </is>
      </c>
      <c r="B12" s="4" t="inlineStr">
        <is>
          <t>Estagiária (senha e cópia da 17-B), Funcionário da Limpeza (chave e saco no chão), Operadora (esmalte), Caixa Novato (pasta, pânico, banheiro).</t>
        </is>
      </c>
    </row>
    <row r="13" ht="45" customHeight="1">
      <c r="A13" s="6" t="inlineStr">
        <is>
          <t>Ato do impostor (fixo nas 3)</t>
        </is>
      </c>
      <c r="B13" s="4" t="inlineStr">
        <is>
          <t>8 dias antes percebe a duplicidade e cala; 5 dias antes agenda saque de R$ 96.000 na 0392; véspera 15h50 lacra o malote 41 com R$ 384.000 sob guia de R$ 480.000; 16h30 retira os R$ 96.000; 6h28–7h06 entra pela porta lateral, guarda o dinheiro na caixa de 1998, pede a antecipação (6h52), troca o lacre no registro (6h58), afrouxa o conector da câmera 3; 7h57:55 pareia o rádio; 7h58:05 ordem falsa; troca pela passagem; volta à Gerência às 7h59:54.</t>
        </is>
      </c>
    </row>
  </sheetData>
  <autoFilter ref="A1:K4"/>
  <mergeCells count="7">
    <mergeCell ref="B8:K8"/>
    <mergeCell ref="B9:K9"/>
    <mergeCell ref="B13:K13"/>
    <mergeCell ref="B12:K12"/>
    <mergeCell ref="B7:K7"/>
    <mergeCell ref="B10:K10"/>
    <mergeCell ref="B11:K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42" customWidth="1" min="3" max="3"/>
    <col width="42" customWidth="1" min="4" max="4"/>
    <col width="46" customWidth="1" min="5" max="5"/>
  </cols>
  <sheetData>
    <row r="1">
      <c r="A1" s="7" t="inlineStr">
        <is>
          <t>Ponto</t>
        </is>
      </c>
      <c r="B1" s="7" t="inlineStr">
        <is>
          <t>Partida S — Subgerente (referência)</t>
        </is>
      </c>
      <c r="C1" s="7" t="inlineStr">
        <is>
          <t>Partida G — Gerente</t>
        </is>
      </c>
      <c r="D1" s="7" t="inlineStr">
        <is>
          <t>Partida V — Caixa Veterano</t>
        </is>
      </c>
      <c r="E1" s="7" t="inlineStr">
        <is>
          <t>Observação</t>
        </is>
      </c>
    </row>
    <row r="2">
      <c r="A2" s="8" t="inlineStr">
        <is>
          <t>A1. Quem percebeu a duplicidade oito dias antes, e como</t>
        </is>
      </c>
      <c r="B2" s="8" t="inlineStr">
        <is>
          <t>Ao reler o espelho do reprocessamento</t>
        </is>
      </c>
      <c r="C2" s="8" t="inlineStr">
        <is>
          <t>Ao assinar o balancete semanal do Cofre</t>
        </is>
      </c>
      <c r="D2" s="8" t="inlineStr">
        <is>
          <t>Ao refazer de cabeça a soma do frigorífico</t>
        </is>
      </c>
      <c r="E2" s="8" t="inlineStr"/>
    </row>
    <row r="3">
      <c r="A3" s="9" t="inlineStr">
        <is>
          <t>A2. Malote 41 na véspera, 15h50: quem contou e lacrou; quem assinou
sem contar (o ajudante)</t>
        </is>
      </c>
      <c r="B3" s="9" t="inlineStr">
        <is>
          <t>Contou o Subgerente; assinou o Caixa Veterano</t>
        </is>
      </c>
      <c r="C3" s="9" t="inlineStr">
        <is>
          <t>Contou o Gerente; assinou o Subgerente</t>
        </is>
      </c>
      <c r="D3" s="9" t="inlineStr">
        <is>
          <t>Contou o Caixa Veterano; assinou o Subgerente</t>
        </is>
      </c>
      <c r="E3" s="9" t="inlineStr"/>
    </row>
    <row r="4">
      <c r="A4" s="11" t="inlineStr">
        <is>
          <t>A3. O corte coberto por fita microporosa estreita (1,2 cm)</t>
        </is>
      </c>
      <c r="B4" s="11" t="inlineStr">
        <is>
          <t>No indicador do Subgerente</t>
        </is>
      </c>
      <c r="C4" s="11" t="inlineStr">
        <is>
          <t>No indicador do Gerente</t>
        </is>
      </c>
      <c r="D4" s="11" t="inlineStr">
        <is>
          <t>No indicador do Caixa Veterano</t>
        </is>
      </c>
      <c r="E4" s="11" t="inlineStr">
        <is>
          <t>DECIDIDO 05/10: indicador nas três partidas (o docx ainda diz polegar).</t>
        </is>
      </c>
    </row>
    <row r="5">
      <c r="A5" s="9" t="inlineStr">
        <is>
          <t>A4. Na Gerência, às 7h57:50</t>
        </is>
      </c>
      <c r="B5" s="9" t="inlineStr">
        <is>
          <t>O Caixa Veterano assina primeiro e sai para a Mesa; o Subgerente
fica “para fechar o livro”</t>
        </is>
      </c>
      <c r="C5" s="9" t="inlineStr">
        <is>
          <t>Os dois assinam e saem; o Gerente deixa a Auditora “para um
telefonema” e entra</t>
        </is>
      </c>
      <c r="D5" s="9" t="inlineStr">
        <is>
          <t>O Subgerente assina primeiro e sai para os Guichês; o Caixa Veterano
fica</t>
        </is>
      </c>
      <c r="E5" s="9" t="inlineStr"/>
    </row>
    <row r="6">
      <c r="A6" s="8" t="inlineStr">
        <is>
          <t>A5. Onde disse estar na janela, e quem o viu não estar</t>
        </is>
      </c>
      <c r="B6" s="8" t="inlineStr">
        <is>
          <t>“Nos Guichês, buscando a guia”: a câmera 2 só o mostra às 8h00:05
(reforço: a Estagiária)</t>
        </is>
      </c>
      <c r="C6" s="8" t="inlineStr">
        <is>
          <t>“Ao telefone”: o ramal da Gerência não tem chamada entre 7h50 e
8h10, e a câmera 1 o mostra entrando na divisória às 7h57:50</t>
        </is>
      </c>
      <c r="D6" s="8" t="inlineStr">
        <is>
          <t>“Na Mesa”: a câmera 2 mostra a Mesa vazia até 8h00:02 (reforço: o
Segurança do Veículo)</t>
        </is>
      </c>
      <c r="E6" s="8" t="inlineStr"/>
    </row>
    <row r="7">
      <c r="A7" s="9" t="inlineStr">
        <is>
          <t>A5b. Álibis dos dois inocentes</t>
        </is>
      </c>
      <c r="B7" s="9" t="inlineStr">
        <is>
          <t>Gerente na Porta Giratória (Auditora, Cliente, câmera 1); Caixa
Veterano na Mesa (câmera 2)</t>
        </is>
      </c>
      <c r="C7" s="9" t="inlineStr">
        <is>
          <t>Subgerente nos Guichês (câmera 2); Caixa Veterano na Mesa (câmera
2)</t>
        </is>
      </c>
      <c r="D7" s="9" t="inlineStr">
        <is>
          <t>Gerente na Porta Giratória (Auditora, Cliente, câmera 1); Subgerente
nos Guichês (câmera 2)</t>
        </is>
      </c>
      <c r="E7" s="9" t="inlineStr"/>
    </row>
    <row r="8">
      <c r="A8" s="8" t="inlineStr">
        <is>
          <t>A6. Farinha seca na barra da calça</t>
        </is>
      </c>
      <c r="B8" s="8" t="inlineStr">
        <is>
          <t>Do Subgerente</t>
        </is>
      </c>
      <c r="C8" s="8" t="inlineStr">
        <is>
          <t>Do Gerente</t>
        </is>
      </c>
      <c r="D8" s="8" t="inlineStr">
        <is>
          <t>Do Caixa Veterano</t>
        </is>
      </c>
      <c r="E8" s="8" t="inlineStr"/>
    </row>
    <row r="9">
      <c r="A9" s="9" t="inlineStr">
        <is>
          <t>A7. Dígitos completos do cartão que pareou o rádio</t>
        </is>
      </c>
      <c r="B9" s="9" t="inlineStr">
        <is>
          <t>Do Subgerente</t>
        </is>
      </c>
      <c r="C9" s="9" t="inlineStr">
        <is>
          <t>Do Gerente</t>
        </is>
      </c>
      <c r="D9" s="9" t="inlineStr">
        <is>
          <t>Do Caixa Veterano</t>
        </is>
      </c>
      <c r="E9" s="9" t="inlineStr"/>
    </row>
    <row r="10">
      <c r="A10" s="8" t="inlineStr">
        <is>
          <t>A8. Titular do saque e origem do dinheiro</t>
        </is>
      </c>
      <c r="B10" s="8" t="inlineStr">
        <is>
          <t>Subgerente: joias da família empenhadas para cobrir o saque</t>
        </is>
      </c>
      <c r="C10" s="8" t="inlineStr">
        <is>
          <t>Gerente: resgate antecipado da previdência privada</t>
        </is>
      </c>
      <c r="D10" s="8" t="inlineStr">
        <is>
          <t>Caixa Veterano: as economias guardadas para a aposentadoria</t>
        </is>
      </c>
      <c r="E10" s="8" t="inlineStr"/>
    </row>
    <row r="11">
      <c r="A11" s="9" t="inlineStr">
        <is>
          <t>A9. Confissão e motivo (Cap. 8)</t>
        </is>
      </c>
      <c r="B11" s="9" t="inlineStr">
        <is>
          <t>Texto público</t>
        </is>
      </c>
      <c r="C11" s="9" t="inlineStr">
        <is>
          <t>Variante G, no fim do Cap. 8</t>
        </is>
      </c>
      <c r="D11" s="9" t="inlineStr">
        <is>
          <t>Variante V, no fim do Cap. 8</t>
        </is>
      </c>
      <c r="E11" s="9" t="inlineStr"/>
    </row>
    <row r="12">
      <c r="A12" s="8" t="inlineStr">
        <is>
          <t>A10. O impostor no epílogo</t>
        </is>
      </c>
      <c r="B12" s="8" t="inlineStr">
        <is>
          <t>Sai acompanhado; deixa a fita no balcão</t>
        </is>
      </c>
      <c r="C12" s="8" t="inlineStr">
        <is>
          <t>Tira o anel, deixa o crachá na mesa e sai acompanhado</t>
        </is>
      </c>
      <c r="D12" s="8" t="inlineStr">
        <is>
          <t>Pendura a fotografia de volta e sai acompanhado</t>
        </is>
      </c>
      <c r="E12" s="8" t="inlineStr"/>
    </row>
    <row r="13">
      <c r="A13" s="9" t="inlineStr">
        <is>
          <t>A5-G4</t>
        </is>
      </c>
      <c r="B13" s="9" t="inlineStr">
        <is>
          <t>Declaração do Gerente no Cap. 4 (não marcada no texto): "Diante da Porta Giratória, com a Auditora e a Cliente" (verdade)</t>
        </is>
      </c>
      <c r="C13" s="9" t="inlineStr">
        <is>
          <t>"Ao telefone" (mentira)</t>
        </is>
      </c>
      <c r="D13" s="9" t="inlineStr">
        <is>
          <t>"Diante da Porta Giratória" (verdade)</t>
        </is>
      </c>
      <c r="E13" s="9" t="inlineStr">
        <is>
          <t>APLICADO 05/10 (jogo, Cap. 4: declarações; Cap. 7: gavetas). Marcar A5 no docx.</t>
        </is>
      </c>
    </row>
    <row r="14">
      <c r="A14" s="8" t="inlineStr">
        <is>
          <t>A5-crachá</t>
        </is>
      </c>
      <c r="B14" s="8" t="inlineStr">
        <is>
          <t>Crachá de chegada citado na revelação (Cap. 8): 7h16 (Subgerente)</t>
        </is>
      </c>
      <c r="C14" s="8" t="inlineStr">
        <is>
          <t>7h12 (Gerente)</t>
        </is>
      </c>
      <c r="D14" s="8" t="inlineStr">
        <is>
          <t>7h21 (Caixa Veterano)</t>
        </is>
      </c>
      <c r="E14" s="8" t="inlineStr">
        <is>
          <t>APLICADO 05/10 (jogo, Cap. 8). Marcar A5 no docx.</t>
        </is>
      </c>
    </row>
    <row r="15">
      <c r="A15" s="9" t="inlineStr">
        <is>
          <t>Ordem falsa</t>
        </is>
      </c>
      <c r="B15" s="9" t="inlineStr">
        <is>
          <t>Voz da ordem "Porta lateral. Possível tentativa." (Cap. 2): Subgerente</t>
        </is>
      </c>
      <c r="C15" s="9" t="inlineStr">
        <is>
          <t>Gerente</t>
        </is>
      </c>
      <c r="D15" s="9" t="inlineStr">
        <is>
          <t>Caixa Veterano</t>
        </is>
      </c>
      <c r="E15" s="9" t="inlineStr">
        <is>
          <t>O texto é fixo e a voz é irreconhecível; nenhuma mudança de texto, só registro.</t>
        </is>
      </c>
    </row>
  </sheetData>
  <autoFilter ref="A1:E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14" customWidth="1" min="4" max="4"/>
    <col width="10" customWidth="1" min="5" max="5"/>
    <col width="18" customWidth="1" min="6" max="6"/>
    <col width="16" customWidth="1" min="7" max="7"/>
    <col width="20" customWidth="1" min="8" max="8"/>
    <col width="30" customWidth="1" min="9" max="9"/>
    <col width="30" customWidth="1" min="10" max="10"/>
    <col width="50" customWidth="1" min="11" max="11"/>
    <col width="30" customWidth="1" min="12" max="12"/>
    <col width="36" customWidth="1" min="13" max="13"/>
    <col width="30" customWidth="1" min="14" max="14"/>
    <col width="36" customWidth="1" min="15" max="15"/>
    <col width="24" customWidth="1" min="16" max="16"/>
    <col width="50" customWidth="1" min="17" max="17"/>
    <col width="50" customWidth="1" min="18" max="18"/>
  </cols>
  <sheetData>
    <row r="1">
      <c r="A1" s="7" t="inlineStr">
        <is>
          <t>id</t>
        </is>
      </c>
      <c r="B1" s="7" t="inlineStr">
        <is>
          <t>Personagem</t>
        </is>
      </c>
      <c r="C1" s="7" t="inlineStr">
        <is>
          <t>Função</t>
        </is>
      </c>
      <c r="D1" s="7" t="inlineStr">
        <is>
          <t>Bloco</t>
        </is>
      </c>
      <c r="E1" s="7" t="inlineStr">
        <is>
          <t>Entra a partir da casa</t>
        </is>
      </c>
      <c r="F1" s="7" t="inlineStr">
        <is>
          <t>Pode ser humano?</t>
        </is>
      </c>
      <c r="G1" s="7" t="inlineStr">
        <is>
          <t>Candidato a impostor?</t>
        </is>
      </c>
      <c r="H1" s="7" t="inlineStr">
        <is>
          <t>Canal</t>
        </is>
      </c>
      <c r="I1" s="7" t="inlineStr">
        <is>
          <t>Quem é</t>
        </is>
      </c>
      <c r="J1" s="7" t="inlineStr">
        <is>
          <t>Por que está ali</t>
        </is>
      </c>
      <c r="K1" s="7" t="inlineStr">
        <is>
          <t>Segredo inocente</t>
        </is>
      </c>
      <c r="L1" s="7" t="inlineStr">
        <is>
          <t>Rastro</t>
        </is>
      </c>
      <c r="M1" s="7" t="inlineStr">
        <is>
          <t>Voz</t>
        </is>
      </c>
      <c r="N1" s="7" t="inlineStr">
        <is>
          <t>"Nunca diria" (limite das 6 versões)</t>
        </is>
      </c>
      <c r="O1" s="7" t="inlineStr">
        <is>
          <t>O que vê</t>
        </is>
      </c>
      <c r="P1" s="7" t="inlineStr">
        <is>
          <t>O que tem a perder</t>
        </is>
      </c>
      <c r="Q1" s="7" t="inlineStr">
        <is>
          <t>Personalidade (Big Five)</t>
        </is>
      </c>
      <c r="R1" s="7" t="inlineStr">
        <is>
          <t>Curiosidade (5DC)</t>
        </is>
      </c>
    </row>
    <row r="2">
      <c r="A2" s="8" t="inlineStr">
        <is>
          <t>auditora</t>
        </is>
      </c>
      <c r="B2" s="8" t="inlineStr">
        <is>
          <t>A Auditora</t>
        </is>
      </c>
      <c r="C2" s="8" t="inlineStr">
        <is>
          <t>O olhar de fora</t>
        </is>
      </c>
      <c r="D2" s="8" t="inlineStr">
        <is>
          <t>Núcleo</t>
        </is>
      </c>
      <c r="E2" s="8" t="n">
        <v>6</v>
      </c>
      <c r="F2" s="8" t="inlineStr">
        <is>
          <t>Sim</t>
        </is>
      </c>
      <c r="G2" s="8" t="inlineStr">
        <is>
          <t>Não</t>
        </is>
      </c>
      <c r="H2" s="8" t="inlineStr">
        <is>
          <t>presencial</t>
        </is>
      </c>
      <c r="I2" s="8" t="inlineStr">
        <is>
          <t>auditora de custódia da regional.</t>
        </is>
      </c>
      <c r="J2" s="8" t="inlineStr">
        <is>
          <t>a auditoria surpresa exige alguém sem vínculo com a agência.</t>
        </is>
      </c>
      <c r="K2" s="8" t="inlineStr">
        <is>
          <t>já reprovou a gestão do Gerente em outra agência, o que a faz parecer movida por vingança; tem um guarda-chuva de cabo claro e comprou café na padaria às 7h38.</t>
        </is>
      </c>
      <c r="L2" s="8" t="inlineStr">
        <is>
          <t>perfume cítrico, grafite nas margens, farinha na ponteira do guarda-chuva.</t>
        </is>
      </c>
      <c r="M2" s="8" t="inlineStr">
        <is>
          <t>perguntas curtas ("Fato ou interpretação?"); nunca promete certeza antes da prova.</t>
        </is>
      </c>
      <c r="N2" s="8" t="inlineStr">
        <is>
          <t>nunca promete certeza antes da prova</t>
        </is>
      </c>
      <c r="O2" s="8" t="inlineStr">
        <is>
          <t>da Porta Giratória, a divisória da Gerência e as silhuetas atrás dela; antes de rostos, assinaturas.</t>
        </is>
      </c>
      <c r="P2" s="8" t="inlineStr">
        <is>
          <t>a identidade de profissional justa.</t>
        </is>
      </c>
      <c r="Q2" s="8" t="inlineStr">
        <is>
          <t>muito consciente, pouco expansiva, moderadamente afável, aberta a hipóteses, vulnerável ao medo de errar; honesta a ponto de não suavizar conclusões, lenta na humildade. Sob pressão, transforma afeto em método.</t>
        </is>
      </c>
      <c r="R2" s="8" t="inlineStr">
        <is>
          <t>explora detalhes com prazer, não abandona lacunas, suporta bem o desconhecido, escuta escolhas de palavras, evita riscos físicos.</t>
        </is>
      </c>
    </row>
    <row r="3">
      <c r="A3" s="9" t="inlineStr">
        <is>
          <t>caixa_veterano</t>
        </is>
      </c>
      <c r="B3" s="9" t="inlineStr">
        <is>
          <t>O Caixa Veterano</t>
        </is>
      </c>
      <c r="C3" s="9" t="inlineStr">
        <is>
          <t>O laço de sangue</t>
        </is>
      </c>
      <c r="D3" s="9" t="inlineStr">
        <is>
          <t>Núcleo</t>
        </is>
      </c>
      <c r="E3" s="9" t="n">
        <v>6</v>
      </c>
      <c r="F3" s="9" t="inlineStr">
        <is>
          <t>Sim, exceto na partida V</t>
        </is>
      </c>
      <c r="G3" s="9" t="inlineStr">
        <is>
          <t>Sim (V)</t>
        </is>
      </c>
      <c r="H3" s="9" t="inlineStr">
        <is>
          <t>presencial</t>
        </is>
      </c>
      <c r="I3" s="9" t="inlineStr">
        <is>
          <t>tesoureiro há vinte e sete anos, o arquivo vivo da agência.</t>
        </is>
      </c>
      <c r="J3" s="9" t="inlineStr">
        <is>
          <t>integra a dupla de abertura do Cofre e a escala de fechamento.</t>
        </is>
      </c>
      <c r="K3" s="9" t="inlineStr">
        <is>
          <t>tirou da parede uma fotografia antiga da equipe e pretende pedir transferência; onze dias antes, assinou a consolidação sem recontar o Cofre para ir ao velório de um ex-colega.</t>
        </is>
      </c>
      <c r="L3" s="9" t="inlineStr">
        <is>
          <t>pó de talco das luvas nas cédulas.</t>
        </is>
      </c>
      <c r="M3" s="9" t="inlineStr">
        <is>
          <t>fala por lembranças ("Antigamente, isso tinha outro ruído"); nunca acusa sem antes refazer uma conta.</t>
        </is>
      </c>
      <c r="N3" s="9" t="inlineStr">
        <is>
          <t>nunca acusa sem antes refazer uma conta</t>
        </is>
      </c>
      <c r="O3" s="9" t="inlineStr">
        <is>
          <t>o que mudou, porque lembra do que costumava estar ali.</t>
        </is>
      </c>
      <c r="P3" s="9" t="inlineStr">
        <is>
          <t>o nome limpo e a aposentadoria.</t>
        </is>
      </c>
      <c r="Q3" s="9" t="inlineStr">
        <is>
          <t>consciente, reservado, afável por hábito, pouco aberto a mudanças, vulnerável à culpa; honesto, mas a humildade falha quando a experiência é contestada.</t>
        </is>
      </c>
      <c r="R3" s="9" t="inlineStr">
        <is>
          <t>sente prazer em diferenças mínimas, persegue contas incompletas, tolera mal o desconhecido, escuta sem invadir, evita riscos.</t>
        </is>
      </c>
    </row>
    <row r="4">
      <c r="A4" s="8" t="inlineStr">
        <is>
          <t>tecnico</t>
        </is>
      </c>
      <c r="B4" s="8" t="inlineStr">
        <is>
          <t>O Técnico</t>
        </is>
      </c>
      <c r="C4" s="8" t="inlineStr">
        <is>
          <t>Quem conhece a estrutura</t>
        </is>
      </c>
      <c r="D4" s="8" t="inlineStr">
        <is>
          <t>Núcleo</t>
        </is>
      </c>
      <c r="E4" s="8" t="n">
        <v>6</v>
      </c>
      <c r="F4" s="8" t="inlineStr">
        <is>
          <t>Sim (preferência: é o falso culpado)</t>
        </is>
      </c>
      <c r="G4" s="8" t="inlineStr">
        <is>
          <t>Não (falso culpado fixo)</t>
        </is>
      </c>
      <c r="H4" s="8" t="inlineStr">
        <is>
          <t>presencial</t>
        </is>
      </c>
      <c r="I4" s="8" t="inlineStr">
        <is>
          <t>prestador de manutenção de rede e câmeras.</t>
        </is>
      </c>
      <c r="J4" s="8" t="inlineStr">
        <is>
          <t>chamado pelo Erro 17 às 7h25; chegou às 7h40 pela porta lateral.</t>
        </is>
      </c>
      <c r="K4" s="8" t="inlineStr">
        <is>
          <t>usa peças reaproveitadas sem nota; às 7h55 saiu pela porta lateral para receber uma delas de um motoboy e mente que estava no Rack durante a janela.</t>
        </is>
      </c>
      <c r="L4" s="8" t="inlineStr">
        <is>
          <t>cheiro de estanho, limalha no punho, fita isolante em dois dedos.</t>
        </is>
      </c>
      <c r="M4" s="8" t="inlineStr">
        <is>
          <t>fala em causas, nunca em culpas; jamais chama improviso de solução.</t>
        </is>
      </c>
      <c r="N4" s="8" t="inlineStr">
        <is>
          <t>nunca em culpas</t>
        </is>
      </c>
      <c r="O4" s="8" t="inlineStr">
        <is>
          <t>às 7h45, o conector da câmera 3 puxado e a poeira do fundo do Rack riscada em arco.</t>
        </is>
      </c>
      <c r="P4" s="8" t="inlineStr">
        <is>
          <t>o contrato e o sustento.</t>
        </is>
      </c>
      <c r="Q4" s="8" t="inlineStr">
        <is>
          <t>aberto a mecanismos, muito consciente no diagnóstico, pouco expansivo, direto a ponto de parecer hostil, ansioso quando tocam suas ferramentas; honesto sobre resultados, pouco humilde sobre método.</t>
        </is>
      </c>
      <c r="R4" s="8" t="inlineStr">
        <is>
          <t>explora sistemas, não larga uma falha sem origem, tolera a incerteza técnica, lê mal intenções, aceita riscos que pode medir.</t>
        </is>
      </c>
    </row>
    <row r="5">
      <c r="A5" s="9" t="inlineStr">
        <is>
          <t>operadora</t>
        </is>
      </c>
      <c r="B5" s="9" t="inlineStr">
        <is>
          <t>A Operadora da Central</t>
        </is>
      </c>
      <c r="C5" s="9" t="inlineStr">
        <is>
          <t>O registro</t>
        </is>
      </c>
      <c r="D5" s="9" t="inlineStr">
        <is>
          <t>Núcleo</t>
        </is>
      </c>
      <c r="E5" s="9" t="n">
        <v>6</v>
      </c>
      <c r="F5" s="9" t="inlineStr">
        <is>
          <t>Sim</t>
        </is>
      </c>
      <c r="G5" s="9" t="inlineStr">
        <is>
          <t>Não</t>
        </is>
      </c>
      <c r="H5" s="9" t="inlineStr">
        <is>
          <t>presencial (Central, interfone)</t>
        </is>
      </c>
      <c r="I5" s="9" t="inlineStr">
        <is>
          <t>operadora das câmeras e do rádio.</t>
        </is>
      </c>
      <c r="J5" s="9" t="inlineStr">
        <is>
          <t>conserva chamadas, horários e imagens.</t>
        </is>
      </c>
      <c r="K5" s="9" t="inlineStr">
        <is>
          <t>na noite anterior, depois de testar o rádio às 19h12, ouviu uma discussão do Gerente com o Subgerente e apagou a linha da ocorrência; às 7h43 anotou a piscada da câmera 3 num bloco particular.</t>
        </is>
      </c>
      <c r="L5" s="9" t="inlineStr">
        <is>
          <t>lascas de esmalte lilás no botão do rádio.</t>
        </is>
      </c>
      <c r="M5" s="9" t="inlineStr">
        <is>
          <t>"No canal, ficou assim"; nunca diz que uma gravação explica um motivo.</t>
        </is>
      </c>
      <c r="N5" s="9" t="inlineStr">
        <is>
          <t>nunca diz que uma gravação explica um motivo</t>
        </is>
      </c>
      <c r="O5" s="9" t="inlineStr">
        <is>
          <t>dezesseis quadros, respirações e silêncios.</t>
        </is>
      </c>
      <c r="P5" s="9" t="inlineStr">
        <is>
          <t>a carreira.</t>
        </is>
      </c>
      <c r="Q5" s="9" t="inlineStr">
        <is>
          <t>consciente, introvertida, moderadamente aberta, afável com quem respeita limites, tensa diante do confronto; honesta, mas cede quando privacidade e dever colidem.</t>
        </is>
      </c>
      <c r="R5" s="9" t="inlineStr">
        <is>
          <t>distingue vozes, persegue lacunas de horário, suporta o desconhecido enquanto pode arquivá-lo, alta curiosidade social, baixa busca por emoção.</t>
        </is>
      </c>
    </row>
    <row r="6">
      <c r="A6" s="8" t="inlineStr">
        <is>
          <t>gerente</t>
        </is>
      </c>
      <c r="B6" s="8" t="inlineStr">
        <is>
          <t>O Gerente</t>
        </is>
      </c>
      <c r="C6" s="8" t="inlineStr">
        <is>
          <t>A autoridade</t>
        </is>
      </c>
      <c r="D6" s="8" t="inlineStr">
        <is>
          <t>Núcleo</t>
        </is>
      </c>
      <c r="E6" s="8" t="n">
        <v>6</v>
      </c>
      <c r="F6" s="8" t="inlineStr">
        <is>
          <t>Sim, exceto na partida G</t>
        </is>
      </c>
      <c r="G6" s="8" t="inlineStr">
        <is>
          <t>Sim (G)</t>
        </is>
      </c>
      <c r="H6" s="8" t="inlineStr">
        <is>
          <t>presencial</t>
        </is>
      </c>
      <c r="I6" s="8" t="inlineStr">
        <is>
          <t>responsável pela agência.</t>
        </is>
      </c>
      <c r="J6" s="8" t="inlineStr">
        <is>
          <t>recebe a auditoria e trava a agência.</t>
        </is>
      </c>
      <c r="K6" s="8" t="inlineStr">
        <is>
          <t>onze dias antes, saiu às 19h00 para encontrar quem ameaçava denunciar um favorecimento numa concessão de crédito e autorizou o fechamento por telefone; às 8h31 queima o cabo do Rack (encobrimento, fixo).</t>
        </is>
      </c>
      <c r="L6" s="8" t="inlineStr">
        <is>
          <t>loção amadeirada; marcas quadradas do anel nos papéis.</t>
        </is>
      </c>
      <c r="M6" s="8" t="inlineStr">
        <is>
          <t>fala no plural ("Nós seguiremos o protocolo"); nunca admite descontrole diante da equipe.</t>
        </is>
      </c>
      <c r="N6" s="8" t="inlineStr">
        <is>
          <t>nunca admite descontrole diante da equipe</t>
        </is>
      </c>
      <c r="O6" s="8" t="inlineStr">
        <is>
          <t>condutas antes de evidências.</t>
        </is>
      </c>
      <c r="P6" s="8" t="inlineStr">
        <is>
          <t>o cargo e o nome.</t>
        </is>
      </c>
      <c r="Q6" s="8" t="inlineStr">
        <is>
          <t>consciente com hierarquias, expansivo quando comanda, pouco aberto a contestação, cordial por conveniência, instável quando perde autoridade; a honestidade enfraquece diante da ameaça à instituição.</t>
        </is>
      </c>
      <c r="R6" s="8" t="inlineStr">
        <is>
          <t>pouca exploração; a dúvida só cresce quando afeta sua posição; tolera mal a incerteza; lê bem relações; aceita riscos de reputação.</t>
        </is>
      </c>
    </row>
    <row r="7">
      <c r="A7" s="9" t="inlineStr">
        <is>
          <t>cliente_cofre</t>
        </is>
      </c>
      <c r="B7" s="9" t="inlineStr">
        <is>
          <t>A Cliente do Cofre</t>
        </is>
      </c>
      <c r="C7" s="9" t="inlineStr">
        <is>
          <t>O conhecedor do acervo</t>
        </is>
      </c>
      <c r="D7" s="9" t="inlineStr">
        <is>
          <t>Núcleo</t>
        </is>
      </c>
      <c r="E7" s="9" t="n">
        <v>6</v>
      </c>
      <c r="F7" s="9" t="inlineStr">
        <is>
          <t>Sim</t>
        </is>
      </c>
      <c r="G7" s="9" t="inlineStr">
        <is>
          <t>Não</t>
        </is>
      </c>
      <c r="H7" s="9" t="inlineStr">
        <is>
          <t>presencial</t>
        </is>
      </c>
      <c r="I7" s="9" t="inlineStr">
        <is>
          <t>filha do engenheiro que construiu o prédio da agência em 1987.</t>
        </is>
      </c>
      <c r="J7" s="9" t="inlineStr">
        <is>
          <t>veio retirar do cofre alugado cartas e a planta original da obra.</t>
        </is>
      </c>
      <c r="K7" s="9" t="inlineStr">
        <is>
          <t>as cartas mostram que o pai recebeu pagamento por fora para construir uma passagem que não constaria da planta oficial; ela quer proteger o nome dele. Na véspera, às 15h55, esperava na Antecâmara e viu o malote 41 cheio na plataforma, com um vinco diagonal.</t>
        </is>
      </c>
      <c r="L7" s="9" t="inlineStr">
        <is>
          <t>fios de lã vermelha, cheiro de cânfora.</t>
        </is>
      </c>
      <c r="M7" s="9" t="inlineStr">
        <is>
          <t>fala baixo, com datas impecáveis; nunca reduz uma lembrança a preço.</t>
        </is>
      </c>
      <c r="N7" s="9" t="inlineStr">
        <is>
          <t>nunca reduz uma lembrança a preço</t>
        </is>
      </c>
      <c r="O7" s="9" t="inlineStr">
        <is>
          <t>vincos, procedências, gestos herdados; da Porta Giratória, quantas silhuetas entram e saem da Gerência; barras e bainhas.</t>
        </is>
      </c>
      <c r="P7" s="9" t="inlineStr">
        <is>
          <t>a memória da família.</t>
        </is>
      </c>
      <c r="Q7" s="9" t="inlineStr">
        <is>
          <t>aberta a histórias, organizada, reservada, seletivamente afável, ansiosa quando a intimidade é ameaçada; preserva a verdade, mas controla o momento.</t>
        </is>
      </c>
      <c r="R7" s="9" t="inlineStr">
        <is>
          <t>explora objetos, insiste em lacunas biográficas, tolera mal a exposição, forte curiosidade social, baixa busca por emoção.</t>
        </is>
      </c>
    </row>
    <row r="8">
      <c r="A8" s="8" t="inlineStr">
        <is>
          <t>subgerente</t>
        </is>
      </c>
      <c r="B8" s="8" t="inlineStr">
        <is>
          <t>O Subgerente</t>
        </is>
      </c>
      <c r="C8" s="8" t="inlineStr">
        <is>
          <t>O guardião do rito</t>
        </is>
      </c>
      <c r="D8" s="8" t="inlineStr">
        <is>
          <t>1º bloco</t>
        </is>
      </c>
      <c r="E8" s="8" t="n">
        <v>8</v>
      </c>
      <c r="F8" s="8" t="inlineStr">
        <is>
          <t>Sim, exceto na partida S</t>
        </is>
      </c>
      <c r="G8" s="8" t="inlineStr">
        <is>
          <t>Sim (S, referência)</t>
        </is>
      </c>
      <c r="H8" s="8" t="inlineStr">
        <is>
          <t>presencial</t>
        </is>
      </c>
      <c r="I8" s="8" t="inlineStr">
        <is>
          <t>responsável pelos procedimentos, horários e assinaturas da tesouraria.</t>
        </is>
      </c>
      <c r="J8" s="8" t="inlineStr">
        <is>
          <t>integra a dupla de abertura e a escala de fechamento.</t>
        </is>
      </c>
      <c r="K8" s="8" t="inlineStr">
        <is>
          <t>onze dias antes, reprocessou a fila que duplicou o depósito e, desde então, desconfia de algo; às 7h35, pediu a chave 17-B ao Funcionário da Limpeza para tirar do armário do Arquivo o espelho daquele reprocessamento e relê-lo antes da auditoria.</t>
        </is>
      </c>
      <c r="L8" s="8" t="inlineStr">
        <is>
          <t>papel térmico entre os dedos, cheiro quase apagado de chuva.</t>
        </is>
      </c>
      <c r="M8" s="8" t="inlineStr">
        <is>
          <t>cortesia precisa; oferece soluções antes que peçam; nunca diz "não sei".</t>
        </is>
      </c>
      <c r="N8" s="8" t="inlineStr">
        <is>
          <t>nunca diz "não sei"</t>
        </is>
      </c>
      <c r="O8" s="8" t="inlineStr">
        <is>
          <t>a agência como sistema que pode ser corrigido.</t>
        </is>
      </c>
      <c r="P8" s="8" t="inlineStr">
        <is>
          <t>a identidade profissional e o cargo.</t>
        </is>
      </c>
      <c r="Q8" s="8" t="inlineStr">
        <is>
          <t>extremamente consciente, reservado, pouco aberto a perder o controle, cordial por estratégia, instável diante da vergonha.</t>
        </is>
      </c>
      <c r="R8" s="8" t="inlineStr">
        <is>
          <t>explora mecanismos com habilidade, persegue obsessivamente problemas sem solução, tolera alto estresse, lê as vulnerabilidades dos colegas, aceita riscos crescentes para preservar a aparência.</t>
        </is>
      </c>
    </row>
    <row r="9">
      <c r="A9" s="9" t="inlineStr">
        <is>
          <t>limpeza</t>
        </is>
      </c>
      <c r="B9" s="9" t="inlineStr">
        <is>
          <t>O Funcionário da Limpeza</t>
        </is>
      </c>
      <c r="C9" s="9" t="inlineStr">
        <is>
          <t>Quem cuida da rotina</t>
        </is>
      </c>
      <c r="D9" s="9" t="inlineStr">
        <is>
          <t>1º bloco</t>
        </is>
      </c>
      <c r="E9" s="9" t="n">
        <v>8</v>
      </c>
      <c r="F9" s="9" t="inlineStr">
        <is>
          <t>Sim</t>
        </is>
      </c>
      <c r="G9" s="9" t="inlineStr">
        <is>
          <t>Não</t>
        </is>
      </c>
      <c r="H9" s="9" t="inlineStr">
        <is>
          <t>presencial</t>
        </is>
      </c>
      <c r="I9" s="9" t="inlineStr">
        <is>
          <t>conhece o prédio pela sola, pelos cheiros e pelo lugar exato de cada objeto.</t>
        </is>
      </c>
      <c r="J9" s="9" t="inlineStr">
        <is>
          <t>chega às 7h10 e limpa antes da abertura.</t>
        </is>
      </c>
      <c r="K9" s="9" t="inlineStr">
        <is>
          <t>emprestou a chave 17-B ao Subgerente das 7h35 às 7h47, para quitar uma cadeia de favores (um adiantamento para a cirurgia da irmã); às 8h01 tirou o saco do cesto e o largou no chão.</t>
        </is>
      </c>
      <c r="L9" s="9" t="inlineStr">
        <is>
          <t>cheiro de eucalipto, semicírculo de água limpa, a roda do balde que range.</t>
        </is>
      </c>
      <c r="M9" s="9" t="inlineStr">
        <is>
          <t>fala por objetos ("Isso não estava aqui"); nunca comenta conversa entreouvida.</t>
        </is>
      </c>
      <c r="N9" s="9" t="inlineStr">
        <is>
          <t>nunca comenta conversa entreouvida</t>
        </is>
      </c>
      <c r="O9" s="9" t="inlineStr">
        <is>
          <t>às 7h46, o Arquivo limpo, o cesto vazio e a caixa de 1998 dois dedos para fora.</t>
        </is>
      </c>
      <c r="P9" s="9" t="inlineStr">
        <is>
          <t>o emprego.</t>
        </is>
      </c>
      <c r="Q9" s="9" t="inlineStr">
        <is>
          <t>consciente com o espaço, discreto, muito afável, ansioso diante da autoridade; honesto, com uma humildade explorada como submissão.</t>
        </is>
      </c>
      <c r="R9" s="9" t="inlineStr">
        <is>
          <t>nota mudanças concretas, insiste em coisas fora do lugar, age diante do desconhecido, ouve sem parecer ouvir, evita riscos.</t>
        </is>
      </c>
    </row>
    <row r="10">
      <c r="A10" s="8" t="inlineStr">
        <is>
          <t>seguranca_veiculo</t>
        </is>
      </c>
      <c r="B10" s="8" t="inlineStr">
        <is>
          <t>O Segurança do Veículo</t>
        </is>
      </c>
      <c r="C10" s="8" t="inlineStr">
        <is>
          <t>O intérprete das regras</t>
        </is>
      </c>
      <c r="D10" s="8" t="inlineStr">
        <is>
          <t>2º bloco</t>
        </is>
      </c>
      <c r="E10" s="8" t="n">
        <v>10</v>
      </c>
      <c r="F10" s="8" t="inlineStr">
        <is>
          <t>Sim</t>
        </is>
      </c>
      <c r="G10" s="8" t="inlineStr">
        <is>
          <t>Não</t>
        </is>
      </c>
      <c r="H10" s="8" t="inlineStr">
        <is>
          <t>presencial (Eclusa) e rádio</t>
        </is>
      </c>
      <c r="I10" s="8" t="inlineStr">
        <is>
          <t>responsável pela custódia na Eclusa.</t>
        </is>
      </c>
      <c r="J10" s="8" t="inlineStr">
        <is>
          <t>chega com o carro-forte.</t>
        </is>
      </c>
      <c r="K10" s="8" t="inlineStr">
        <is>
          <t>a certificação vence naquela semana; às 8h00, com pressa e diante da auditoria, conferiu o lacre pela tela da Mesa, e não pela via de papel, onde constava ML-8842.</t>
        </is>
      </c>
      <c r="L10" s="8" t="inlineStr">
        <is>
          <t>fibras negras do colete.</t>
        </is>
      </c>
      <c r="M10" s="8" t="inlineStr">
        <is>
          <t>fala por proibições ("Sem dupla conferência, não atravessa"); nunca diz que uma regra está errada.</t>
        </is>
      </c>
      <c r="N10" s="8" t="inlineStr">
        <is>
          <t>nunca diz que uma regra está errada</t>
        </is>
      </c>
      <c r="O10" s="8" t="inlineStr">
        <is>
          <t>da Eclusa, pelo vidro, a Mesa de Recebimento.</t>
        </is>
      </c>
      <c r="P10" s="8" t="inlineStr">
        <is>
          <t>o emprego.</t>
        </is>
      </c>
      <c r="Q10" s="8" t="inlineStr">
        <is>
          <t>consciente, reservado, pouco aberto a exceções, cooperativo com ordens claras, tenso diante de autoridades incompatíveis; honesto, mas o medo do posto reduz a coragem de contestar.</t>
        </is>
      </c>
      <c r="R10" s="8" t="inlineStr">
        <is>
          <t>pouca exploração, insiste até fechar divergências de protocolo, suporta perigo concreto, lê mal o subtexto.</t>
        </is>
      </c>
    </row>
    <row r="11">
      <c r="A11" s="9" t="inlineStr">
        <is>
          <t>padeiro</t>
        </is>
      </c>
      <c r="B11" s="9" t="inlineStr">
        <is>
          <t>O Padeiro</t>
        </is>
      </c>
      <c r="C11" s="9" t="inlineStr">
        <is>
          <t>Quem conhece o exterior</t>
        </is>
      </c>
      <c r="D11" s="9" t="inlineStr">
        <is>
          <t>2º bloco</t>
        </is>
      </c>
      <c r="E11" s="9" t="n">
        <v>10</v>
      </c>
      <c r="F11" s="9" t="inlineStr">
        <is>
          <t>Sim</t>
        </is>
      </c>
      <c r="G11" s="9" t="inlineStr">
        <is>
          <t>Não</t>
        </is>
      </c>
      <c r="H11" s="9" t="inlineStr">
        <is>
          <t>só telefone (fora da agência)</t>
        </is>
      </c>
      <c r="I11" s="9" t="inlineStr">
        <is>
          <t>dono da padaria da esquina oposta.</t>
        </is>
      </c>
      <c r="J11" s="9" t="inlineStr">
        <is>
          <t>abre antes das cinco; a porta de serviço dá para a rua de trás, de frente para a porta lateral da agência.</t>
        </is>
      </c>
      <c r="K11" s="9" t="inlineStr">
        <is>
          <t>vende café pela porta de serviço antes do horário licenciado, por isso hesita em entregar imagens.</t>
        </is>
      </c>
      <c r="L11" s="9" t="inlineStr">
        <is>
          <t>farinha nos sapatos; os sacos empilhados na porta de serviço sujam a barra de quem passa.</t>
        </is>
      </c>
      <c r="M11" s="9" t="inlineStr">
        <is>
          <t>mede o tempo por fornadas ("Foi depois do segundo pão"); nunca descreve um rosto que não viu.</t>
        </is>
      </c>
      <c r="N11" s="9" t="inlineStr">
        <is>
          <t>nunca descreve um rosto que não viu</t>
        </is>
      </c>
      <c r="O11" s="9" t="inlineStr">
        <is>
          <t>às 6h28, uma figura de capa atravessando sua porta de serviço com uma sacola; pela câmera, a porta lateral às 6h36, às 7h06, às 7h58:47 e às 7h59:51; nunca rostos sob guarda-chuva.</t>
        </is>
      </c>
      <c r="P11" s="9" t="inlineStr">
        <is>
          <t>a licença.</t>
        </is>
      </c>
      <c r="Q11" s="9" t="inlineStr">
        <is>
          <t>observador, disciplinado pela rotina, sociável com clientes, pouco ansioso diante do que é distante; honesto, mas teme que a verdade exponha o próprio desvio.</t>
        </is>
      </c>
      <c r="R11" s="9" t="inlineStr">
        <is>
          <t>explora mudanças da rua, persegue discrepâncias de horário, evita riscos.</t>
        </is>
      </c>
    </row>
    <row r="12">
      <c r="A12" s="8" t="inlineStr">
        <is>
          <t>farmaceutica</t>
        </is>
      </c>
      <c r="B12" s="8" t="inlineStr">
        <is>
          <t>A Farmacêutica</t>
        </is>
      </c>
      <c r="C12" s="8" t="inlineStr">
        <is>
          <t>Quem conhece o consumo</t>
        </is>
      </c>
      <c r="D12" s="8" t="inlineStr">
        <is>
          <t>3º bloco</t>
        </is>
      </c>
      <c r="E12" s="8" t="n">
        <v>12</v>
      </c>
      <c r="F12" s="8" t="inlineStr">
        <is>
          <t>Sim</t>
        </is>
      </c>
      <c r="G12" s="8" t="inlineStr">
        <is>
          <t>Não</t>
        </is>
      </c>
      <c r="H12" s="8" t="inlineStr">
        <is>
          <t>presencial</t>
        </is>
      </c>
      <c r="I12" s="8" t="inlineStr">
        <is>
          <t>farmacêutica do plantão da esquina.</t>
        </is>
      </c>
      <c r="J12" s="8" t="inlineStr">
        <is>
          <t>às 7h50 atravessa para entregar discretamente um calmante ao Caixa Novato.</t>
        </is>
      </c>
      <c r="K12" s="8" t="inlineStr">
        <is>
          <t>forneceu o calmante sem receita; às 6h31 vendeu luvas tamanho G e fita microporosa a uma figura de capa e guarda-chuva de cabo claro, que pagou em dinheiro.</t>
        </is>
      </c>
      <c r="L12" s="8" t="inlineStr">
        <is>
          <t>álcool em gel com lavanda.</t>
        </is>
      </c>
      <c r="M12" s="8" t="inlineStr">
        <is>
          <t>fala em quantidades ("Quanto havia? Quanto falta?"); nunca culpa quem está em crise.</t>
        </is>
      </c>
      <c r="N12" s="8" t="inlineStr">
        <is>
          <t>nunca culpa quem está em crise</t>
        </is>
      </c>
      <c r="O12" s="8" t="inlineStr">
        <is>
          <t>da Porta Giratória, quantas silhuetas entram e saem da Gerência; curativos, respirações, tremores.</t>
        </is>
      </c>
      <c r="P12" s="8" t="inlineStr">
        <is>
          <t>a licença.</t>
        </is>
      </c>
      <c r="Q12" s="8" t="inlineStr">
        <is>
          <t>atenta, organizada, sociável sem intimidade, muito afável, vulnerável à culpa; honesta, mas cede quando uma regra ameaça alguém em sofrimento.</t>
        </is>
      </c>
      <c r="R12" s="8" t="inlineStr">
        <is>
          <t>sinais corporais, insiste até compreender uma discrepância, tolera emergências, alta curiosidade social.</t>
        </is>
      </c>
    </row>
    <row r="13">
      <c r="A13" s="9" t="inlineStr">
        <is>
          <t>estagiaria</t>
        </is>
      </c>
      <c r="B13" s="9" t="inlineStr">
        <is>
          <t>A Estagiária</t>
        </is>
      </c>
      <c r="C13" s="9" t="inlineStr">
        <is>
          <t>Quem conhece os sistemas</t>
        </is>
      </c>
      <c r="D13" s="9" t="inlineStr">
        <is>
          <t>3º bloco</t>
        </is>
      </c>
      <c r="E13" s="9" t="n">
        <v>12</v>
      </c>
      <c r="F13" s="9" t="inlineStr">
        <is>
          <t>Sim</t>
        </is>
      </c>
      <c r="G13" s="9" t="inlineStr">
        <is>
          <t>Não</t>
        </is>
      </c>
      <c r="H13" s="9" t="inlineStr">
        <is>
          <t>presencial</t>
        </is>
      </c>
      <c r="I13" s="9" t="inlineStr">
        <is>
          <t>estagiária que alimenta planilhas e telas.</t>
        </is>
      </c>
      <c r="J13" s="9" t="inlineStr">
        <is>
          <t>imprime etiquetas e organiza as pastas da Mesa.</t>
        </is>
      </c>
      <c r="K13" s="9" t="inlineStr">
        <is>
          <t>anotou num papel a senha admin.local, ditada numa pane, e mandou copiar a chave 17-B depois de ficar presa no corredor; os dois estão na pasta azul trocada com a do Caixa Novato às 7h52.</t>
        </is>
      </c>
      <c r="L13" s="9" t="inlineStr">
        <is>
          <t>tinta de caneta na lateral da mão.</t>
        </is>
      </c>
      <c r="M13" s="9" t="inlineStr">
        <is>
          <t>fala depressa quando sabe e devagar quando teme; nunca admite de imediato que uma descoberta começou por curiosidade.</t>
        </is>
      </c>
      <c r="N13" s="9" t="inlineStr">
        <is>
          <t>nunca admite de imediato que uma descoberta começou por curiosidade</t>
        </is>
      </c>
      <c r="O13" s="9" t="inlineStr">
        <is>
          <t>dos Guichês, quem chega ou não chega à Mesa; reconhece o pulsar do estabilizador da Gerência.</t>
        </is>
      </c>
      <c r="P13" s="9" t="inlineStr">
        <is>
          <t>a chance de ficar.</t>
        </is>
      </c>
      <c r="Q13" s="9" t="inlineStr">
        <is>
          <t>muito aberta, aplicada, expansiva quando domina o assunto, cooperativa, ansiosa por não parecer incapaz.</t>
        </is>
      </c>
      <c r="R13" s="9" t="inlineStr">
        <is>
          <t>explora sistemas, persegue lacunas até a exaustão, tolera mal a incerteza social, observa reações, aceita riscos digitais.</t>
        </is>
      </c>
    </row>
    <row r="14">
      <c r="A14" s="8" t="inlineStr">
        <is>
          <t>transportador</t>
        </is>
      </c>
      <c r="B14" s="8" t="inlineStr">
        <is>
          <t>O Transportador</t>
        </is>
      </c>
      <c r="C14" s="8" t="inlineStr">
        <is>
          <t>A testemunha técnica</t>
        </is>
      </c>
      <c r="D14" s="8" t="inlineStr">
        <is>
          <t>Completa</t>
        </is>
      </c>
      <c r="E14" s="8" t="n">
        <v>13</v>
      </c>
      <c r="F14" s="8" t="inlineStr">
        <is>
          <t>Sim</t>
        </is>
      </c>
      <c r="G14" s="8" t="inlineStr">
        <is>
          <t>Não</t>
        </is>
      </c>
      <c r="H14" s="8" t="inlineStr">
        <is>
          <t>rádio (carro-forte)</t>
        </is>
      </c>
      <c r="I14" s="8" t="inlineStr">
        <is>
          <t>move os malotes dentro do carro-forte.</t>
        </is>
      </c>
      <c r="J14" s="8" t="inlineStr">
        <is>
          <t>recebe o malote 41 na Eclusa.</t>
        </is>
      </c>
      <c r="K14" s="8" t="inlineStr">
        <is>
          <t>uma hérnia que o faz alternar as mãos.</t>
        </is>
      </c>
      <c r="L14" s="8" t="inlineStr">
        <is>
          <t>graxa clara nos fechos.</t>
        </is>
      </c>
      <c r="M14" s="8" t="inlineStr">
        <is>
          <t>fala só do que tocou ("Pesava como o declarado"); nunca opina sobre pessoas.</t>
        </is>
      </c>
      <c r="N14" s="8" t="inlineStr">
        <is>
          <t>nunca opina sobre pessoas</t>
        </is>
      </c>
      <c r="O14" s="8" t="inlineStr">
        <is>
          <t>lacres, alças, peso, esforço.</t>
        </is>
      </c>
      <c r="P14" s="8" t="inlineStr">
        <is>
          <t>o sustento da família.</t>
        </is>
      </c>
      <c r="Q14" s="8" t="inlineStr">
        <is>
          <t>disciplinado, reservado, cooperativo, inquieto quando o corpo ameaça denunciá-lo.</t>
        </is>
      </c>
      <c r="R14" s="8" t="inlineStr">
        <is>
          <t>diferenças de peso e equilíbrio, baixa curiosidade social.</t>
        </is>
      </c>
    </row>
    <row r="15">
      <c r="A15" s="9" t="inlineStr">
        <is>
          <t>monitor_remoto</t>
        </is>
      </c>
      <c r="B15" s="9" t="inlineStr">
        <is>
          <t>O Monitor Remoto</t>
        </is>
      </c>
      <c r="C15" s="9" t="inlineStr">
        <is>
          <t>O oculto</t>
        </is>
      </c>
      <c r="D15" s="9" t="inlineStr">
        <is>
          <t>Sempre (sistema)</t>
        </is>
      </c>
      <c r="E15" s="9" t="inlineStr">
        <is>
          <t>toda casa</t>
        </is>
      </c>
      <c r="F15" s="9" t="inlineStr">
        <is>
          <t>Nunca</t>
        </is>
      </c>
      <c r="G15" s="9" t="inlineStr">
        <is>
          <t>Nunca</t>
        </is>
      </c>
      <c r="H15" s="9" t="inlineStr">
        <is>
          <t>mensagem sem origem; reimpressão remota</t>
        </is>
      </c>
      <c r="I15" s="9" t="inlineStr">
        <is>
          <t>operador da central de segurança regional; nunca aparece.</t>
        </is>
      </c>
      <c r="J15" s="9" t="inlineStr">
        <is>
          <t>vê as câmeras da 0688 à distância e tem acesso remoto de suporte à rede da agência.</t>
        </is>
      </c>
      <c r="K15" s="9" t="inlineStr">
        <is>
          <t>onze dias antes, às 19h20, silenciou sem registrar o alerta "fechamento sem contagem física", porque estava fora do posto.</t>
        </is>
      </c>
      <c r="L15" s="9" t="inlineStr">
        <is>
          <t>nenhum físico; mensagens sem identificação e a origem "rede de segurança regional" na reimpressão das 8h35.</t>
        </is>
      </c>
      <c r="M15" s="9" t="inlineStr">
        <is>
          <t>frases curtas, sem sujeito ("Procurem quem abriu antes"); nunca diz o próprio nome nem a palavra "eu".</t>
        </is>
      </c>
      <c r="N15" s="9" t="inlineStr">
        <is>
          <t>nunca diz o próprio nome nem a palavra "eu"</t>
        </is>
      </c>
      <c r="O15" s="9" t="inlineStr">
        <is>
          <t>imagens e sensores, nunca o que acontece fora das câmeras.</t>
        </is>
      </c>
      <c r="P15" s="9" t="inlineStr">
        <is>
          <t>o posto.</t>
        </is>
      </c>
      <c r="Q15" s="9" t="inlineStr">
        <is>
          <t>consciente, solitário, culpado, mais corajoso no anonimato do que diante de alguém.</t>
        </is>
      </c>
      <c r="R15" s="9" t="inlineStr">
        <is>
          <t>observação paciente, sensibilidade à privação alta.</t>
        </is>
      </c>
    </row>
    <row r="16">
      <c r="A16" s="8" t="inlineStr">
        <is>
          <t>operador_radio</t>
        </is>
      </c>
      <c r="B16" s="8" t="inlineStr">
        <is>
          <t>O Operador de Rádio</t>
        </is>
      </c>
      <c r="C16" s="8" t="inlineStr">
        <is>
          <t>O vigia de fora</t>
        </is>
      </c>
      <c r="D16" s="8" t="inlineStr">
        <is>
          <t>Sempre (sistema)</t>
        </is>
      </c>
      <c r="E16" s="8" t="inlineStr">
        <is>
          <t>toda casa</t>
        </is>
      </c>
      <c r="F16" s="8" t="inlineStr">
        <is>
          <t>Nunca</t>
        </is>
      </c>
      <c r="G16" s="8" t="inlineStr">
        <is>
          <t>Nunca</t>
        </is>
      </c>
      <c r="H16" s="8" t="inlineStr">
        <is>
          <t>rádio da base</t>
        </is>
      </c>
      <c r="I16" s="8" t="inlineStr">
        <is>
          <t>operador da base da transportadora; nunca entra na agência.</t>
        </is>
      </c>
      <c r="J16" s="8" t="inlineStr"/>
      <c r="K16" s="8" t="inlineStr">
        <is>
          <t>autorizou a antecipação das 6h52 com confirmação incompleta.</t>
        </is>
      </c>
      <c r="L16" s="8" t="inlineStr">
        <is>
          <t>registros digitais e pausas da voz.</t>
        </is>
      </c>
      <c r="M16" s="8" t="inlineStr">
        <is>
          <t>horários e protocolos ("Confirme origem e destino"); nunca transforma suposição em identificação.</t>
        </is>
      </c>
      <c r="N16" s="8" t="inlineStr">
        <is>
          <t>nunca transforma suposição em identificação</t>
        </is>
      </c>
      <c r="O16" s="8" t="inlineStr">
        <is>
          <t>horários, códigos, rotas e suprimentos, nunca rostos nem motivos.</t>
        </is>
      </c>
      <c r="P16" s="8" t="inlineStr">
        <is>
          <t>a função.</t>
        </is>
      </c>
      <c r="Q16" s="8" t="inlineStr">
        <is>
          <t>consciente, estável sob pressão, cooperativo; demora a admitir a própria falha.</t>
        </is>
      </c>
      <c r="R16" s="8" t="inlineStr"/>
    </row>
    <row r="17">
      <c r="A17" s="9" t="inlineStr">
        <is>
          <t>motorista</t>
        </is>
      </c>
      <c r="B17" s="9" t="inlineStr">
        <is>
          <t>O Motorista</t>
        </is>
      </c>
      <c r="C17" s="9" t="inlineStr">
        <is>
          <t>Apoio</t>
        </is>
      </c>
      <c r="D17" s="9" t="inlineStr">
        <is>
          <t>Apoio (sistema)</t>
        </is>
      </c>
      <c r="E17" s="9" t="inlineStr">
        <is>
          <t>toda casa</t>
        </is>
      </c>
      <c r="F17" s="9" t="inlineStr">
        <is>
          <t>Nunca</t>
        </is>
      </c>
      <c r="G17" s="9" t="inlineStr">
        <is>
          <t>Não</t>
        </is>
      </c>
      <c r="H17" s="9" t="inlineStr">
        <is>
          <t>rádio (carro-forte)</t>
        </is>
      </c>
      <c r="I17" s="9" t="inlineStr">
        <is>
          <t>Conduz o carro-forte.</t>
        </is>
      </c>
      <c r="J17" s="9" t="inlineStr"/>
      <c r="K17" s="9" t="inlineStr">
        <is>
          <t>Uma filha prestando vestibular e uma advertência guardada por ter aceitado outra alteração sem confirmação dupla.</t>
        </is>
      </c>
      <c r="L17" s="9" t="inlineStr"/>
      <c r="M17" s="9" t="inlineStr">
        <is>
          <t>Fala depois de consultar a prancheta ("O que vale é o carimbo").</t>
        </is>
      </c>
      <c r="N17" s="9" t="inlineStr"/>
      <c r="O17" s="9" t="inlineStr"/>
      <c r="P17" s="9" t="inlineStr"/>
      <c r="Q17" s="9" t="inlineStr"/>
      <c r="R17" s="9" t="inlineStr"/>
    </row>
    <row r="18">
      <c r="A18" s="8" t="inlineStr">
        <is>
          <t>seguranca_interno</t>
        </is>
      </c>
      <c r="B18" s="8" t="inlineStr">
        <is>
          <t>O Segurança Interno</t>
        </is>
      </c>
      <c r="C18" s="8" t="inlineStr">
        <is>
          <t>Apoio</t>
        </is>
      </c>
      <c r="D18" s="8" t="inlineStr">
        <is>
          <t>Apoio (sistema)</t>
        </is>
      </c>
      <c r="E18" s="8" t="inlineStr">
        <is>
          <t>toda casa</t>
        </is>
      </c>
      <c r="F18" s="8" t="inlineStr">
        <is>
          <t>Nunca</t>
        </is>
      </c>
      <c r="G18" s="8" t="inlineStr">
        <is>
          <t>Não</t>
        </is>
      </c>
      <c r="H18" s="8" t="inlineStr">
        <is>
          <t>presencial</t>
        </is>
      </c>
      <c r="I18" s="8" t="inlineStr">
        <is>
          <t>Guarda o Corredor Restrito.</t>
        </is>
      </c>
      <c r="J18" s="8" t="inlineStr"/>
      <c r="K18" s="8" t="inlineStr">
        <is>
          <t>Às 7h20 testou o rádio reserva na Gerência, ouviu uma respiração no canal e deixou o aparelho fora do carregador. Na janela, foi à porta lateral pela ordem falsa e viu, pelo vidro, um homem de capa, de costas, com um motoboy.</t>
        </is>
      </c>
      <c r="L18" s="8" t="inlineStr">
        <is>
          <t>O couro do coldre range quando ele se vira.</t>
        </is>
      </c>
      <c r="M18" s="8" t="inlineStr"/>
      <c r="N18" s="8" t="inlineStr"/>
      <c r="O18" s="8" t="inlineStr"/>
      <c r="P18" s="8" t="inlineStr"/>
      <c r="Q18" s="8" t="inlineStr"/>
      <c r="R18" s="8" t="inlineStr"/>
    </row>
    <row r="19">
      <c r="A19" s="9" t="inlineStr">
        <is>
          <t>caixa_novato</t>
        </is>
      </c>
      <c r="B19" s="9" t="inlineStr">
        <is>
          <t>O Caixa Novato</t>
        </is>
      </c>
      <c r="C19" s="9" t="inlineStr">
        <is>
          <t>Apoio</t>
        </is>
      </c>
      <c r="D19" s="9" t="inlineStr">
        <is>
          <t>Apoio (sistema)</t>
        </is>
      </c>
      <c r="E19" s="9" t="inlineStr">
        <is>
          <t>toda casa</t>
        </is>
      </c>
      <c r="F19" s="9" t="inlineStr">
        <is>
          <t>Nunca</t>
        </is>
      </c>
      <c r="G19" s="9" t="inlineStr">
        <is>
          <t>Não</t>
        </is>
      </c>
      <c r="H19" s="9" t="inlineStr">
        <is>
          <t>presencial</t>
        </is>
      </c>
      <c r="I19" s="9" t="inlineStr">
        <is>
          <t>Caixa novo; conta cédulas movendo os lábios.</t>
        </is>
      </c>
      <c r="J19" s="9" t="inlineStr"/>
      <c r="K19" s="9" t="inlineStr">
        <is>
          <t>Esconde a crise de ansiedade e o calmante sem receita. Usa no indicador uma tira larga de fita microporosa do kit da Gerência. Às 7h52 trocou de pasta com a Estagiária; na janela estava no banheiro, de onde ouviu a parede raspar duas vezes; às 8h02 abriu o Arquivo Morto.</t>
        </is>
      </c>
      <c r="L19" s="9" t="inlineStr">
        <is>
          <t>Fita larga (2,5 cm) encardida no indicador.</t>
        </is>
      </c>
      <c r="M19" s="9" t="inlineStr"/>
      <c r="N19" s="9" t="inlineStr"/>
      <c r="O19" s="9" t="inlineStr"/>
      <c r="P19" s="9" t="inlineStr"/>
      <c r="Q19" s="9" t="inlineStr"/>
      <c r="R19" s="9" t="inlineStr"/>
    </row>
  </sheetData>
  <autoFilter ref="A1:R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1" customWidth="1" min="3" max="3"/>
    <col width="80" customWidth="1" min="4" max="4"/>
    <col width="46" customWidth="1" min="5" max="5"/>
    <col width="14" customWidth="1" min="6" max="6"/>
    <col width="10" customWidth="1" min="7" max="7"/>
  </cols>
  <sheetData>
    <row r="1">
      <c r="A1" s="7" t="inlineStr">
        <is>
          <t>Casa</t>
        </is>
      </c>
      <c r="B1" s="7" t="inlineStr">
        <is>
          <t>Composição</t>
        </is>
      </c>
      <c r="C1" s="7" t="inlineStr">
        <is>
          <t>Personagens jogáveis</t>
        </is>
      </c>
      <c r="D1" s="7" t="inlineStr">
        <is>
          <t>Quem está</t>
        </is>
      </c>
      <c r="E1" s="7" t="inlineStr">
        <is>
          <t>Sempre presentes (sistema)</t>
        </is>
      </c>
      <c r="F1" s="7" t="inlineStr">
        <is>
          <t>Partidas que cabem</t>
        </is>
      </c>
      <c r="G1" s="7" t="inlineStr">
        <is>
          <t>Máx. humanos</t>
        </is>
      </c>
    </row>
    <row r="2">
      <c r="A2" s="8" t="n">
        <v>6</v>
      </c>
      <c r="B2" s="8" t="inlineStr">
        <is>
          <t>Núcleo</t>
        </is>
      </c>
      <c r="C2" s="8" t="n">
        <v>6</v>
      </c>
      <c r="D2" s="8" t="inlineStr">
        <is>
          <t>A Auditora, O Caixa Veterano, O Técnico, A Operadora da Central, O Gerente, A Cliente do Cofre</t>
        </is>
      </c>
      <c r="E2" s="8" t="inlineStr">
        <is>
          <t>Monitor Remoto (oculto), Operador de Rádio (vigia), Motorista, Segurança Interno, Caixa Novato</t>
        </is>
      </c>
      <c r="F2" s="8" t="inlineStr">
        <is>
          <t>nenhuma (todas pedem casa 8)</t>
        </is>
      </c>
      <c r="G2" s="8" t="n">
        <v>5</v>
      </c>
    </row>
    <row r="3">
      <c r="A3" s="9" t="n">
        <v>8</v>
      </c>
      <c r="B3" s="9" t="inlineStr">
        <is>
          <t>Núcleo + 1º bloco</t>
        </is>
      </c>
      <c r="C3" s="9" t="n">
        <v>8</v>
      </c>
      <c r="D3" s="9" t="inlineStr">
        <is>
          <t>A Auditora, O Caixa Veterano, O Técnico, A Operadora da Central, O Gerente, A Cliente do Cofre, O Subgerente, O Funcionário da Limpeza</t>
        </is>
      </c>
      <c r="E3" s="9" t="inlineStr">
        <is>
          <t>Monitor Remoto (oculto), Operador de Rádio (vigia), Motorista, Segurança Interno, Caixa Novato</t>
        </is>
      </c>
      <c r="F3" s="9" t="inlineStr">
        <is>
          <t>S, G, V</t>
        </is>
      </c>
      <c r="G3" s="9" t="n">
        <v>7</v>
      </c>
    </row>
    <row r="4">
      <c r="A4" s="8" t="n">
        <v>10</v>
      </c>
      <c r="B4" s="8" t="inlineStr">
        <is>
          <t>+ 2º bloco</t>
        </is>
      </c>
      <c r="C4" s="8" t="n">
        <v>10</v>
      </c>
      <c r="D4" s="8" t="inlineStr">
        <is>
          <t>A Auditora, O Caixa Veterano, O Técnico, A Operadora da Central, O Gerente, A Cliente do Cofre, O Subgerente, O Funcionário da Limpeza, O Segurança do Veículo, O Padeiro</t>
        </is>
      </c>
      <c r="E4" s="8" t="inlineStr">
        <is>
          <t>Monitor Remoto (oculto), Operador de Rádio (vigia), Motorista, Segurança Interno, Caixa Novato</t>
        </is>
      </c>
      <c r="F4" s="8" t="inlineStr">
        <is>
          <t>S, G, V</t>
        </is>
      </c>
      <c r="G4" s="8" t="n">
        <v>9</v>
      </c>
    </row>
    <row r="5">
      <c r="A5" s="9" t="n">
        <v>12</v>
      </c>
      <c r="B5" s="9" t="inlineStr">
        <is>
          <t>+ 3º bloco</t>
        </is>
      </c>
      <c r="C5" s="9" t="n">
        <v>12</v>
      </c>
      <c r="D5" s="9" t="inlineStr">
        <is>
          <t>A Auditora, O Caixa Veterano, O Técnico, A Operadora da Central, O Gerente, A Cliente do Cofre, O Subgerente, O Funcionário da Limpeza, O Segurança do Veículo, O Padeiro, A Farmacêutica, A Estagiária</t>
        </is>
      </c>
      <c r="E5" s="9" t="inlineStr">
        <is>
          <t>Monitor Remoto (oculto), Operador de Rádio (vigia), Motorista, Segurança Interno, Caixa Novato</t>
        </is>
      </c>
      <c r="F5" s="9" t="inlineStr">
        <is>
          <t>S, G, V</t>
        </is>
      </c>
      <c r="G5" s="9" t="n">
        <v>11</v>
      </c>
    </row>
    <row r="6">
      <c r="A6" s="8" t="n">
        <v>13</v>
      </c>
      <c r="B6" s="8" t="inlineStr">
        <is>
          <t>Casa cheia (+ Transportador)</t>
        </is>
      </c>
      <c r="C6" s="8" t="n">
        <v>13</v>
      </c>
      <c r="D6" s="8" t="inlineStr">
        <is>
          <t>A Auditora, O Caixa Veterano, O Técnico, A Operadora da Central, O Gerente, A Cliente do Cofre, O Subgerente, O Funcionário da Limpeza, O Segurança do Veículo, O Padeiro, A Farmacêutica, A Estagiária, O Transportador</t>
        </is>
      </c>
      <c r="E6" s="8" t="inlineStr">
        <is>
          <t>Monitor Remoto (oculto), Operador de Rádio (vigia), Motorista, Segurança Interno, Caixa Novato</t>
        </is>
      </c>
      <c r="F6" s="8" t="inlineStr">
        <is>
          <t>S, G, V</t>
        </is>
      </c>
      <c r="G6" s="8" t="n">
        <v>12</v>
      </c>
    </row>
  </sheetData>
  <autoFilter ref="A1:G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24" customWidth="1" min="4" max="4"/>
    <col width="60" customWidth="1" min="5" max="5"/>
    <col width="40" customWidth="1" min="6" max="6"/>
    <col width="10" customWidth="1" min="7" max="7"/>
    <col width="12" customWidth="1" min="8" max="8"/>
  </cols>
  <sheetData>
    <row r="1">
      <c r="A1" s="7" t="inlineStr">
        <is>
          <t>Dia</t>
        </is>
      </c>
      <c r="B1" s="7" t="inlineStr">
        <is>
          <t>Hora</t>
        </is>
      </c>
      <c r="C1" s="7" t="inlineStr">
        <is>
          <t>Onde</t>
        </is>
      </c>
      <c r="D1" s="7" t="inlineStr">
        <is>
          <t>Quem</t>
        </is>
      </c>
      <c r="E1" s="7" t="inlineStr">
        <is>
          <t>O quê</t>
        </is>
      </c>
      <c r="F1" s="7" t="inlineStr">
        <is>
          <t>Como se sabe (fonte)</t>
        </is>
      </c>
      <c r="G1" s="7" t="inlineStr">
        <is>
          <t>Revelado no cap.</t>
        </is>
      </c>
      <c r="H1" s="7" t="inlineStr">
        <is>
          <t>Fixo / ajuste</t>
        </is>
      </c>
    </row>
    <row r="2">
      <c r="A2" s="8" t="inlineStr">
        <is>
          <t>Onze dias antes</t>
        </is>
      </c>
      <c r="B2" s="8" t="inlineStr">
        <is>
          <t>18h54</t>
        </is>
      </c>
      <c r="C2" s="8" t="inlineStr">
        <is>
          <t>Guichê 2</t>
        </is>
      </c>
      <c r="D2" s="8" t="inlineStr">
        <is>
          <t>Caixa Veterano</t>
        </is>
      </c>
      <c r="E2" s="8" t="inlineStr">
        <is>
          <t>Depósito do frigorífico de R$ 96.000, recibo único</t>
        </is>
      </c>
      <c r="F2" s="8" t="inlineStr">
        <is>
          <t>Recibo (Caixa Veterano); consolidações (Operadora)</t>
        </is>
      </c>
      <c r="G2" s="8" t="inlineStr">
        <is>
          <t>5</t>
        </is>
      </c>
      <c r="H2" s="8" t="inlineStr">
        <is>
          <t>Fixo</t>
        </is>
      </c>
    </row>
    <row r="3">
      <c r="A3" s="9" t="inlineStr">
        <is>
          <t>Onze dias antes</t>
        </is>
      </c>
      <c r="B3" s="9" t="inlineStr">
        <is>
          <t>19h00</t>
        </is>
      </c>
      <c r="C3" s="9" t="inlineStr">
        <is>
          <t>—</t>
        </is>
      </c>
      <c r="D3" s="9" t="inlineStr">
        <is>
          <t>Gerente</t>
        </is>
      </c>
      <c r="E3" s="9" t="inlineStr">
        <is>
          <t>Sai para encontrar quem ameaçava denunciar favorecimento; autoriza o fechamento por telefone</t>
        </is>
      </c>
      <c r="F3" s="9" t="inlineStr">
        <is>
          <t>ajuste_96 ("G sai"); confissão do Gerente</t>
        </is>
      </c>
      <c r="G3" s="9" t="inlineStr">
        <is>
          <t>6</t>
        </is>
      </c>
      <c r="H3" s="9" t="inlineStr">
        <is>
          <t>Fixo</t>
        </is>
      </c>
    </row>
    <row r="4">
      <c r="A4" s="8" t="inlineStr">
        <is>
          <t>Onze dias antes</t>
        </is>
      </c>
      <c r="B4" s="8" t="inlineStr">
        <is>
          <t>19h03</t>
        </is>
      </c>
      <c r="C4" s="8" t="inlineStr">
        <is>
          <t>Terminal (acesso remoto)</t>
        </is>
      </c>
      <c r="D4" s="8" t="inlineStr">
        <is>
          <t>Técnico</t>
        </is>
      </c>
      <c r="E4" s="8" t="inlineStr">
        <is>
          <t>Sistema congela durante atualização remota (admin.local)</t>
        </is>
      </c>
      <c r="F4" s="8" t="inlineStr">
        <is>
          <t>Registro do sistema (Operadora); Técnico admite</t>
        </is>
      </c>
      <c r="G4" s="8" t="inlineStr">
        <is>
          <t>5</t>
        </is>
      </c>
      <c r="H4" s="8" t="inlineStr">
        <is>
          <t>Fixo</t>
        </is>
      </c>
    </row>
    <row r="5">
      <c r="A5" s="9" t="inlineStr">
        <is>
          <t>Onze dias antes</t>
        </is>
      </c>
      <c r="B5" s="9" t="inlineStr">
        <is>
          <t>19h11</t>
        </is>
      </c>
      <c r="C5" s="9" t="inlineStr">
        <is>
          <t>Terminal</t>
        </is>
      </c>
      <c r="D5" s="9" t="inlineStr">
        <is>
          <t>Subgerente</t>
        </is>
      </c>
      <c r="E5" s="9" t="inlineStr">
        <is>
          <t>Reprocessa manualmente a fila: o depósito entra duas vezes</t>
        </is>
      </c>
      <c r="F5" s="9" t="inlineStr">
        <is>
          <t>Consolidações; ajuste_96; Subgerente confirma</t>
        </is>
      </c>
      <c r="G5" s="9" t="inlineStr">
        <is>
          <t>5–6</t>
        </is>
      </c>
      <c r="H5" s="9" t="inlineStr">
        <is>
          <t>Fixo</t>
        </is>
      </c>
    </row>
    <row r="6">
      <c r="A6" s="8" t="inlineStr">
        <is>
          <t>Onze dias antes</t>
        </is>
      </c>
      <c r="B6" s="8" t="inlineStr">
        <is>
          <t>19h12</t>
        </is>
      </c>
      <c r="C6" s="8" t="inlineStr">
        <is>
          <t>Central / Gerência</t>
        </is>
      </c>
      <c r="D6" s="8" t="inlineStr">
        <is>
          <t>Operadora</t>
        </is>
      </c>
      <c r="E6" s="8" t="inlineStr">
        <is>
          <t>Testa o rádio</t>
        </is>
      </c>
      <c r="F6" s="8" t="inlineStr">
        <is>
          <t>Operadora (Cap. 2)</t>
        </is>
      </c>
      <c r="G6" s="8" t="inlineStr">
        <is>
          <t>2</t>
        </is>
      </c>
      <c r="H6" s="8" t="inlineStr">
        <is>
          <t>Fixo</t>
        </is>
      </c>
    </row>
    <row r="7">
      <c r="A7" s="9" t="inlineStr">
        <is>
          <t>Onze dias antes</t>
        </is>
      </c>
      <c r="B7" s="9" t="inlineStr">
        <is>
          <t>19h20</t>
        </is>
      </c>
      <c r="C7" s="9" t="inlineStr">
        <is>
          <t>Cofre</t>
        </is>
      </c>
      <c r="D7" s="9" t="inlineStr">
        <is>
          <t>Subgerente e Caixa Veterano</t>
        </is>
      </c>
      <c r="E7" s="9" t="inlineStr">
        <is>
          <t>Consolidação assinada sem recontagem física (Veterano vai ao velório)</t>
        </is>
      </c>
      <c r="F7" s="9" t="inlineStr">
        <is>
          <t>ajuste_96; confissão do Veterano</t>
        </is>
      </c>
      <c r="G7" s="9" t="inlineStr">
        <is>
          <t>6</t>
        </is>
      </c>
      <c r="H7" s="9" t="inlineStr">
        <is>
          <t>Fixo</t>
        </is>
      </c>
    </row>
    <row r="8">
      <c r="A8" s="8" t="inlineStr">
        <is>
          <t>Onze dias antes</t>
        </is>
      </c>
      <c r="B8" s="8" t="inlineStr">
        <is>
          <t>19h20</t>
        </is>
      </c>
      <c r="C8" s="8" t="inlineStr">
        <is>
          <t>Central regional</t>
        </is>
      </c>
      <c r="D8" s="8" t="inlineStr">
        <is>
          <t>Monitor Remoto</t>
        </is>
      </c>
      <c r="E8" s="8" t="inlineStr">
        <is>
          <t>Alerta "fechamento sem contagem física"; fora do posto, silencia sem registrar</t>
        </is>
      </c>
      <c r="F8" s="8" t="inlineStr">
        <is>
          <t>Mensagem do epílogo</t>
        </is>
      </c>
      <c r="G8" s="8" t="inlineStr">
        <is>
          <t>8 (epílogo)</t>
        </is>
      </c>
      <c r="H8" s="8" t="inlineStr">
        <is>
          <t>Fixo</t>
        </is>
      </c>
    </row>
    <row r="9">
      <c r="A9" s="12" t="inlineStr">
        <is>
          <t>Oito dias antes</t>
        </is>
      </c>
      <c r="B9" s="12" t="inlineStr">
        <is>
          <t>—</t>
        </is>
      </c>
      <c r="C9" s="12" t="inlineStr">
        <is>
          <t>—</t>
        </is>
      </c>
      <c r="D9" s="12" t="inlineStr">
        <is>
          <t>Impostor</t>
        </is>
      </c>
      <c r="E9" s="12" t="inlineStr">
        <is>
          <t>Percebe a duplicidade e cala</t>
        </is>
      </c>
      <c r="F9" s="12" t="inlineStr">
        <is>
          <t>Confissão</t>
        </is>
      </c>
      <c r="G9" s="12" t="inlineStr">
        <is>
          <t>8</t>
        </is>
      </c>
      <c r="H9" s="12" t="inlineStr">
        <is>
          <t>A1</t>
        </is>
      </c>
    </row>
    <row r="10">
      <c r="A10" s="12" t="inlineStr">
        <is>
          <t>Cinco dias antes</t>
        </is>
      </c>
      <c r="B10" s="12" t="inlineStr">
        <is>
          <t>—</t>
        </is>
      </c>
      <c r="C10" s="12" t="inlineStr">
        <is>
          <t>Agência 0392</t>
        </is>
      </c>
      <c r="D10" s="12" t="inlineStr">
        <is>
          <t>Impostor</t>
        </is>
      </c>
      <c r="E10" s="12" t="inlineStr">
        <is>
          <t>Agenda saque em espécie de R$ 96.000 (recursos próprios)</t>
        </is>
      </c>
      <c r="F10" s="12" t="inlineStr">
        <is>
          <t>Regional, pela Auditora (10h41)</t>
        </is>
      </c>
      <c r="G10" s="12" t="inlineStr">
        <is>
          <t>7</t>
        </is>
      </c>
      <c r="H10" s="12" t="inlineStr">
        <is>
          <t>A8</t>
        </is>
      </c>
    </row>
    <row r="11">
      <c r="A11" s="12" t="inlineStr">
        <is>
          <t>Véspera</t>
        </is>
      </c>
      <c r="B11" s="12" t="inlineStr">
        <is>
          <t>15h50</t>
        </is>
      </c>
      <c r="C11" s="12" t="inlineStr">
        <is>
          <t>Cofre / Antecâmara</t>
        </is>
      </c>
      <c r="D11" s="12" t="inlineStr">
        <is>
          <t>Impostor + cossignatário</t>
        </is>
      </c>
      <c r="E11" s="12" t="inlineStr">
        <is>
          <t>Malote 41 lacrado com R$ 384.000 sob guia de R$ 480.000; o cossignatário assina sem contar</t>
        </is>
      </c>
      <c r="F11" s="12" t="inlineStr">
        <is>
          <t>Livro de lacres (Operadora)</t>
        </is>
      </c>
      <c r="G11" s="12" t="inlineStr">
        <is>
          <t>7</t>
        </is>
      </c>
      <c r="H11" s="12" t="inlineStr">
        <is>
          <t>A2</t>
        </is>
      </c>
    </row>
    <row r="12">
      <c r="A12" s="8" t="inlineStr">
        <is>
          <t>Véspera</t>
        </is>
      </c>
      <c r="B12" s="8" t="inlineStr">
        <is>
          <t>15h55</t>
        </is>
      </c>
      <c r="C12" s="8" t="inlineStr">
        <is>
          <t>Antecâmara</t>
        </is>
      </c>
      <c r="D12" s="8" t="inlineStr">
        <is>
          <t>Cliente do Cofre</t>
        </is>
      </c>
      <c r="E12" s="8" t="inlineStr">
        <is>
          <t>Vê o malote 41 cheio na plataforma, com vinco diagonal</t>
        </is>
      </c>
      <c r="F12" s="8" t="inlineStr">
        <is>
          <t>Cliente do Cofre</t>
        </is>
      </c>
      <c r="G12" s="8" t="inlineStr">
        <is>
          <t>1</t>
        </is>
      </c>
      <c r="H12" s="8" t="inlineStr">
        <is>
          <t>Fixo</t>
        </is>
      </c>
    </row>
    <row r="13">
      <c r="A13" s="9" t="inlineStr">
        <is>
          <t>Véspera</t>
        </is>
      </c>
      <c r="B13" s="9" t="inlineStr">
        <is>
          <t>16h00</t>
        </is>
      </c>
      <c r="C13" s="9" t="inlineStr">
        <is>
          <t>Agência 0392</t>
        </is>
      </c>
      <c r="D13" s="9" t="inlineStr">
        <is>
          <t>Transportadora</t>
        </is>
      </c>
      <c r="E13" s="9" t="inlineStr">
        <is>
          <t>Suprimento extraordinário de R$ 96.000 para o saque agendado</t>
        </is>
      </c>
      <c r="F13" s="9" t="inlineStr">
        <is>
          <t>Operador de Rádio (9h56)</t>
        </is>
      </c>
      <c r="G13" s="9" t="inlineStr">
        <is>
          <t>5</t>
        </is>
      </c>
      <c r="H13" s="9" t="inlineStr">
        <is>
          <t>Fixo</t>
        </is>
      </c>
    </row>
    <row r="14">
      <c r="A14" s="12" t="inlineStr">
        <is>
          <t>Véspera</t>
        </is>
      </c>
      <c r="B14" s="12" t="inlineStr">
        <is>
          <t>16h30</t>
        </is>
      </c>
      <c r="C14" s="12" t="inlineStr">
        <is>
          <t>Agência 0392</t>
        </is>
      </c>
      <c r="D14" s="12" t="inlineStr">
        <is>
          <t>Impostor</t>
        </is>
      </c>
      <c r="E14" s="12" t="inlineStr">
        <is>
          <t>Retira os R$ 96.000 e leva para casa</t>
        </is>
      </c>
      <c r="F14" s="12" t="inlineStr">
        <is>
          <t>Regional (10h41)</t>
        </is>
      </c>
      <c r="G14" s="12" t="inlineStr">
        <is>
          <t>7</t>
        </is>
      </c>
      <c r="H14" s="12" t="inlineStr">
        <is>
          <t>A8</t>
        </is>
      </c>
    </row>
    <row r="15">
      <c r="A15" s="9" t="inlineStr">
        <is>
          <t>Véspera</t>
        </is>
      </c>
      <c r="B15" s="9" t="inlineStr">
        <is>
          <t>~19h12</t>
        </is>
      </c>
      <c r="C15" s="9" t="inlineStr">
        <is>
          <t>Sala da Gerência</t>
        </is>
      </c>
      <c r="D15" s="9" t="inlineStr">
        <is>
          <t>Gerente e Subgerente</t>
        </is>
      </c>
      <c r="E15" s="9" t="inlineStr">
        <is>
          <t>Discussão: "Se isso aparecer amanhã, não cai só você." / "Eu resolvo antes de abrir." (sobre a ameaça de denúncia)</t>
        </is>
      </c>
      <c r="F15" s="9" t="inlineStr">
        <is>
          <t>Operadora (bloco particular, Cap. 2); Gerente explica (Cap. 6)</t>
        </is>
      </c>
      <c r="G15" s="9" t="inlineStr">
        <is>
          <t>2 / 6</t>
        </is>
      </c>
      <c r="H15" s="9" t="inlineStr">
        <is>
          <t>Fixo</t>
        </is>
      </c>
    </row>
    <row r="16">
      <c r="A16" s="8" t="inlineStr">
        <is>
          <t>Véspera</t>
        </is>
      </c>
      <c r="B16" s="8" t="inlineStr">
        <is>
          <t>21h40</t>
        </is>
      </c>
      <c r="C16" s="8" t="inlineStr">
        <is>
          <t>—</t>
        </is>
      </c>
      <c r="D16" s="8" t="inlineStr">
        <is>
          <t>Impostor</t>
        </is>
      </c>
      <c r="E16" s="8" t="inlineStr">
        <is>
          <t>Sabe por um colega da regional que haverá auditoria surpresa</t>
        </is>
      </c>
      <c r="F16" s="8" t="inlineStr">
        <is>
          <t>Confissão</t>
        </is>
      </c>
      <c r="G16" s="8" t="inlineStr">
        <is>
          <t>8</t>
        </is>
      </c>
      <c r="H16" s="8" t="inlineStr">
        <is>
          <t>Fixo</t>
        </is>
      </c>
    </row>
    <row r="17">
      <c r="A17" s="9" t="inlineStr">
        <is>
          <t>Hoje</t>
        </is>
      </c>
      <c r="B17" s="9" t="inlineStr">
        <is>
          <t>6h28</t>
        </is>
      </c>
      <c r="C17" s="9" t="inlineStr">
        <is>
          <t>Porta de serviço da padaria</t>
        </is>
      </c>
      <c r="D17" s="9" t="inlineStr">
        <is>
          <t>Impostor</t>
        </is>
      </c>
      <c r="E17" s="9" t="inlineStr">
        <is>
          <t>Atravessa com capa, guarda-chuva de cabo claro e sacola esportiva; a barra roça a farinha</t>
        </is>
      </c>
      <c r="F17" s="9" t="inlineStr">
        <is>
          <t>Padeiro (9h12)</t>
        </is>
      </c>
      <c r="G17" s="9" t="inlineStr">
        <is>
          <t>4</t>
        </is>
      </c>
      <c r="H17" s="9" t="inlineStr">
        <is>
          <t>Fixo</t>
        </is>
      </c>
    </row>
    <row r="18">
      <c r="A18" s="8" t="inlineStr">
        <is>
          <t>Hoje</t>
        </is>
      </c>
      <c r="B18" s="8" t="inlineStr">
        <is>
          <t>6h31</t>
        </is>
      </c>
      <c r="C18" s="8" t="inlineStr">
        <is>
          <t>Farmácia</t>
        </is>
      </c>
      <c r="D18" s="8" t="inlineStr">
        <is>
          <t>Impostor</t>
        </is>
      </c>
      <c r="E18" s="8" t="inlineStr">
        <is>
          <t>Compra luvas G e fita microporosa 1,2 cm, em dinheiro</t>
        </is>
      </c>
      <c r="F18" s="8" t="inlineStr">
        <is>
          <t>Cupom no cesto (Auditora, Cap. 6); Farmacêutica (Cap. 7)</t>
        </is>
      </c>
      <c r="G18" s="8" t="inlineStr">
        <is>
          <t>6–7</t>
        </is>
      </c>
      <c r="H18" s="8" t="inlineStr">
        <is>
          <t>Fixo</t>
        </is>
      </c>
    </row>
    <row r="19">
      <c r="A19" s="9" t="inlineStr">
        <is>
          <t>Hoje</t>
        </is>
      </c>
      <c r="B19" s="9" t="inlineStr">
        <is>
          <t>6h36</t>
        </is>
      </c>
      <c r="C19" s="9" t="inlineStr">
        <is>
          <t>Porta Lateral</t>
        </is>
      </c>
      <c r="D19" s="9" t="inlineStr">
        <is>
          <t>Impostor</t>
        </is>
      </c>
      <c r="E19" s="9" t="inlineStr">
        <is>
          <t>Entra (aberta por fora, chave mecânica)</t>
        </is>
      </c>
      <c r="F19" s="9" t="inlineStr">
        <is>
          <t>Sensor (Operadora, 9h40); fotografias do Padeiro (9h43)</t>
        </is>
      </c>
      <c r="G19" s="9" t="inlineStr">
        <is>
          <t>5</t>
        </is>
      </c>
      <c r="H19" s="9" t="inlineStr">
        <is>
          <t>Fixo</t>
        </is>
      </c>
    </row>
    <row r="20">
      <c r="A20" s="8" t="inlineStr">
        <is>
          <t>Hoje</t>
        </is>
      </c>
      <c r="B20" s="8" t="inlineStr">
        <is>
          <t>6h40</t>
        </is>
      </c>
      <c r="C20" s="8" t="inlineStr">
        <is>
          <t>Arquivo Morto</t>
        </is>
      </c>
      <c r="D20" s="8" t="inlineStr">
        <is>
          <t>Impostor</t>
        </is>
      </c>
      <c r="E20" s="8" t="inlineStr">
        <is>
          <t>Guarda o dinheiro na caixa de 1998 e separa um saco reserva</t>
        </is>
      </c>
      <c r="F20" s="8" t="inlineStr">
        <is>
          <t>Cinta de R$ 10.000 na caixa (Caixa Veterano, Cap. 5)</t>
        </is>
      </c>
      <c r="G20" s="8" t="inlineStr">
        <is>
          <t>5</t>
        </is>
      </c>
      <c r="H20" s="8" t="inlineStr">
        <is>
          <t>Fixo</t>
        </is>
      </c>
    </row>
    <row r="21">
      <c r="A21" s="9" t="inlineStr">
        <is>
          <t>Hoje</t>
        </is>
      </c>
      <c r="B21" s="9" t="inlineStr">
        <is>
          <t>6h52</t>
        </is>
      </c>
      <c r="C21" s="9" t="inlineStr">
        <is>
          <t>Telefone da Sala da Gerência</t>
        </is>
      </c>
      <c r="D21" s="9" t="inlineStr">
        <is>
          <t>Impostor</t>
        </is>
      </c>
      <c r="E21" s="9" t="inlineStr">
        <is>
          <t>Pede à base a antecipação da coleta para 7h50 (43 s, código de tesouraria, sem nome)</t>
        </is>
      </c>
      <c r="F21" s="9" t="inlineStr">
        <is>
          <t>Operador de Rádio (prólogo; registro bruto 8h29)</t>
        </is>
      </c>
      <c r="G21" s="9" t="inlineStr">
        <is>
          <t>0 / 2</t>
        </is>
      </c>
      <c r="H21" s="9" t="inlineStr">
        <is>
          <t>Fixo</t>
        </is>
      </c>
    </row>
    <row r="22">
      <c r="A22" s="8" t="inlineStr">
        <is>
          <t>Hoje</t>
        </is>
      </c>
      <c r="B22" s="8" t="inlineStr">
        <is>
          <t>6h58</t>
        </is>
      </c>
      <c r="C22" s="8" t="inlineStr">
        <is>
          <t>Terminal da Gerência</t>
        </is>
      </c>
      <c r="D22" s="8" t="inlineStr">
        <is>
          <t>Impostor</t>
        </is>
      </c>
      <c r="E22" s="8" t="inlineStr">
        <is>
          <t>Com admin.local troca ML-8842 por ML-8847 no registro e agenda a etiqueta para 7h53</t>
        </is>
      </c>
      <c r="F22" s="8" t="inlineStr">
        <is>
          <t>Fila da impressora (Operadora, 8h38)</t>
        </is>
      </c>
      <c r="G22" s="8" t="inlineStr">
        <is>
          <t>3</t>
        </is>
      </c>
      <c r="H22" s="8" t="inlineStr">
        <is>
          <t>Fixo</t>
        </is>
      </c>
    </row>
    <row r="23">
      <c r="A23" s="9" t="inlineStr">
        <is>
          <t>Hoje</t>
        </is>
      </c>
      <c r="B23" s="9" t="inlineStr">
        <is>
          <t>7h00–7h05</t>
        </is>
      </c>
      <c r="C23" s="9" t="inlineStr">
        <is>
          <t>Passagem → Rack</t>
        </is>
      </c>
      <c r="D23" s="9" t="inlineStr">
        <is>
          <t>Impostor</t>
        </is>
      </c>
      <c r="E23" s="9" t="inlineStr">
        <is>
          <t>Afrouxa o conector da câmera 3 até o limite</t>
        </is>
      </c>
      <c r="F23" s="9" t="inlineStr">
        <is>
          <t>Fotografia do Técnico (7h45)</t>
        </is>
      </c>
      <c r="G23" s="9" t="inlineStr">
        <is>
          <t>3</t>
        </is>
      </c>
      <c r="H23" s="9" t="inlineStr">
        <is>
          <t>Fixo</t>
        </is>
      </c>
    </row>
    <row r="24">
      <c r="A24" s="8" t="inlineStr">
        <is>
          <t>Hoje</t>
        </is>
      </c>
      <c r="B24" s="8" t="inlineStr">
        <is>
          <t>7h06</t>
        </is>
      </c>
      <c r="C24" s="8" t="inlineStr">
        <is>
          <t>Porta Lateral</t>
        </is>
      </c>
      <c r="D24" s="8" t="inlineStr">
        <is>
          <t>Impostor</t>
        </is>
      </c>
      <c r="E24" s="8" t="inlineStr">
        <is>
          <t>Sai (barra antipânico); volta depois pela Porta Giratória</t>
        </is>
      </c>
      <c r="F24" s="8" t="inlineStr">
        <is>
          <t>Sensor; fotografias do Padeiro</t>
        </is>
      </c>
      <c r="G24" s="8" t="inlineStr">
        <is>
          <t>5</t>
        </is>
      </c>
      <c r="H24" s="8" t="inlineStr">
        <is>
          <t>Fixo</t>
        </is>
      </c>
    </row>
    <row r="25">
      <c r="A25" s="9" t="inlineStr">
        <is>
          <t>Hoje</t>
        </is>
      </c>
      <c r="B25" s="9" t="inlineStr">
        <is>
          <t>7h10</t>
        </is>
      </c>
      <c r="C25" s="9" t="inlineStr">
        <is>
          <t>Porta Giratória</t>
        </is>
      </c>
      <c r="D25" s="9" t="inlineStr">
        <is>
          <t>Segurança Interno, Funcionário da Limpeza</t>
        </is>
      </c>
      <c r="E25" s="9" t="inlineStr">
        <is>
          <t>Crachás</t>
        </is>
      </c>
      <c r="F25" s="9" t="inlineStr">
        <is>
          <t>Registro de crachás (Operadora, Cap. 2)</t>
        </is>
      </c>
      <c r="G25" s="9" t="inlineStr">
        <is>
          <t>2</t>
        </is>
      </c>
      <c r="H25" s="9" t="inlineStr">
        <is>
          <t>Fixo</t>
        </is>
      </c>
    </row>
    <row r="26">
      <c r="A26" s="8" t="inlineStr">
        <is>
          <t>Hoje</t>
        </is>
      </c>
      <c r="B26" s="8" t="inlineStr">
        <is>
          <t>7h12 / 7h16 / 7h21</t>
        </is>
      </c>
      <c r="C26" s="8" t="inlineStr">
        <is>
          <t>Porta Giratória</t>
        </is>
      </c>
      <c r="D26" s="8" t="inlineStr">
        <is>
          <t>Gerente / Subgerente / Caixa Veterano</t>
        </is>
      </c>
      <c r="E26" s="8" t="inlineStr">
        <is>
          <t>Crachás</t>
        </is>
      </c>
      <c r="F26" s="8" t="inlineStr">
        <is>
          <t>Registro de crachás</t>
        </is>
      </c>
      <c r="G26" s="8" t="inlineStr">
        <is>
          <t>2</t>
        </is>
      </c>
      <c r="H26" s="8" t="inlineStr">
        <is>
          <t>Fixo (A5-crachá no Cap. 8)</t>
        </is>
      </c>
    </row>
    <row r="27">
      <c r="A27" s="9" t="inlineStr">
        <is>
          <t>Hoje</t>
        </is>
      </c>
      <c r="B27" s="9" t="inlineStr">
        <is>
          <t>7h20</t>
        </is>
      </c>
      <c r="C27" s="9" t="inlineStr">
        <is>
          <t>Sala da Gerência</t>
        </is>
      </c>
      <c r="D27" s="9" t="inlineStr">
        <is>
          <t>Segurança Interno</t>
        </is>
      </c>
      <c r="E27" s="9" t="inlineStr">
        <is>
          <t>Testa o rádio reserva; ouve uma respiração; deixa fora do carregador</t>
        </is>
      </c>
      <c r="F27" s="9" t="inlineStr">
        <is>
          <t>Segurança Interno (Cap. 2)</t>
        </is>
      </c>
      <c r="G27" s="9" t="inlineStr">
        <is>
          <t>2</t>
        </is>
      </c>
      <c r="H27" s="9" t="inlineStr">
        <is>
          <t>Fixo</t>
        </is>
      </c>
    </row>
    <row r="28">
      <c r="A28" s="8" t="inlineStr">
        <is>
          <t>Hoje</t>
        </is>
      </c>
      <c r="B28" s="8" t="inlineStr">
        <is>
          <t>7h25</t>
        </is>
      </c>
      <c r="C28" s="8" t="inlineStr">
        <is>
          <t>—</t>
        </is>
      </c>
      <c r="D28" s="8" t="inlineStr">
        <is>
          <t>—</t>
        </is>
      </c>
      <c r="E28" s="8" t="inlineStr">
        <is>
          <t>Erro 17 chama o Técnico</t>
        </is>
      </c>
      <c r="F28" s="8" t="inlineStr">
        <is>
          <t>Técnico</t>
        </is>
      </c>
      <c r="G28" s="8" t="inlineStr">
        <is>
          <t>0</t>
        </is>
      </c>
      <c r="H28" s="8" t="inlineStr">
        <is>
          <t>Fixo</t>
        </is>
      </c>
    </row>
    <row r="29">
      <c r="A29" s="9" t="inlineStr">
        <is>
          <t>Hoje</t>
        </is>
      </c>
      <c r="B29" s="9" t="inlineStr">
        <is>
          <t>7h35–7h47</t>
        </is>
      </c>
      <c r="C29" s="9" t="inlineStr">
        <is>
          <t>Arquivo Morto</t>
        </is>
      </c>
      <c r="D29" s="9" t="inlineStr">
        <is>
          <t>Funcionário da Limpeza → Subgerente</t>
        </is>
      </c>
      <c r="E29" s="9" t="inlineStr">
        <is>
          <t>Empréstimo da chave 17-B (espelho do reprocessamento)</t>
        </is>
      </c>
      <c r="F29" s="9" t="inlineStr">
        <is>
          <t>Limpeza e Subgerente confessam (Cap. 4)</t>
        </is>
      </c>
      <c r="G29" s="9" t="inlineStr">
        <is>
          <t>4</t>
        </is>
      </c>
      <c r="H29" s="9" t="inlineStr">
        <is>
          <t>Fixo</t>
        </is>
      </c>
    </row>
    <row r="30">
      <c r="A30" s="8" t="inlineStr">
        <is>
          <t>Hoje</t>
        </is>
      </c>
      <c r="B30" s="8" t="inlineStr">
        <is>
          <t>7h38</t>
        </is>
      </c>
      <c r="C30" s="8" t="inlineStr">
        <is>
          <t>Padaria (balcão)</t>
        </is>
      </c>
      <c r="D30" s="8" t="inlineStr">
        <is>
          <t>Auditora</t>
        </is>
      </c>
      <c r="E30" s="8" t="inlineStr">
        <is>
          <t>Compra café pela frente (farinha na ponteira do guarda-chuva)</t>
        </is>
      </c>
      <c r="F30" s="8" t="inlineStr">
        <is>
          <t>Auditora (Cap. 4 e 7)</t>
        </is>
      </c>
      <c r="G30" s="8" t="inlineStr">
        <is>
          <t>4 / 7</t>
        </is>
      </c>
      <c r="H30" s="8" t="inlineStr">
        <is>
          <t>Fixo</t>
        </is>
      </c>
    </row>
    <row r="31">
      <c r="A31" s="9" t="inlineStr">
        <is>
          <t>Hoje</t>
        </is>
      </c>
      <c r="B31" s="9" t="inlineStr">
        <is>
          <t>7h40</t>
        </is>
      </c>
      <c r="C31" s="9" t="inlineStr">
        <is>
          <t>Porta Lateral</t>
        </is>
      </c>
      <c r="D31" s="9" t="inlineStr">
        <is>
          <t>Técnico</t>
        </is>
      </c>
      <c r="E31" s="9" t="inlineStr">
        <is>
          <t>Chega (chave)</t>
        </is>
      </c>
      <c r="F31" s="9" t="inlineStr">
        <is>
          <t>Sensor</t>
        </is>
      </c>
      <c r="G31" s="9" t="inlineStr">
        <is>
          <t>5</t>
        </is>
      </c>
      <c r="H31" s="9" t="inlineStr">
        <is>
          <t>Fixo</t>
        </is>
      </c>
    </row>
    <row r="32">
      <c r="A32" s="8" t="inlineStr">
        <is>
          <t>Hoje</t>
        </is>
      </c>
      <c r="B32" s="8" t="inlineStr">
        <is>
          <t>7h43</t>
        </is>
      </c>
      <c r="C32" s="8" t="inlineStr">
        <is>
          <t>Central</t>
        </is>
      </c>
      <c r="D32" s="8" t="inlineStr">
        <is>
          <t>Operadora</t>
        </is>
      </c>
      <c r="E32" s="8" t="inlineStr">
        <is>
          <t>Câmera 3 pisca; anota em bloco particular</t>
        </is>
      </c>
      <c r="F32" s="8" t="inlineStr">
        <is>
          <t>Bloco da Operadora</t>
        </is>
      </c>
      <c r="G32" s="8" t="inlineStr">
        <is>
          <t>0 / 2</t>
        </is>
      </c>
      <c r="H32" s="8" t="inlineStr">
        <is>
          <t>Fixo</t>
        </is>
      </c>
    </row>
    <row r="33">
      <c r="A33" s="9" t="inlineStr">
        <is>
          <t>Hoje</t>
        </is>
      </c>
      <c r="B33" s="9" t="inlineStr">
        <is>
          <t>7h45</t>
        </is>
      </c>
      <c r="C33" s="9" t="inlineStr">
        <is>
          <t>Rack Técnico</t>
        </is>
      </c>
      <c r="D33" s="9" t="inlineStr">
        <is>
          <t>Técnico</t>
        </is>
      </c>
      <c r="E33" s="9" t="inlineStr">
        <is>
          <t>Fotografa o conector puxado e a poeira riscada em arco</t>
        </is>
      </c>
      <c r="F33" s="9" t="inlineStr">
        <is>
          <t>Fotografia (Cap. 3)</t>
        </is>
      </c>
      <c r="G33" s="9" t="inlineStr">
        <is>
          <t>3</t>
        </is>
      </c>
      <c r="H33" s="9" t="inlineStr">
        <is>
          <t>Fixo</t>
        </is>
      </c>
    </row>
    <row r="34">
      <c r="A34" s="8" t="inlineStr">
        <is>
          <t>Hoje</t>
        </is>
      </c>
      <c r="B34" s="8" t="inlineStr">
        <is>
          <t>7h46</t>
        </is>
      </c>
      <c r="C34" s="8" t="inlineStr">
        <is>
          <t>Arquivo Morto</t>
        </is>
      </c>
      <c r="D34" s="8" t="inlineStr">
        <is>
          <t>Funcionário da Limpeza</t>
        </is>
      </c>
      <c r="E34" s="8" t="inlineStr">
        <is>
          <t>Deixa o Arquivo limpo e o cesto vazio; empurra a caixa de 1998 de volta</t>
        </is>
      </c>
      <c r="F34" s="8" t="inlineStr">
        <is>
          <t>Câmera 3 (Operadora); Limpeza</t>
        </is>
      </c>
      <c r="G34" s="8" t="inlineStr">
        <is>
          <t>1 / 5</t>
        </is>
      </c>
      <c r="H34" s="8" t="inlineStr">
        <is>
          <t>Fixo</t>
        </is>
      </c>
    </row>
    <row r="35">
      <c r="A35" s="9" t="inlineStr">
        <is>
          <t>Hoje</t>
        </is>
      </c>
      <c r="B35" s="9" t="inlineStr">
        <is>
          <t>7h47</t>
        </is>
      </c>
      <c r="C35" s="9" t="inlineStr">
        <is>
          <t>Rua</t>
        </is>
      </c>
      <c r="D35" s="9" t="inlineStr">
        <is>
          <t>Carro-forte; Auditora</t>
        </is>
      </c>
      <c r="E35" s="9" t="inlineStr">
        <is>
          <t>O blindado chega; a Auditora chega</t>
        </is>
      </c>
      <c r="F35" s="9" t="inlineStr">
        <is>
          <t>Prólogo</t>
        </is>
      </c>
      <c r="G35" s="9" t="inlineStr">
        <is>
          <t>0</t>
        </is>
      </c>
      <c r="H35" s="9" t="inlineStr">
        <is>
          <t>Fixo</t>
        </is>
      </c>
    </row>
    <row r="36">
      <c r="A36" s="8" t="inlineStr">
        <is>
          <t>Hoje</t>
        </is>
      </c>
      <c r="B36" s="8" t="inlineStr">
        <is>
          <t>7h49</t>
        </is>
      </c>
      <c r="C36" s="8" t="inlineStr">
        <is>
          <t>Base</t>
        </is>
      </c>
      <c r="D36" s="8" t="inlineStr">
        <is>
          <t>Operador de Rádio</t>
        </is>
      </c>
      <c r="E36" s="8" t="inlineStr">
        <is>
          <t>Canal da base com a agência encerrado</t>
        </is>
      </c>
      <c r="F36" s="8" t="inlineStr">
        <is>
          <t>Operador de Rádio (Cap. 2)</t>
        </is>
      </c>
      <c r="G36" s="8" t="inlineStr">
        <is>
          <t>2</t>
        </is>
      </c>
      <c r="H36" s="8" t="inlineStr">
        <is>
          <t>Fixo</t>
        </is>
      </c>
    </row>
    <row r="37">
      <c r="A37" s="9" t="inlineStr">
        <is>
          <t>Hoje</t>
        </is>
      </c>
      <c r="B37" s="9" t="inlineStr">
        <is>
          <t>7h50</t>
        </is>
      </c>
      <c r="C37" s="9" t="inlineStr">
        <is>
          <t>Corredor / Cofre</t>
        </is>
      </c>
      <c r="D37" s="9" t="inlineStr">
        <is>
          <t>Subgerente e Caixa Veterano</t>
        </is>
      </c>
      <c r="E37" s="9" t="inlineStr">
        <is>
          <t>Abrem o Cofre; malote 41 vai à plataforma da Antecâmara</t>
        </is>
      </c>
      <c r="F37" s="9" t="inlineStr">
        <is>
          <t>Prólogo</t>
        </is>
      </c>
      <c r="G37" s="9" t="inlineStr">
        <is>
          <t>0</t>
        </is>
      </c>
      <c r="H37" s="9" t="inlineStr">
        <is>
          <t>Fixo</t>
        </is>
      </c>
    </row>
    <row r="38">
      <c r="A38" s="8" t="inlineStr">
        <is>
          <t>Hoje</t>
        </is>
      </c>
      <c r="B38" s="8" t="inlineStr">
        <is>
          <t>7h50</t>
        </is>
      </c>
      <c r="C38" s="8" t="inlineStr">
        <is>
          <t>Eclusa</t>
        </is>
      </c>
      <c r="D38" s="8" t="inlineStr">
        <is>
          <t>—</t>
        </is>
      </c>
      <c r="E38" s="8" t="inlineStr">
        <is>
          <t>Campainha da Eclusa: as duas manhãs se encontram</t>
        </is>
      </c>
      <c r="F38" s="8" t="inlineStr">
        <is>
          <t>Prólogo</t>
        </is>
      </c>
      <c r="G38" s="8" t="inlineStr">
        <is>
          <t>0</t>
        </is>
      </c>
      <c r="H38" s="8" t="inlineStr">
        <is>
          <t>Fixo</t>
        </is>
      </c>
    </row>
    <row r="39">
      <c r="A39" s="9" t="inlineStr">
        <is>
          <t>Hoje</t>
        </is>
      </c>
      <c r="B39" s="9" t="inlineStr">
        <is>
          <t>7h52</t>
        </is>
      </c>
      <c r="C39" s="9" t="inlineStr">
        <is>
          <t>Mesa / Guichês</t>
        </is>
      </c>
      <c r="D39" s="9" t="inlineStr">
        <is>
          <t>Caixa Novato e Estagiária</t>
        </is>
      </c>
      <c r="E39" s="9" t="inlineStr">
        <is>
          <t>Trocam de pasta sem perceber</t>
        </is>
      </c>
      <c r="F39" s="9" t="inlineStr">
        <is>
          <t>Cap. 1</t>
        </is>
      </c>
      <c r="G39" s="9" t="inlineStr">
        <is>
          <t>1</t>
        </is>
      </c>
      <c r="H39" s="9" t="inlineStr">
        <is>
          <t>Fixo</t>
        </is>
      </c>
    </row>
    <row r="40">
      <c r="A40" s="8" t="inlineStr">
        <is>
          <t>Hoje</t>
        </is>
      </c>
      <c r="B40" s="8" t="inlineStr">
        <is>
          <t>7h53</t>
        </is>
      </c>
      <c r="C40" s="8" t="inlineStr">
        <is>
          <t>Sala da Gerência</t>
        </is>
      </c>
      <c r="D40" s="8" t="inlineStr">
        <is>
          <t>(tarefa agendada)</t>
        </is>
      </c>
      <c r="E40" s="8" t="inlineStr">
        <is>
          <t>Impressora imprime a etiqueta ML-8847 e a página ajuste_96</t>
        </is>
      </c>
      <c r="F40" s="8" t="inlineStr">
        <is>
          <t>Auditora ouve; fila (8h38)</t>
        </is>
      </c>
      <c r="G40" s="8" t="inlineStr">
        <is>
          <t>0 / 3</t>
        </is>
      </c>
      <c r="H40" s="8" t="inlineStr">
        <is>
          <t>Fixo</t>
        </is>
      </c>
    </row>
    <row r="41">
      <c r="A41" s="9" t="inlineStr">
        <is>
          <t>Hoje</t>
        </is>
      </c>
      <c r="B41" s="9" t="inlineStr">
        <is>
          <t>7h55</t>
        </is>
      </c>
      <c r="C41" s="9" t="inlineStr">
        <is>
          <t>Porta Lateral</t>
        </is>
      </c>
      <c r="D41" s="9" t="inlineStr">
        <is>
          <t>Técnico</t>
        </is>
      </c>
      <c r="E41" s="9" t="inlineStr">
        <is>
          <t>Sai pela barra para receber a peça do motoboy; porta fica "não travada" até 7h59:51</t>
        </is>
      </c>
      <c r="F41" s="9" t="inlineStr">
        <is>
          <t>Sensor; Técnico (Cap. 6)</t>
        </is>
      </c>
      <c r="G41" s="9" t="inlineStr">
        <is>
          <t>5–6</t>
        </is>
      </c>
      <c r="H41" s="9" t="inlineStr">
        <is>
          <t>Fixo</t>
        </is>
      </c>
    </row>
    <row r="42">
      <c r="A42" s="8" t="inlineStr">
        <is>
          <t>Hoje</t>
        </is>
      </c>
      <c r="B42" s="8" t="inlineStr">
        <is>
          <t>7h57</t>
        </is>
      </c>
      <c r="C42" s="8" t="inlineStr">
        <is>
          <t>Cofre</t>
        </is>
      </c>
      <c r="D42" s="8" t="inlineStr">
        <is>
          <t>—</t>
        </is>
      </c>
      <c r="E42" s="8" t="inlineStr">
        <is>
          <t>Cofre fecha (baque); a dupla vai à Gerência assinar o livro</t>
        </is>
      </c>
      <c r="F42" s="8" t="inlineStr">
        <is>
          <t>Prólogo</t>
        </is>
      </c>
      <c r="G42" s="8" t="inlineStr">
        <is>
          <t>0</t>
        </is>
      </c>
      <c r="H42" s="8" t="inlineStr">
        <is>
          <t>Fixo</t>
        </is>
      </c>
    </row>
    <row r="43">
      <c r="A43" s="12" t="inlineStr">
        <is>
          <t>Hoje</t>
        </is>
      </c>
      <c r="B43" s="12" t="inlineStr">
        <is>
          <t>7h57:50</t>
        </is>
      </c>
      <c r="C43" s="12" t="inlineStr">
        <is>
          <t>Sala da Gerência</t>
        </is>
      </c>
      <c r="D43" s="12" t="inlineStr">
        <is>
          <t>Impostor</t>
        </is>
      </c>
      <c r="E43" s="12" t="inlineStr">
        <is>
          <t>Fica sozinho na Gerência (S/V: depois do livro; G: "para um telefonema")</t>
        </is>
      </c>
      <c r="F43" s="12" t="inlineStr">
        <is>
          <t>Cliente do Cofre e câmera 1 (Cap. 7)</t>
        </is>
      </c>
      <c r="G43" s="12" t="inlineStr">
        <is>
          <t>7</t>
        </is>
      </c>
      <c r="H43" s="12" t="inlineStr">
        <is>
          <t>A4</t>
        </is>
      </c>
    </row>
    <row r="44">
      <c r="A44" s="12" t="inlineStr">
        <is>
          <t>Hoje</t>
        </is>
      </c>
      <c r="B44" s="12" t="inlineStr">
        <is>
          <t>7h57:55</t>
        </is>
      </c>
      <c r="C44" s="12" t="inlineStr">
        <is>
          <t>Sala da Gerência</t>
        </is>
      </c>
      <c r="D44" s="12" t="inlineStr">
        <is>
          <t>Impostor</t>
        </is>
      </c>
      <c r="E44" s="12" t="inlineStr">
        <is>
          <t>Pareia o rádio reserva com o próprio cartão</t>
        </is>
      </c>
      <c r="F44" s="12" t="inlineStr">
        <is>
          <t>Histórico do rádio (Cap. 2); dígitos recuperados (10h46)</t>
        </is>
      </c>
      <c r="G44" s="12" t="inlineStr">
        <is>
          <t>2 / 7</t>
        </is>
      </c>
      <c r="H44" s="12" t="inlineStr">
        <is>
          <t>A7</t>
        </is>
      </c>
    </row>
    <row r="45">
      <c r="A45" s="9" t="inlineStr">
        <is>
          <t>Hoje</t>
        </is>
      </c>
      <c r="B45" s="9" t="inlineStr">
        <is>
          <t>8h05</t>
        </is>
      </c>
      <c r="C45" s="9" t="inlineStr">
        <is>
          <t>Central</t>
        </is>
      </c>
      <c r="D45" s="9" t="inlineStr">
        <is>
          <t>Operadora</t>
        </is>
      </c>
      <c r="E45" s="9" t="inlineStr">
        <is>
          <t>Câmera 3: 87 s sem sinal</t>
        </is>
      </c>
      <c r="F45" s="9" t="inlineStr">
        <is>
          <t>—</t>
        </is>
      </c>
      <c r="G45" s="9" t="inlineStr">
        <is>
          <t>1</t>
        </is>
      </c>
      <c r="H45" s="9" t="inlineStr">
        <is>
          <t>Fixo</t>
        </is>
      </c>
    </row>
    <row r="46">
      <c r="A46" s="8" t="inlineStr">
        <is>
          <t>Hoje</t>
        </is>
      </c>
      <c r="B46" s="8" t="inlineStr">
        <is>
          <t>8h07</t>
        </is>
      </c>
      <c r="C46" s="8" t="inlineStr">
        <is>
          <t>Mesa</t>
        </is>
      </c>
      <c r="D46" s="8" t="inlineStr">
        <is>
          <t>Operadora</t>
        </is>
      </c>
      <c r="E46" s="8" t="inlineStr">
        <is>
          <t>Confirma ML-8847 e a troca de lacre no sistema, sem nome</t>
        </is>
      </c>
      <c r="F46" s="8" t="inlineStr">
        <is>
          <t>—</t>
        </is>
      </c>
      <c r="G46" s="8" t="inlineStr">
        <is>
          <t>1</t>
        </is>
      </c>
      <c r="H46" s="8" t="inlineStr">
        <is>
          <t>Fixo</t>
        </is>
      </c>
    </row>
    <row r="47">
      <c r="A47" s="9" t="inlineStr">
        <is>
          <t>Hoje</t>
        </is>
      </c>
      <c r="B47" s="9" t="inlineStr">
        <is>
          <t>8h10</t>
        </is>
      </c>
      <c r="C47" s="9" t="inlineStr">
        <is>
          <t>Rádio da Central</t>
        </is>
      </c>
      <c r="D47" s="9" t="inlineStr">
        <is>
          <t>Monitor Remoto</t>
        </is>
      </c>
      <c r="E47" s="9" t="inlineStr">
        <is>
          <t>"Procurem quem abriu antes."</t>
        </is>
      </c>
      <c r="F47" s="9" t="inlineStr">
        <is>
          <t>Mensagem sem origem</t>
        </is>
      </c>
      <c r="G47" s="9" t="inlineStr">
        <is>
          <t>1</t>
        </is>
      </c>
      <c r="H47" s="9" t="inlineStr">
        <is>
          <t>Fixo</t>
        </is>
      </c>
    </row>
    <row r="48">
      <c r="A48" s="8" t="inlineStr">
        <is>
          <t>Hoje</t>
        </is>
      </c>
      <c r="B48" s="8" t="inlineStr">
        <is>
          <t>8h18</t>
        </is>
      </c>
      <c r="C48" s="8" t="inlineStr">
        <is>
          <t>Central</t>
        </is>
      </c>
      <c r="D48" s="8" t="inlineStr">
        <is>
          <t>Operadora</t>
        </is>
      </c>
      <c r="E48" s="8" t="inlineStr">
        <is>
          <t>Reproduz a gravação; espectro com o pulsar do estabilizador (3 rápidos, 1 lento)</t>
        </is>
      </c>
      <c r="F48" s="8" t="inlineStr">
        <is>
          <t>—</t>
        </is>
      </c>
      <c r="G48" s="8" t="inlineStr">
        <is>
          <t>2</t>
        </is>
      </c>
      <c r="H48" s="8" t="inlineStr">
        <is>
          <t>Fixo</t>
        </is>
      </c>
    </row>
    <row r="49">
      <c r="A49" s="9" t="inlineStr">
        <is>
          <t>Hoje</t>
        </is>
      </c>
      <c r="B49" s="9" t="inlineStr">
        <is>
          <t>8h25</t>
        </is>
      </c>
      <c r="C49" s="9" t="inlineStr">
        <is>
          <t>Mesa</t>
        </is>
      </c>
      <c r="D49" s="9" t="inlineStr">
        <is>
          <t>Gerente</t>
        </is>
      </c>
      <c r="E49" s="9" t="inlineStr">
        <is>
          <t>Maleta do Técnico fechada sobre a Mesa; Técnico na Central sob os olhos de todos</t>
        </is>
      </c>
      <c r="F49" s="9" t="inlineStr">
        <is>
          <t>Cap. 6</t>
        </is>
      </c>
      <c r="G49" s="9" t="inlineStr">
        <is>
          <t>6</t>
        </is>
      </c>
      <c r="H49" s="9" t="inlineStr">
        <is>
          <t>Fixo</t>
        </is>
      </c>
    </row>
    <row r="50">
      <c r="A50" s="8" t="inlineStr">
        <is>
          <t>Hoje</t>
        </is>
      </c>
      <c r="B50" s="8" t="inlineStr">
        <is>
          <t>8h29</t>
        </is>
      </c>
      <c r="C50" s="8" t="inlineStr">
        <is>
          <t>Base</t>
        </is>
      </c>
      <c r="D50" s="8" t="inlineStr">
        <is>
          <t>Operador de Rádio</t>
        </is>
      </c>
      <c r="E50" s="8" t="inlineStr">
        <is>
          <t>Registro bruto: pedido das 6h52 saiu do telefone da Sala da Gerência</t>
        </is>
      </c>
      <c r="F50" s="8" t="inlineStr">
        <is>
          <t>—</t>
        </is>
      </c>
      <c r="G50" s="8" t="inlineStr">
        <is>
          <t>2</t>
        </is>
      </c>
      <c r="H50" s="8" t="inlineStr">
        <is>
          <t>Fixo</t>
        </is>
      </c>
    </row>
    <row r="51">
      <c r="A51" s="9" t="inlineStr">
        <is>
          <t>Hoje</t>
        </is>
      </c>
      <c r="B51" s="9" t="inlineStr">
        <is>
          <t>8h31</t>
        </is>
      </c>
      <c r="C51" s="9" t="inlineStr">
        <is>
          <t>Gerência → passagem → Rack</t>
        </is>
      </c>
      <c r="D51" s="9" t="inlineStr">
        <is>
          <t>Gerente</t>
        </is>
      </c>
      <c r="E51" s="9" t="inlineStr">
        <is>
          <t>Lê ajuste_96 na fila; encosta o cabo no exaustor (54 s atrás da divisória)</t>
        </is>
      </c>
      <c r="F51" s="9" t="inlineStr">
        <is>
          <t>Câmera 1 (Cap. 7)</t>
        </is>
      </c>
      <c r="G51" s="9" t="inlineStr">
        <is>
          <t>7</t>
        </is>
      </c>
      <c r="H51" s="9" t="inlineStr">
        <is>
          <t>Fixo</t>
        </is>
      </c>
    </row>
    <row r="52">
      <c r="A52" s="8" t="inlineStr">
        <is>
          <t>Hoje</t>
        </is>
      </c>
      <c r="B52" s="8" t="inlineStr">
        <is>
          <t>8h35</t>
        </is>
      </c>
      <c r="C52" s="8" t="inlineStr">
        <is>
          <t>Sala da Gerência</t>
        </is>
      </c>
      <c r="D52" s="8" t="inlineStr">
        <is>
          <t>Monitor Remoto</t>
        </is>
      </c>
      <c r="E52" s="8" t="inlineStr">
        <is>
          <t>Reimpressão remota da etiqueta ML-8847 (origem: rede de segurança regional)</t>
        </is>
      </c>
      <c r="F52" s="8" t="inlineStr">
        <is>
          <t>Origem revelada às 10h46</t>
        </is>
      </c>
      <c r="G52" s="8" t="inlineStr">
        <is>
          <t>2 / 7</t>
        </is>
      </c>
      <c r="H52" s="8" t="inlineStr">
        <is>
          <t>Fixo</t>
        </is>
      </c>
    </row>
    <row r="53">
      <c r="A53" s="9" t="inlineStr">
        <is>
          <t>Hoje</t>
        </is>
      </c>
      <c r="B53" s="9" t="inlineStr">
        <is>
          <t>8h38</t>
        </is>
      </c>
      <c r="C53" s="9" t="inlineStr">
        <is>
          <t>Terminal da Gerência</t>
        </is>
      </c>
      <c r="D53" s="9" t="inlineStr">
        <is>
          <t>Operadora</t>
        </is>
      </c>
      <c r="E53" s="9" t="inlineStr">
        <is>
          <t>Abre a fila: tarefa criada às 6h58 por admin.local; registro da remessa alterado</t>
        </is>
      </c>
      <c r="F53" s="9" t="inlineStr">
        <is>
          <t>—</t>
        </is>
      </c>
      <c r="G53" s="9" t="inlineStr">
        <is>
          <t>3</t>
        </is>
      </c>
      <c r="H53" s="9" t="inlineStr">
        <is>
          <t>Fixo</t>
        </is>
      </c>
    </row>
    <row r="54">
      <c r="A54" s="8" t="inlineStr">
        <is>
          <t>Hoje</t>
        </is>
      </c>
      <c r="B54" s="8" t="inlineStr">
        <is>
          <t>8h44</t>
        </is>
      </c>
      <c r="C54" s="8" t="inlineStr">
        <is>
          <t>Eclusa</t>
        </is>
      </c>
      <c r="D54" s="8" t="inlineStr">
        <is>
          <t>Motorista</t>
        </is>
      </c>
      <c r="E54" s="8" t="inlineStr">
        <is>
          <t>Carro na esquina; ordens incompatíveis; a van passa</t>
        </is>
      </c>
      <c r="F54" s="8" t="inlineStr">
        <is>
          <t>—</t>
        </is>
      </c>
      <c r="G54" s="8" t="inlineStr">
        <is>
          <t>3</t>
        </is>
      </c>
      <c r="H54" s="8" t="inlineStr">
        <is>
          <t>Fixo</t>
        </is>
      </c>
    </row>
    <row r="55">
      <c r="A55" s="9" t="inlineStr">
        <is>
          <t>Hoje</t>
        </is>
      </c>
      <c r="B55" s="9" t="inlineStr">
        <is>
          <t>8h48</t>
        </is>
      </c>
      <c r="C55" s="9" t="inlineStr">
        <is>
          <t>Carro-forte</t>
        </is>
      </c>
      <c r="D55" s="9" t="inlineStr">
        <is>
          <t>Motorista / Transportador</t>
        </is>
      </c>
      <c r="E55" s="9" t="inlineStr">
        <is>
          <t>Balança: 7,0 kg; o Transportador confirma o peso</t>
        </is>
      </c>
      <c r="F55" s="9" t="inlineStr">
        <is>
          <t>—</t>
        </is>
      </c>
      <c r="G55" s="9" t="inlineStr">
        <is>
          <t>3</t>
        </is>
      </c>
      <c r="H55" s="9" t="inlineStr">
        <is>
          <t>Fixo</t>
        </is>
      </c>
    </row>
    <row r="56">
      <c r="A56" s="8" t="inlineStr">
        <is>
          <t>Hoje</t>
        </is>
      </c>
      <c r="B56" s="8" t="inlineStr">
        <is>
          <t>8h50</t>
        </is>
      </c>
      <c r="C56" s="8" t="inlineStr">
        <is>
          <t>Vaga Blindada</t>
        </is>
      </c>
      <c r="D56" s="8" t="inlineStr">
        <is>
          <t>—</t>
        </is>
      </c>
      <c r="E56" s="8" t="inlineStr">
        <is>
          <t>Carro-forte parte para a base sob quarentena</t>
        </is>
      </c>
      <c r="F56" s="8" t="inlineStr">
        <is>
          <t>—</t>
        </is>
      </c>
      <c r="G56" s="8" t="inlineStr">
        <is>
          <t>3</t>
        </is>
      </c>
      <c r="H56" s="8" t="inlineStr">
        <is>
          <t>Fixo</t>
        </is>
      </c>
    </row>
    <row r="57">
      <c r="A57" s="9" t="inlineStr">
        <is>
          <t>Hoje</t>
        </is>
      </c>
      <c r="B57" s="9" t="inlineStr">
        <is>
          <t>8h51</t>
        </is>
      </c>
      <c r="C57" s="9" t="inlineStr">
        <is>
          <t>Rack</t>
        </is>
      </c>
      <c r="D57" s="9" t="inlineStr">
        <is>
          <t>—</t>
        </is>
      </c>
      <c r="E57" s="9" t="inlineStr">
        <is>
          <t>Curto; terminal da Gerência morre ao abrir ajuste_96</t>
        </is>
      </c>
      <c r="F57" s="9" t="inlineStr">
        <is>
          <t>—</t>
        </is>
      </c>
      <c r="G57" s="9" t="inlineStr">
        <is>
          <t>4</t>
        </is>
      </c>
      <c r="H57" s="9" t="inlineStr">
        <is>
          <t>Fixo</t>
        </is>
      </c>
    </row>
    <row r="58">
      <c r="A58" s="8" t="inlineStr">
        <is>
          <t>Hoje</t>
        </is>
      </c>
      <c r="B58" s="8" t="inlineStr">
        <is>
          <t>9h05</t>
        </is>
      </c>
      <c r="C58" s="8" t="inlineStr">
        <is>
          <t>Corredor</t>
        </is>
      </c>
      <c r="D58" s="8" t="inlineStr">
        <is>
          <t>Técnico</t>
        </is>
      </c>
      <c r="E58" s="8" t="inlineStr">
        <is>
          <t>Simulação: pelo corredor ~98 s (não cabe); pela passagem 69 s expostos (cabe)</t>
        </is>
      </c>
      <c r="F58" s="8" t="inlineStr">
        <is>
          <t>—</t>
        </is>
      </c>
      <c r="G58" s="8" t="inlineStr">
        <is>
          <t>4</t>
        </is>
      </c>
      <c r="H58" s="8" t="inlineStr">
        <is>
          <t>Fixo</t>
        </is>
      </c>
    </row>
    <row r="59">
      <c r="A59" s="9" t="inlineStr">
        <is>
          <t>Hoje</t>
        </is>
      </c>
      <c r="B59" s="9" t="inlineStr">
        <is>
          <t>9h12</t>
        </is>
      </c>
      <c r="C59" s="9" t="inlineStr">
        <is>
          <t>Telefone</t>
        </is>
      </c>
      <c r="D59" s="9" t="inlineStr">
        <is>
          <t>Padeiro</t>
        </is>
      </c>
      <c r="E59" s="9" t="inlineStr">
        <is>
          <t>Figura de capa às 6h28 na porta de serviço</t>
        </is>
      </c>
      <c r="F59" s="9" t="inlineStr">
        <is>
          <t>—</t>
        </is>
      </c>
      <c r="G59" s="9" t="inlineStr">
        <is>
          <t>4</t>
        </is>
      </c>
      <c r="H59" s="9" t="inlineStr">
        <is>
          <t>Fixo</t>
        </is>
      </c>
    </row>
    <row r="60">
      <c r="A60" s="8" t="inlineStr">
        <is>
          <t>Hoje</t>
        </is>
      </c>
      <c r="B60" s="8" t="inlineStr">
        <is>
          <t>9h25</t>
        </is>
      </c>
      <c r="C60" s="8" t="inlineStr">
        <is>
          <t>Base</t>
        </is>
      </c>
      <c r="D60" s="8" t="inlineStr">
        <is>
          <t>Operador de Rádio</t>
        </is>
      </c>
      <c r="E60" s="8" t="inlineStr">
        <is>
          <t>Base abre o malote sob filmagem</t>
        </is>
      </c>
      <c r="F60" s="8" t="inlineStr">
        <is>
          <t>—</t>
        </is>
      </c>
      <c r="G60" s="8" t="inlineStr">
        <is>
          <t>4</t>
        </is>
      </c>
      <c r="H60" s="8" t="inlineStr">
        <is>
          <t>Fixo</t>
        </is>
      </c>
    </row>
    <row r="61">
      <c r="A61" s="9" t="inlineStr">
        <is>
          <t>Hoje</t>
        </is>
      </c>
      <c r="B61" s="9" t="inlineStr">
        <is>
          <t>9h31</t>
        </is>
      </c>
      <c r="C61" s="9" t="inlineStr">
        <is>
          <t>Base</t>
        </is>
      </c>
      <c r="D61" s="9" t="inlineStr">
        <is>
          <t>Operador de Rádio</t>
        </is>
      </c>
      <c r="E61" s="9" t="inlineStr">
        <is>
          <t>R$ 480.000, composição idêntica à guia, cédulas verdadeiras</t>
        </is>
      </c>
      <c r="F61" s="9" t="inlineStr">
        <is>
          <t>—</t>
        </is>
      </c>
      <c r="G61" s="9" t="inlineStr">
        <is>
          <t>5</t>
        </is>
      </c>
      <c r="H61" s="9" t="inlineStr">
        <is>
          <t>Fixo</t>
        </is>
      </c>
    </row>
    <row r="62">
      <c r="A62" s="8" t="inlineStr">
        <is>
          <t>Hoje</t>
        </is>
      </c>
      <c r="B62" s="8" t="inlineStr">
        <is>
          <t>9h40</t>
        </is>
      </c>
      <c r="C62" s="8" t="inlineStr">
        <is>
          <t>Central</t>
        </is>
      </c>
      <c r="D62" s="8" t="inlineStr">
        <is>
          <t>Operadora</t>
        </is>
      </c>
      <c r="E62" s="8" t="inlineStr">
        <is>
          <t>Registro do sensor da porta lateral</t>
        </is>
      </c>
      <c r="F62" s="8" t="inlineStr">
        <is>
          <t>—</t>
        </is>
      </c>
      <c r="G62" s="8" t="inlineStr">
        <is>
          <t>5</t>
        </is>
      </c>
      <c r="H62" s="8" t="inlineStr">
        <is>
          <t>Fixo</t>
        </is>
      </c>
    </row>
    <row r="63">
      <c r="A63" s="9" t="inlineStr">
        <is>
          <t>Hoje</t>
        </is>
      </c>
      <c r="B63" s="9" t="inlineStr">
        <is>
          <t>9h43</t>
        </is>
      </c>
      <c r="C63" s="9" t="inlineStr">
        <is>
          <t>Telefone</t>
        </is>
      </c>
      <c r="D63" s="9" t="inlineStr">
        <is>
          <t>Padeiro</t>
        </is>
      </c>
      <c r="E63" s="9" t="inlineStr">
        <is>
          <t>Fotografias de 6h36 e 7h06</t>
        </is>
      </c>
      <c r="F63" s="9" t="inlineStr">
        <is>
          <t>—</t>
        </is>
      </c>
      <c r="G63" s="9" t="inlineStr">
        <is>
          <t>5</t>
        </is>
      </c>
      <c r="H63" s="9" t="inlineStr">
        <is>
          <t>Fixo</t>
        </is>
      </c>
    </row>
    <row r="64">
      <c r="A64" s="8" t="inlineStr">
        <is>
          <t>Hoje</t>
        </is>
      </c>
      <c r="B64" s="8" t="inlineStr">
        <is>
          <t>9h56</t>
        </is>
      </c>
      <c r="C64" s="8" t="inlineStr">
        <is>
          <t>Base</t>
        </is>
      </c>
      <c r="D64" s="8" t="inlineStr">
        <is>
          <t>Operador de Rádio</t>
        </is>
      </c>
      <c r="E64" s="8" t="inlineStr">
        <is>
          <t>Suprimento de R$ 96.000 à 0392 para saque de funcionário da 0688</t>
        </is>
      </c>
      <c r="F64" s="8" t="inlineStr">
        <is>
          <t>—</t>
        </is>
      </c>
      <c r="G64" s="8" t="inlineStr">
        <is>
          <t>5</t>
        </is>
      </c>
      <c r="H64" s="8" t="inlineStr">
        <is>
          <t>Fixo</t>
        </is>
      </c>
    </row>
    <row r="65">
      <c r="A65" s="9" t="inlineStr">
        <is>
          <t>Hoje</t>
        </is>
      </c>
      <c r="B65" s="9" t="inlineStr">
        <is>
          <t>10h04</t>
        </is>
      </c>
      <c r="C65" s="9" t="inlineStr">
        <is>
          <t>Servidor</t>
        </is>
      </c>
      <c r="D65" s="9" t="inlineStr">
        <is>
          <t>Operadora</t>
        </is>
      </c>
      <c r="E65" s="9" t="inlineStr">
        <is>
          <t>ajuste_96 recuperado: "19h00, G sai… 19h20, assinatura sem contagem"; origem "própria"</t>
        </is>
      </c>
      <c r="F65" s="9" t="inlineStr">
        <is>
          <t>—</t>
        </is>
      </c>
      <c r="G65" s="9" t="inlineStr">
        <is>
          <t>6</t>
        </is>
      </c>
      <c r="H65" s="9" t="inlineStr">
        <is>
          <t>Fixo</t>
        </is>
      </c>
    </row>
    <row r="66">
      <c r="A66" s="8" t="inlineStr">
        <is>
          <t>Hoje</t>
        </is>
      </c>
      <c r="B66" s="8" t="inlineStr">
        <is>
          <t>10h12</t>
        </is>
      </c>
      <c r="C66" s="8" t="inlineStr">
        <is>
          <t>Central</t>
        </is>
      </c>
      <c r="D66" s="8" t="inlineStr">
        <is>
          <t>Operadora</t>
        </is>
      </c>
      <c r="E66" s="8" t="inlineStr">
        <is>
          <t>Imagem das 8h01: perna e roda do balde</t>
        </is>
      </c>
      <c r="F66" s="8" t="inlineStr">
        <is>
          <t>—</t>
        </is>
      </c>
      <c r="G66" s="8" t="inlineStr">
        <is>
          <t>6</t>
        </is>
      </c>
      <c r="H66" s="8" t="inlineStr">
        <is>
          <t>Fixo</t>
        </is>
      </c>
    </row>
    <row r="67">
      <c r="A67" s="9" t="inlineStr">
        <is>
          <t>Hoje</t>
        </is>
      </c>
      <c r="B67" s="9" t="inlineStr">
        <is>
          <t>10h21</t>
        </is>
      </c>
      <c r="C67" s="9" t="inlineStr">
        <is>
          <t>Telefone</t>
        </is>
      </c>
      <c r="D67" s="9" t="inlineStr">
        <is>
          <t>Padeiro</t>
        </is>
      </c>
      <c r="E67" s="9" t="inlineStr">
        <is>
          <t>Fotografias 7h58:47 e 7h59:51: o Técnico estava fora</t>
        </is>
      </c>
      <c r="F67" s="9" t="inlineStr">
        <is>
          <t>—</t>
        </is>
      </c>
      <c r="G67" s="9" t="inlineStr">
        <is>
          <t>6</t>
        </is>
      </c>
      <c r="H67" s="9" t="inlineStr">
        <is>
          <t>Fixo</t>
        </is>
      </c>
    </row>
    <row r="68">
      <c r="A68" s="8" t="inlineStr">
        <is>
          <t>Hoje</t>
        </is>
      </c>
      <c r="B68" s="8" t="inlineStr">
        <is>
          <t>10h28</t>
        </is>
      </c>
      <c r="C68" s="8" t="inlineStr">
        <is>
          <t>Mesa</t>
        </is>
      </c>
      <c r="D68" s="8" t="inlineStr">
        <is>
          <t>Auditora</t>
        </is>
      </c>
      <c r="E68" s="8" t="inlineStr">
        <is>
          <t>Quadro das quinze funções</t>
        </is>
      </c>
      <c r="F68" s="8" t="inlineStr">
        <is>
          <t>—</t>
        </is>
      </c>
      <c r="G68" s="8" t="inlineStr">
        <is>
          <t>7</t>
        </is>
      </c>
      <c r="H68" s="8" t="inlineStr">
        <is>
          <t>Fixo</t>
        </is>
      </c>
    </row>
    <row r="69">
      <c r="A69" s="12" t="inlineStr">
        <is>
          <t>Hoje</t>
        </is>
      </c>
      <c r="B69" s="12" t="inlineStr">
        <is>
          <t>10h41</t>
        </is>
      </c>
      <c r="C69" s="12" t="inlineStr">
        <is>
          <t>Regional</t>
        </is>
      </c>
      <c r="D69" s="12" t="inlineStr">
        <is>
          <t>—</t>
        </is>
      </c>
      <c r="E69" s="12" t="inlineStr">
        <is>
          <t>Titular do saque</t>
        </is>
      </c>
      <c r="F69" s="12" t="inlineStr">
        <is>
          <t>—</t>
        </is>
      </c>
      <c r="G69" s="12" t="inlineStr">
        <is>
          <t>7</t>
        </is>
      </c>
      <c r="H69" s="12" t="inlineStr">
        <is>
          <t>A8</t>
        </is>
      </c>
    </row>
    <row r="70">
      <c r="A70" s="12" t="inlineStr">
        <is>
          <t>Hoje</t>
        </is>
      </c>
      <c r="B70" s="12" t="inlineStr">
        <is>
          <t>10h46</t>
        </is>
      </c>
      <c r="C70" s="12" t="inlineStr">
        <is>
          <t>Central</t>
        </is>
      </c>
      <c r="D70" s="12" t="inlineStr">
        <is>
          <t>Operadora</t>
        </is>
      </c>
      <c r="E70" s="12" t="inlineStr">
        <is>
          <t>Dígitos do cartão recuperados; origem remota das 8h35</t>
        </is>
      </c>
      <c r="F70" s="12" t="inlineStr">
        <is>
          <t>—</t>
        </is>
      </c>
      <c r="G70" s="12" t="inlineStr">
        <is>
          <t>7</t>
        </is>
      </c>
      <c r="H70" s="12" t="inlineStr">
        <is>
          <t>A7</t>
        </is>
      </c>
    </row>
    <row r="71">
      <c r="A71" s="9" t="inlineStr">
        <is>
          <t>Hoje</t>
        </is>
      </c>
      <c r="B71" s="9" t="inlineStr">
        <is>
          <t>10h52</t>
        </is>
      </c>
      <c r="C71" s="9" t="inlineStr">
        <is>
          <t>Saguão</t>
        </is>
      </c>
      <c r="D71" s="9" t="inlineStr">
        <is>
          <t>Todos</t>
        </is>
      </c>
      <c r="E71" s="9" t="inlineStr">
        <is>
          <t>Acusação: cada um diz de quem desconfiou</t>
        </is>
      </c>
      <c r="F71" s="9" t="inlineStr">
        <is>
          <t>—</t>
        </is>
      </c>
      <c r="G71" s="9" t="inlineStr">
        <is>
          <t>8</t>
        </is>
      </c>
      <c r="H71" s="9" t="inlineStr">
        <is>
          <t>Fixo</t>
        </is>
      </c>
    </row>
    <row r="72">
      <c r="A72" s="8" t="inlineStr">
        <is>
          <t>Hoje</t>
        </is>
      </c>
      <c r="B72" s="8" t="inlineStr">
        <is>
          <t>10h58</t>
        </is>
      </c>
      <c r="C72" s="8" t="inlineStr">
        <is>
          <t>Base</t>
        </is>
      </c>
      <c r="D72" s="8" t="inlineStr">
        <is>
          <t>—</t>
        </is>
      </c>
      <c r="E72" s="8" t="inlineStr">
        <is>
          <t>Contagem final confirmada</t>
        </is>
      </c>
      <c r="F72" s="8" t="inlineStr">
        <is>
          <t>—</t>
        </is>
      </c>
      <c r="G72" s="8" t="inlineStr">
        <is>
          <t>8</t>
        </is>
      </c>
      <c r="H72" s="8" t="inlineStr">
        <is>
          <t>Fixo</t>
        </is>
      </c>
    </row>
    <row r="73">
      <c r="A73" s="12" t="inlineStr">
        <is>
          <t>Hoje</t>
        </is>
      </c>
      <c r="B73" s="12" t="inlineStr">
        <is>
          <t>11h12</t>
        </is>
      </c>
      <c r="C73" s="12" t="inlineStr">
        <is>
          <t>Porta Giratória</t>
        </is>
      </c>
      <c r="D73" s="12" t="inlineStr">
        <is>
          <t>—</t>
        </is>
      </c>
      <c r="E73" s="12" t="inlineStr">
        <is>
          <t>Porta destravada; o impostor sai acompanhado</t>
        </is>
      </c>
      <c r="F73" s="12" t="inlineStr">
        <is>
          <t>—</t>
        </is>
      </c>
      <c r="G73" s="12" t="inlineStr">
        <is>
          <t>8</t>
        </is>
      </c>
      <c r="H73" s="12" t="inlineStr">
        <is>
          <t>A10</t>
        </is>
      </c>
    </row>
    <row r="74">
      <c r="A74" s="8" t="inlineStr">
        <is>
          <t>Manhã seguinte</t>
        </is>
      </c>
      <c r="B74" s="8" t="inlineStr">
        <is>
          <t>8h10</t>
        </is>
      </c>
      <c r="C74" s="8" t="inlineStr">
        <is>
          <t>Central</t>
        </is>
      </c>
      <c r="D74" s="8" t="inlineStr">
        <is>
          <t>Monitor Remoto</t>
        </is>
      </c>
      <c r="E74" s="8" t="inlineStr">
        <is>
          <t>"Onze dias atrás. Dezenove e vinte. Alarme de fechamento sem contagem. Posto vazio. Silenciado depois. Por isso a auditoria."</t>
        </is>
      </c>
      <c r="F74" s="8" t="inlineStr">
        <is>
          <t>—</t>
        </is>
      </c>
      <c r="G74" s="8" t="inlineStr">
        <is>
          <t>8 (epílogo)</t>
        </is>
      </c>
      <c r="H74" s="8" t="inlineStr">
        <is>
          <t>Fixo</t>
        </is>
      </c>
    </row>
  </sheetData>
  <autoFilter ref="A1:H7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pane ySplit="3" topLeftCell="A4" activePane="bottomLeft" state="frozen"/>
      <selection pane="bottomLeft" activeCell="A1" sqref="A1"/>
    </sheetView>
  </sheetViews>
  <sheetFormatPr baseColWidth="8" defaultRowHeight="15"/>
  <cols>
    <col width="14" customWidth="1" min="1" max="1"/>
    <col width="16" customWidth="1" min="2" max="2"/>
    <col width="90" customWidth="1" min="3" max="3"/>
    <col width="40" customWidth="1" min="4" max="4"/>
  </cols>
  <sheetData>
    <row r="1">
      <c r="A1" s="13" t="inlineStr">
        <is>
          <t>A janela crítica, segundo a segundo (ordem às 7h58:05; câmera 3 cega de 7h58:12 a 7h59:39)</t>
        </is>
      </c>
    </row>
    <row r="3">
      <c r="A3" s="7" t="inlineStr">
        <is>
          <t>+s desde a ordem</t>
        </is>
      </c>
      <c r="B3" s="7" t="inlineStr">
        <is>
          <t>Hora</t>
        </is>
      </c>
      <c r="C3" s="7" t="inlineStr">
        <is>
          <t>O que acontece</t>
        </is>
      </c>
      <c r="D3" s="7" t="inlineStr">
        <is>
          <t>Fonte</t>
        </is>
      </c>
    </row>
    <row r="4">
      <c r="A4" s="8" t="inlineStr">
        <is>
          <t>+0</t>
        </is>
      </c>
      <c r="B4" s="8" t="inlineStr">
        <is>
          <t>7h58:05</t>
        </is>
      </c>
      <c r="C4" s="8" t="inlineStr">
        <is>
          <t>Ordem falsa pelo rádio: "Porta lateral. Possível tentativa." O Segurança Interno corre à porta lateral</t>
        </is>
      </c>
      <c r="D4" s="8" t="inlineStr">
        <is>
          <t>Gravação (Operadora, 8h18)</t>
        </is>
      </c>
    </row>
    <row r="5">
      <c r="A5" s="9" t="inlineStr">
        <is>
          <t>+1</t>
        </is>
      </c>
      <c r="B5" s="9" t="inlineStr">
        <is>
          <t>7h58:06</t>
        </is>
      </c>
      <c r="C5" s="9" t="inlineStr">
        <is>
          <t>Impostor sai da Gerência pela passagem — 1º raspado do painel (ouvido do banheiro)</t>
        </is>
      </c>
      <c r="D5" s="9" t="inlineStr">
        <is>
          <t>Caixa Novato</t>
        </is>
      </c>
    </row>
    <row r="6">
      <c r="A6" s="8" t="inlineStr">
        <is>
          <t>+7</t>
        </is>
      </c>
      <c r="B6" s="8" t="inlineStr">
        <is>
          <t>7h58:12</t>
        </is>
      </c>
      <c r="C6" s="8" t="inlineStr">
        <is>
          <t>Câmera 3 cai (vibração do exaustor completa a queda)</t>
        </is>
      </c>
      <c r="D6" s="8" t="inlineStr">
        <is>
          <t>Central; microfone (estalo)</t>
        </is>
      </c>
    </row>
    <row r="7">
      <c r="A7" s="9" t="inlineStr">
        <is>
          <t>+16</t>
        </is>
      </c>
      <c r="B7" s="9" t="inlineStr">
        <is>
          <t>7h58:21</t>
        </is>
      </c>
      <c r="C7" s="9" t="inlineStr">
        <is>
          <t>Impostor no interior do Rack</t>
        </is>
      </c>
      <c r="D7" s="9" t="inlineStr">
        <is>
          <t>Rota (cânone)</t>
        </is>
      </c>
    </row>
    <row r="8">
      <c r="A8" s="8" t="inlineStr">
        <is>
          <t>+20</t>
        </is>
      </c>
      <c r="B8" s="8" t="inlineStr">
        <is>
          <t>7h58:25</t>
        </is>
      </c>
      <c r="C8" s="8" t="inlineStr">
        <is>
          <t>Impostor entra no Arquivo Morto; pega a caixa de 1998 e o saco reserva</t>
        </is>
      </c>
      <c r="D8" s="8" t="inlineStr">
        <is>
          <t>Rota</t>
        </is>
      </c>
    </row>
    <row r="9">
      <c r="A9" s="9" t="inlineStr">
        <is>
          <t>+42</t>
        </is>
      </c>
      <c r="B9" s="9" t="inlineStr">
        <is>
          <t>7h58:47</t>
        </is>
      </c>
      <c r="C9" s="9" t="inlineStr">
        <is>
          <t>Padeiro (câmera da porta de serviço): o Técnico recebe a caixa do motoboy</t>
        </is>
      </c>
      <c r="D9" s="9" t="inlineStr">
        <is>
          <t>Fotografia do Padeiro</t>
        </is>
      </c>
    </row>
    <row r="10">
      <c r="A10" s="8" t="inlineStr">
        <is>
          <t>+46</t>
        </is>
      </c>
      <c r="B10" s="8" t="inlineStr">
        <is>
          <t>7h58:51</t>
        </is>
      </c>
      <c r="C10" s="8" t="inlineStr">
        <is>
          <t>Aplicativo de entregas registra a entrega ao Técnico</t>
        </is>
      </c>
      <c r="D10" s="8" t="inlineStr">
        <is>
          <t>App do Técnico (Cap. 6)</t>
        </is>
      </c>
    </row>
    <row r="11">
      <c r="A11" s="9" t="inlineStr">
        <is>
          <t>~+25…+65</t>
        </is>
      </c>
      <c r="B11" s="9" t="inlineStr">
        <is>
          <t>7h58:31–7h59:11</t>
        </is>
      </c>
      <c r="C11" s="9" t="inlineStr">
        <is>
          <t>Na Antecâmara: troca de 40 s (abre ML-8842, passa 6 blocos + 2, fecha com ML-8847 e etiqueta); corta a mão na grapa através da luva</t>
        </is>
      </c>
      <c r="D11" s="9" t="inlineStr">
        <is>
          <t>Simulação (Cap. 4); luva (Cap. 6)</t>
        </is>
      </c>
    </row>
    <row r="12">
      <c r="A12" s="8" t="inlineStr">
        <is>
          <t>+79</t>
        </is>
      </c>
      <c r="B12" s="8" t="inlineStr">
        <is>
          <t>7h59:24</t>
        </is>
      </c>
      <c r="C12" s="8" t="inlineStr">
        <is>
          <t>Tampa metálica do cesto de descarte bate (saco ML-8842 e luva rasgada)</t>
        </is>
      </c>
      <c r="D12" s="8" t="inlineStr">
        <is>
          <t>Microfone da Central (Operadora, Cap. 5)</t>
        </is>
      </c>
    </row>
    <row r="13">
      <c r="A13" s="9" t="inlineStr">
        <is>
          <t>+94</t>
        </is>
      </c>
      <c r="B13" s="9" t="inlineStr">
        <is>
          <t>7h59:39</t>
        </is>
      </c>
      <c r="C13" s="9" t="inlineStr">
        <is>
          <t>Impostor recoloca o conector; câmera 3 volta</t>
        </is>
      </c>
      <c r="D13" s="9" t="inlineStr">
        <is>
          <t>Central</t>
        </is>
      </c>
    </row>
    <row r="14">
      <c r="A14" s="8" t="inlineStr">
        <is>
          <t>+106</t>
        </is>
      </c>
      <c r="B14" s="8" t="inlineStr">
        <is>
          <t>7h59:51</t>
        </is>
      </c>
      <c r="C14" s="8" t="inlineStr">
        <is>
          <t>Técnico volta empurrando a porta lateral (sensor: fechada)</t>
        </is>
      </c>
      <c r="D14" s="8" t="inlineStr">
        <is>
          <t>Sensor; fotografia do Padeiro</t>
        </is>
      </c>
    </row>
    <row r="15">
      <c r="A15" s="9" t="inlineStr">
        <is>
          <t>+109</t>
        </is>
      </c>
      <c r="B15" s="9" t="inlineStr">
        <is>
          <t>7h59:54</t>
        </is>
      </c>
      <c r="C15" s="9" t="inlineStr">
        <is>
          <t>Impostor de volta à Gerência — 2º raspado do painel</t>
        </is>
      </c>
      <c r="D15" s="9" t="inlineStr">
        <is>
          <t>Rota; Caixa Novato</t>
        </is>
      </c>
    </row>
    <row r="16">
      <c r="A16" s="8" t="inlineStr">
        <is>
          <t>+115</t>
        </is>
      </c>
      <c r="B16" s="8" t="inlineStr">
        <is>
          <t>8h00:00</t>
        </is>
      </c>
      <c r="C16" s="8" t="inlineStr">
        <is>
          <t>Malote 41 atravessa a Eclusa com ML-8847; Segurança do Veículo confere pela tela; balança: 7,0 kg</t>
        </is>
      </c>
      <c r="D16" s="8" t="inlineStr">
        <is>
          <t>Via de papel; balança</t>
        </is>
      </c>
    </row>
    <row r="17">
      <c r="A17" s="9" t="inlineStr">
        <is>
          <t>—</t>
        </is>
      </c>
      <c r="B17" s="9" t="inlineStr">
        <is>
          <t>8h00:02</t>
        </is>
      </c>
      <c r="C17" s="9" t="inlineStr">
        <is>
          <t>(Partida V) o Caixa Veterano chega à Mesa</t>
        </is>
      </c>
      <c r="D17" s="9" t="inlineStr">
        <is>
          <t>Câmera 2 (A5)</t>
        </is>
      </c>
    </row>
    <row r="18">
      <c r="A18" s="8" t="inlineStr">
        <is>
          <t>—</t>
        </is>
      </c>
      <c r="B18" s="8" t="inlineStr">
        <is>
          <t>8h00:05</t>
        </is>
      </c>
      <c r="C18" s="8" t="inlineStr">
        <is>
          <t>(Partida S) o Subgerente aparece nos Guichês</t>
        </is>
      </c>
      <c r="D18" s="8" t="inlineStr">
        <is>
          <t>Câmera 2 (A5)</t>
        </is>
      </c>
    </row>
    <row r="19">
      <c r="A19" s="9" t="inlineStr">
        <is>
          <t>—</t>
        </is>
      </c>
      <c r="B19" s="9" t="inlineStr">
        <is>
          <t>8h01</t>
        </is>
      </c>
      <c r="C19" s="9" t="inlineStr">
        <is>
          <t>Funcionário da Limpeza tira o saco do cesto e o larga no chão; vai ao Nicho do Rack</t>
        </is>
      </c>
      <c r="D19" s="9" t="inlineStr">
        <is>
          <t>Câmera 3 (perna e roda do balde, 10h12)</t>
        </is>
      </c>
    </row>
    <row r="20">
      <c r="A20" s="8" t="inlineStr">
        <is>
          <t>—</t>
        </is>
      </c>
      <c r="B20" s="8" t="inlineStr">
        <is>
          <t>8h02</t>
        </is>
      </c>
      <c r="C20" s="8" t="inlineStr">
        <is>
          <t>Caixa Novato abre o Arquivo: "Roubaram o dinheiro."</t>
        </is>
      </c>
      <c r="D20" s="8" t="inlineStr">
        <is>
          <t>Todos</t>
        </is>
      </c>
    </row>
    <row r="21">
      <c r="A21" s="9" t="inlineStr">
        <is>
          <t>—</t>
        </is>
      </c>
      <c r="B21" s="9" t="inlineStr">
        <is>
          <t>8h03</t>
        </is>
      </c>
      <c r="C21" s="9" t="inlineStr">
        <is>
          <t>Gerente trava a Porta Giratória</t>
        </is>
      </c>
      <c r="D21" s="9" t="inlineStr">
        <is>
          <t>Todos</t>
        </is>
      </c>
    </row>
  </sheetData>
  <autoFilter ref="A3:D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40" customWidth="1" min="4" max="4"/>
    <col width="44" customWidth="1" min="5" max="5"/>
  </cols>
  <sheetData>
    <row r="1">
      <c r="A1" s="7" t="inlineStr">
        <is>
          <t>Personagem</t>
        </is>
      </c>
      <c r="B1" s="7" t="inlineStr">
        <is>
          <t>Partida S</t>
        </is>
      </c>
      <c r="C1" s="7" t="inlineStr">
        <is>
          <t>Partida G</t>
        </is>
      </c>
      <c r="D1" s="7" t="inlineStr">
        <is>
          <t>Partida V</t>
        </is>
      </c>
      <c r="E1" s="7" t="inlineStr">
        <is>
          <t>Quem o situa (exclusão)</t>
        </is>
      </c>
    </row>
    <row r="2">
      <c r="A2" s="8" t="inlineStr">
        <is>
          <t>A Auditora</t>
        </is>
      </c>
      <c r="B2" s="8" t="inlineStr">
        <is>
          <t>Porta Giratória</t>
        </is>
      </c>
      <c r="C2" s="8" t="inlineStr">
        <is>
          <t>Porta Giratória (o Gerente a deixa às 7h57:50)</t>
        </is>
      </c>
      <c r="D2" s="8" t="inlineStr">
        <is>
          <t>Porta Giratória</t>
        </is>
      </c>
      <c r="E2" s="8" t="inlineStr">
        <is>
          <t>Câmera 1; Cliente e Farmacêutica</t>
        </is>
      </c>
    </row>
    <row r="3">
      <c r="A3" s="12" t="inlineStr">
        <is>
          <t>O Gerente</t>
        </is>
      </c>
      <c r="B3" s="12" t="inlineStr">
        <is>
          <t>Porta Giratória</t>
        </is>
      </c>
      <c r="C3" s="12" t="inlineStr">
        <is>
          <t>IMPOSTOR: Gerência → passagem → Rack → Arquivo → Antecâmara (diz "ao telefone")</t>
        </is>
      </c>
      <c r="D3" s="12" t="inlineStr">
        <is>
          <t>Porta Giratória</t>
        </is>
      </c>
      <c r="E3" s="12" t="inlineStr">
        <is>
          <t>S/V: Auditora, Cliente, câmera 1 (A5b)</t>
        </is>
      </c>
    </row>
    <row r="4">
      <c r="A4" s="12" t="inlineStr">
        <is>
          <t>O Subgerente</t>
        </is>
      </c>
      <c r="B4" s="12" t="inlineStr">
        <is>
          <t>IMPOSTOR: Gerência → passagem… (diz "nos Guichês")</t>
        </is>
      </c>
      <c r="C4" s="12" t="inlineStr">
        <is>
          <t>Guichês</t>
        </is>
      </c>
      <c r="D4" s="12" t="inlineStr">
        <is>
          <t>Guichês</t>
        </is>
      </c>
      <c r="E4" s="12" t="inlineStr">
        <is>
          <t>G/V: câmera 2 (A5b)</t>
        </is>
      </c>
    </row>
    <row r="5">
      <c r="A5" s="12" t="inlineStr">
        <is>
          <t>O Caixa Veterano</t>
        </is>
      </c>
      <c r="B5" s="12" t="inlineStr">
        <is>
          <t>Mesa de Recebimento</t>
        </is>
      </c>
      <c r="C5" s="12" t="inlineStr">
        <is>
          <t>Mesa de Recebimento</t>
        </is>
      </c>
      <c r="D5" s="12" t="inlineStr">
        <is>
          <t>IMPOSTOR: Gerência → passagem… (diz "na Mesa")</t>
        </is>
      </c>
      <c r="E5" s="12" t="inlineStr">
        <is>
          <t>S/G: câmera 2; Segurança do Veículo (A5b)</t>
        </is>
      </c>
    </row>
    <row r="6">
      <c r="A6" s="8" t="inlineStr">
        <is>
          <t>A Cliente do Cofre</t>
        </is>
      </c>
      <c r="B6" s="8" t="inlineStr">
        <is>
          <t>Porta Giratória</t>
        </is>
      </c>
      <c r="C6" s="8" t="inlineStr">
        <is>
          <t>Porta Giratória</t>
        </is>
      </c>
      <c r="D6" s="8" t="inlineStr">
        <is>
          <t>Porta Giratória</t>
        </is>
      </c>
      <c r="E6" s="8" t="inlineStr">
        <is>
          <t>Câmera 1</t>
        </is>
      </c>
    </row>
    <row r="7">
      <c r="A7" s="9" t="inlineStr">
        <is>
          <t>A Farmacêutica</t>
        </is>
      </c>
      <c r="B7" s="9" t="inlineStr">
        <is>
          <t>Porta Giratória</t>
        </is>
      </c>
      <c r="C7" s="9" t="inlineStr">
        <is>
          <t>Porta Giratória</t>
        </is>
      </c>
      <c r="D7" s="9" t="inlineStr">
        <is>
          <t>Porta Giratória</t>
        </is>
      </c>
      <c r="E7" s="9" t="inlineStr">
        <is>
          <t>Câmera 1</t>
        </is>
      </c>
    </row>
    <row r="8">
      <c r="A8" s="8" t="inlineStr">
        <is>
          <t>A Operadora da Central</t>
        </is>
      </c>
      <c r="B8" s="8" t="inlineStr">
        <is>
          <t>Central (console, mão no rádio)</t>
        </is>
      </c>
      <c r="C8" s="8" t="inlineStr">
        <is>
          <t>idem</t>
        </is>
      </c>
      <c r="D8" s="8" t="inlineStr">
        <is>
          <t>idem</t>
        </is>
      </c>
      <c r="E8" s="8" t="inlineStr">
        <is>
          <t>Câmera interna da Central</t>
        </is>
      </c>
    </row>
    <row r="9">
      <c r="A9" s="9" t="inlineStr">
        <is>
          <t>O Técnico</t>
        </is>
      </c>
      <c r="B9" s="9" t="inlineStr">
        <is>
          <t>Rua de trás, com o motoboy (diz "no Rack")</t>
        </is>
      </c>
      <c r="C9" s="9" t="inlineStr">
        <is>
          <t>idem</t>
        </is>
      </c>
      <c r="D9" s="9" t="inlineStr">
        <is>
          <t>idem</t>
        </is>
      </c>
      <c r="E9" s="9" t="inlineStr">
        <is>
          <t>Segurança Interno; app de entregas 7h58:51; fotografias do Padeiro</t>
        </is>
      </c>
    </row>
    <row r="10">
      <c r="A10" s="8" t="inlineStr">
        <is>
          <t>O Funcionário da Limpeza</t>
        </is>
      </c>
      <c r="B10" s="8" t="inlineStr">
        <is>
          <t>Saguão, com o balde</t>
        </is>
      </c>
      <c r="C10" s="8" t="inlineStr">
        <is>
          <t>idem</t>
        </is>
      </c>
      <c r="D10" s="8" t="inlineStr">
        <is>
          <t>idem</t>
        </is>
      </c>
      <c r="E10" s="8" t="inlineStr">
        <is>
          <t>Câmera 1</t>
        </is>
      </c>
    </row>
    <row r="11">
      <c r="A11" s="9" t="inlineStr">
        <is>
          <t>A Estagiária</t>
        </is>
      </c>
      <c r="B11" s="9" t="inlineStr">
        <is>
          <t>Guichês</t>
        </is>
      </c>
      <c r="C11" s="9" t="inlineStr">
        <is>
          <t>idem</t>
        </is>
      </c>
      <c r="D11" s="9" t="inlineStr">
        <is>
          <t>idem</t>
        </is>
      </c>
      <c r="E11" s="9" t="inlineStr">
        <is>
          <t>Câmera 2</t>
        </is>
      </c>
    </row>
    <row r="12">
      <c r="A12" s="8" t="inlineStr">
        <is>
          <t>O Caixa Novato</t>
        </is>
      </c>
      <c r="B12" s="8" t="inlineStr">
        <is>
          <t>Banheiro dos Funcionários (diz "almoxarifado", depois admite)</t>
        </is>
      </c>
      <c r="C12" s="8" t="inlineStr">
        <is>
          <t>idem</t>
        </is>
      </c>
      <c r="D12" s="8" t="inlineStr">
        <is>
          <t>idem</t>
        </is>
      </c>
      <c r="E12" s="8" t="inlineStr">
        <is>
          <t>Ninguém o vê (banheiro sem câmera); só o raspado da parede o situa</t>
        </is>
      </c>
    </row>
    <row r="13">
      <c r="A13" s="9" t="inlineStr">
        <is>
          <t>O Segurança Interno</t>
        </is>
      </c>
      <c r="B13" s="9" t="inlineStr">
        <is>
          <t>Porta Lateral (de dentro, pelo vidro)</t>
        </is>
      </c>
      <c r="C13" s="9" t="inlineStr">
        <is>
          <t>idem</t>
        </is>
      </c>
      <c r="D13" s="9" t="inlineStr">
        <is>
          <t>idem</t>
        </is>
      </c>
      <c r="E13" s="9" t="inlineStr">
        <is>
          <t>Técnico (o viu bater no vidro)</t>
        </is>
      </c>
    </row>
    <row r="14">
      <c r="A14" s="8" t="inlineStr">
        <is>
          <t>O Segurança do Veículo</t>
        </is>
      </c>
      <c r="B14" s="8" t="inlineStr">
        <is>
          <t>Eclusa (vê a Mesa pelo vidro)</t>
        </is>
      </c>
      <c r="C14" s="8" t="inlineStr">
        <is>
          <t>idem</t>
        </is>
      </c>
      <c r="D14" s="8" t="inlineStr">
        <is>
          <t>idem</t>
        </is>
      </c>
      <c r="E14" s="8" t="inlineStr">
        <is>
          <t>Motorista; câmera 2 vê a Mesa</t>
        </is>
      </c>
    </row>
    <row r="15">
      <c r="A15" s="9" t="inlineStr">
        <is>
          <t>O Transportador</t>
        </is>
      </c>
      <c r="B15" s="9" t="inlineStr">
        <is>
          <t>Carro-forte</t>
        </is>
      </c>
      <c r="C15" s="9" t="inlineStr">
        <is>
          <t>idem</t>
        </is>
      </c>
      <c r="D15" s="9" t="inlineStr">
        <is>
          <t>idem</t>
        </is>
      </c>
      <c r="E15" s="9" t="inlineStr">
        <is>
          <t>Motorista</t>
        </is>
      </c>
    </row>
    <row r="16">
      <c r="A16" s="8" t="inlineStr">
        <is>
          <t>O Motorista</t>
        </is>
      </c>
      <c r="B16" s="8" t="inlineStr">
        <is>
          <t>Carro-forte</t>
        </is>
      </c>
      <c r="C16" s="8" t="inlineStr">
        <is>
          <t>idem</t>
        </is>
      </c>
      <c r="D16" s="8" t="inlineStr">
        <is>
          <t>idem</t>
        </is>
      </c>
      <c r="E16" s="8" t="inlineStr">
        <is>
          <t>—</t>
        </is>
      </c>
    </row>
    <row r="17">
      <c r="A17" s="9" t="inlineStr">
        <is>
          <t>O Padeiro</t>
        </is>
      </c>
      <c r="B17" s="9" t="inlineStr">
        <is>
          <t>Padaria (câmera da porta de serviço)</t>
        </is>
      </c>
      <c r="C17" s="9" t="inlineStr">
        <is>
          <t>idem</t>
        </is>
      </c>
      <c r="D17" s="9" t="inlineStr">
        <is>
          <t>idem</t>
        </is>
      </c>
      <c r="E17" s="9" t="inlineStr">
        <is>
          <t>Fora da agência</t>
        </is>
      </c>
    </row>
    <row r="18">
      <c r="A18" s="8" t="inlineStr">
        <is>
          <t>O Operador de Rádio</t>
        </is>
      </c>
      <c r="B18" s="8" t="inlineStr">
        <is>
          <t>Base (canal fechado desde 7h49)</t>
        </is>
      </c>
      <c r="C18" s="8" t="inlineStr">
        <is>
          <t>idem</t>
        </is>
      </c>
      <c r="D18" s="8" t="inlineStr">
        <is>
          <t>idem</t>
        </is>
      </c>
      <c r="E18" s="8" t="inlineStr">
        <is>
          <t>Fora da agência</t>
        </is>
      </c>
    </row>
    <row r="19">
      <c r="A19" s="9" t="inlineStr">
        <is>
          <t>O Monitor Remoto</t>
        </is>
      </c>
      <c r="B19" s="9" t="inlineStr">
        <is>
          <t>Central regional (vê a câmera 3 cair)</t>
        </is>
      </c>
      <c r="C19" s="9" t="inlineStr">
        <is>
          <t>idem</t>
        </is>
      </c>
      <c r="D19" s="9" t="inlineStr">
        <is>
          <t>idem</t>
        </is>
      </c>
      <c r="E19" s="9" t="inlineStr">
        <is>
          <t>Fora da agência</t>
        </is>
      </c>
    </row>
  </sheetData>
  <autoFilter ref="A1:E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26" customWidth="1" min="3" max="3"/>
    <col width="70" customWidth="1" min="4" max="4"/>
    <col width="26" customWidth="1" min="5" max="5"/>
  </cols>
  <sheetData>
    <row r="1">
      <c r="A1" s="7" t="inlineStr">
        <is>
          <t>Momento</t>
        </is>
      </c>
      <c r="B1" s="7" t="inlineStr">
        <is>
          <t>Personagem</t>
        </is>
      </c>
      <c r="C1" s="7" t="inlineStr">
        <is>
          <t>Onde estava</t>
        </is>
      </c>
      <c r="D1" s="7" t="inlineStr">
        <is>
          <t>O que percebeu</t>
        </is>
      </c>
      <c r="E1" s="7" t="inlineStr">
        <is>
          <t>O que concluiu</t>
        </is>
      </c>
    </row>
    <row r="2">
      <c r="A2" s="8" t="inlineStr">
        <is>
          <t>7h57:40 a 7h57:55, a Gerência</t>
        </is>
      </c>
      <c r="B2" s="8" t="inlineStr">
        <is>
          <t>(vários)</t>
        </is>
      </c>
      <c r="C2" s="8" t="inlineStr"/>
      <c r="D2" s="8" t="inlineStr">
        <is>
          <t xml:space="preserve">A Cliente do Cofre conta dois entrando e um saindo **A4**, e a Farmacêutica confirma. A câmera 1 registra o mesmo. A Auditora vê silhuetas e não as distingue. O Segurança do Veículo vê quem chega à Mesa **A4**. </t>
        </is>
      </c>
      <c r="E2" s="8" t="inlineStr"/>
    </row>
    <row r="3">
      <c r="A3" s="9" t="inlineStr">
        <is>
          <t>7h53, a impressora da Gerência</t>
        </is>
      </c>
      <c r="B3" s="9" t="inlineStr">
        <is>
          <t>(vários)</t>
        </is>
      </c>
      <c r="C3" s="9" t="inlineStr"/>
      <c r="D3" s="9" t="inlineStr">
        <is>
          <t>A Auditora, na Porta Giratória, ouve um gemido atrás da divisória e anota sem saber por quê. A Estagiária, nos Guichês, reconhece o som e conclui que alguém imprimiu uma etiqueta. O Caixa Veterano e o Subgerente, na Antecâmara, não ouvem. O Gerente, ao lado da Auditora, ouve e não comenta.</t>
        </is>
      </c>
      <c r="E3" s="9" t="inlineStr"/>
    </row>
    <row r="4">
      <c r="A4" s="8" t="inlineStr">
        <is>
          <t>7h58:05–7h59:39 (a janela)</t>
        </is>
      </c>
      <c r="B4" s="8" t="inlineStr">
        <is>
          <t>Auditora</t>
        </is>
      </c>
      <c r="C4" s="8" t="inlineStr">
        <is>
          <t>Porta Giratória</t>
        </is>
      </c>
      <c r="D4" s="8" t="inlineStr">
        <is>
          <t>A mudança simultânea de atenção quando o rádio chamou</t>
        </is>
      </c>
      <c r="E4" s="8" t="inlineStr">
        <is>
          <t>Algo foi provocado</t>
        </is>
      </c>
    </row>
    <row r="5">
      <c r="A5" s="9" t="inlineStr">
        <is>
          <t>7h58:05–7h59:39 (a janela)</t>
        </is>
      </c>
      <c r="B5" s="9" t="inlineStr">
        <is>
          <t>Gerente</t>
        </is>
      </c>
      <c r="C5" s="9" t="inlineStr">
        <is>
          <t>Porta Giratória A5b</t>
        </is>
      </c>
      <c r="D5" s="9" t="inlineStr">
        <is>
          <t>A ordem pelo rádio do Segurança Interno</t>
        </is>
      </c>
      <c r="E5" s="9" t="inlineStr">
        <is>
          <t>Desorganização da equipe</t>
        </is>
      </c>
    </row>
    <row r="6">
      <c r="A6" s="8" t="inlineStr">
        <is>
          <t>7h58:05–7h59:39 (a janela)</t>
        </is>
      </c>
      <c r="B6" s="8" t="inlineStr">
        <is>
          <t>Farmacêutica</t>
        </is>
      </c>
      <c r="C6" s="8" t="inlineStr">
        <is>
          <t>Porta Giratória</t>
        </is>
      </c>
      <c r="D6" s="8" t="inlineStr">
        <is>
          <t>A Gerência com uma pessoa dentro A4</t>
        </is>
      </c>
      <c r="E6" s="8" t="inlineStr">
        <is>
          <t>Nada, ainda</t>
        </is>
      </c>
    </row>
    <row r="7">
      <c r="A7" s="9" t="inlineStr">
        <is>
          <t>7h58:05–7h59:39 (a janela)</t>
        </is>
      </c>
      <c r="B7" s="9" t="inlineStr">
        <is>
          <t>Cliente do Cofre</t>
        </is>
      </c>
      <c r="C7" s="9" t="inlineStr">
        <is>
          <t>Porta Giratória</t>
        </is>
      </c>
      <c r="D7" s="9" t="inlineStr">
        <is>
          <t>Dois entrarem na Gerência e um sair A4 ; ninguém
mais entrar</t>
        </is>
      </c>
      <c r="E7" s="9" t="inlineStr">
        <is>
          <t>Nada, ainda</t>
        </is>
      </c>
    </row>
    <row r="8">
      <c r="A8" s="8" t="inlineStr">
        <is>
          <t>7h58:05–7h59:39 (a janela)</t>
        </is>
      </c>
      <c r="B8" s="8" t="inlineStr">
        <is>
          <t>Caixa Veterano</t>
        </is>
      </c>
      <c r="C8" s="8" t="inlineStr">
        <is>
          <t>Mesa de Recebimento A5b</t>
        </is>
      </c>
      <c r="D8" s="8" t="inlineStr">
        <is>
          <t>O silêncio da Eclusa antes da travessia</t>
        </is>
      </c>
      <c r="E8" s="8" t="inlineStr">
        <is>
          <t>Atraso</t>
        </is>
      </c>
    </row>
    <row r="9">
      <c r="A9" s="9" t="inlineStr">
        <is>
          <t>7h58:05–7h59:39 (a janela)</t>
        </is>
      </c>
      <c r="B9" s="9" t="inlineStr">
        <is>
          <t>Subgerente</t>
        </is>
      </c>
      <c r="C9" s="9" t="inlineStr">
        <is>
          <t>Na Gerência e na passagem A5</t>
        </is>
      </c>
      <c r="D9" s="9" t="inlineStr">
        <is>
          <t>—</t>
        </is>
      </c>
      <c r="E9" s="9" t="inlineStr">
        <is>
          <t>—</t>
        </is>
      </c>
    </row>
    <row r="10">
      <c r="A10" s="8" t="inlineStr">
        <is>
          <t>7h58:05–7h59:39 (a janela)</t>
        </is>
      </c>
      <c r="B10" s="8" t="inlineStr">
        <is>
          <t>Estagiária</t>
        </is>
      </c>
      <c r="C10" s="8" t="inlineStr">
        <is>
          <t>Guichês</t>
        </is>
      </c>
      <c r="D10" s="8" t="inlineStr">
        <is>
          <t>Quem chega e não chega à Mesa</t>
        </is>
      </c>
      <c r="E10" s="8" t="inlineStr">
        <is>
          <t>Que o malote estava demorando</t>
        </is>
      </c>
    </row>
    <row r="11">
      <c r="A11" s="9" t="inlineStr">
        <is>
          <t>7h58:05–7h59:39 (a janela)</t>
        </is>
      </c>
      <c r="B11" s="9" t="inlineStr">
        <is>
          <t>Operadora</t>
        </is>
      </c>
      <c r="C11" s="9" t="inlineStr">
        <is>
          <t>Central (a câmera interna a mostra no console)</t>
        </is>
      </c>
      <c r="D11" s="9" t="inlineStr">
        <is>
          <t>A câmera 3 cair e voltar; a tampa do cesto no microfone</t>
        </is>
      </c>
      <c r="E11" s="9" t="inlineStr">
        <is>
          <t>Falha técnica</t>
        </is>
      </c>
    </row>
    <row r="12">
      <c r="A12" s="8" t="inlineStr">
        <is>
          <t>7h58:05–7h59:39 (a janela)</t>
        </is>
      </c>
      <c r="B12" s="8" t="inlineStr">
        <is>
          <t>Segurança Interno</t>
        </is>
      </c>
      <c r="C12" s="8" t="inlineStr">
        <is>
          <t>Porta Lateral</t>
        </is>
      </c>
      <c r="D12" s="8" t="inlineStr">
        <is>
          <t>Um homem de capa com um motoboy, de costas</t>
        </is>
      </c>
      <c r="E12" s="8" t="inlineStr">
        <is>
          <t>Sem tentativa</t>
        </is>
      </c>
    </row>
    <row r="13">
      <c r="A13" s="9" t="inlineStr">
        <is>
          <t>7h58:05–7h59:39 (a janela)</t>
        </is>
      </c>
      <c r="B13" s="9" t="inlineStr">
        <is>
          <t>Técnico</t>
        </is>
      </c>
      <c r="C13" s="9" t="inlineStr">
        <is>
          <t>Rua de trás</t>
        </is>
      </c>
      <c r="D13" s="9" t="inlineStr">
        <is>
          <t>O motoboy, a caixa, a batida no vidro</t>
        </is>
      </c>
      <c r="E13" s="9" t="inlineStr">
        <is>
          <t>Que precisava esconder a caixa</t>
        </is>
      </c>
    </row>
    <row r="14">
      <c r="A14" s="8" t="inlineStr">
        <is>
          <t>7h58:05–7h59:39 (a janela)</t>
        </is>
      </c>
      <c r="B14" s="8" t="inlineStr">
        <is>
          <t>Funcionário da Limpeza</t>
        </is>
      </c>
      <c r="C14" s="8" t="inlineStr">
        <is>
          <t>Saguão, com o balde</t>
        </is>
      </c>
      <c r="D14" s="8" t="inlineStr">
        <is>
          <t>Nada no corredor</t>
        </is>
      </c>
      <c r="E14" s="8" t="inlineStr">
        <is>
          <t>—</t>
        </is>
      </c>
    </row>
    <row r="15">
      <c r="A15" s="9" t="inlineStr">
        <is>
          <t>7h58:05–7h59:39 (a janela)</t>
        </is>
      </c>
      <c r="B15" s="9" t="inlineStr">
        <is>
          <t>Caixa Novato</t>
        </is>
      </c>
      <c r="C15" s="9" t="inlineStr">
        <is>
          <t>Banheiro</t>
        </is>
      </c>
      <c r="D15" s="9" t="inlineStr">
        <is>
          <t>A parede raspar duas vezes</t>
        </is>
      </c>
      <c r="E15" s="9" t="inlineStr">
        <is>
          <t>Que estava enlouquecendo</t>
        </is>
      </c>
    </row>
    <row r="16">
      <c r="A16" s="8" t="inlineStr">
        <is>
          <t>7h58:05–7h59:39 (a janela)</t>
        </is>
      </c>
      <c r="B16" s="8" t="inlineStr">
        <is>
          <t>Segurança do Veículo</t>
        </is>
      </c>
      <c r="C16" s="8" t="inlineStr">
        <is>
          <t>Eclusa</t>
        </is>
      </c>
      <c r="D16" s="8" t="inlineStr">
        <is>
          <t>A Mesa, pelo vidro A5b</t>
        </is>
      </c>
      <c r="E16" s="8" t="inlineStr">
        <is>
          <t>Rotina</t>
        </is>
      </c>
    </row>
    <row r="17">
      <c r="A17" s="9" t="inlineStr">
        <is>
          <t>7h58:05–7h59:39 (a janela)</t>
        </is>
      </c>
      <c r="B17" s="9" t="inlineStr">
        <is>
          <t>Transportador e Motorista</t>
        </is>
      </c>
      <c r="C17" s="9" t="inlineStr">
        <is>
          <t>Carro-forte</t>
        </is>
      </c>
      <c r="D17" s="9" t="inlineStr">
        <is>
          <t>O rádio da base, a rua</t>
        </is>
      </c>
      <c r="E17" s="9" t="inlineStr">
        <is>
          <t>Pressa</t>
        </is>
      </c>
    </row>
    <row r="18">
      <c r="A18" s="8" t="inlineStr">
        <is>
          <t>7h58:05–7h59:39 (a janela)</t>
        </is>
      </c>
      <c r="B18" s="8" t="inlineStr">
        <is>
          <t>Padeiro</t>
        </is>
      </c>
      <c r="C18" s="8" t="inlineStr">
        <is>
          <t>Padaria</t>
        </is>
      </c>
      <c r="D18" s="8" t="inlineStr">
        <is>
          <t>Pela câmera da porta de serviço, o Técnico e o motoboy</t>
        </is>
      </c>
      <c r="E18" s="8" t="inlineStr">
        <is>
          <t>Nada; só olhou depois</t>
        </is>
      </c>
    </row>
    <row r="19">
      <c r="A19" s="9" t="inlineStr">
        <is>
          <t>7h58:05–7h59:39 (a janela)</t>
        </is>
      </c>
      <c r="B19" s="9" t="inlineStr">
        <is>
          <t>Operador de Rádio</t>
        </is>
      </c>
      <c r="C19" s="9" t="inlineStr">
        <is>
          <t>Base</t>
        </is>
      </c>
      <c r="D19" s="9" t="inlineStr">
        <is>
          <t>Canal fechado desde 7h49</t>
        </is>
      </c>
      <c r="E19" s="9" t="inlineStr">
        <is>
          <t>—</t>
        </is>
      </c>
    </row>
    <row r="20">
      <c r="A20" s="8" t="inlineStr">
        <is>
          <t>7h58:05–7h59:39 (a janela)</t>
        </is>
      </c>
      <c r="B20" s="8" t="inlineStr">
        <is>
          <t>Monitor Remoto (oculto)</t>
        </is>
      </c>
      <c r="C20" s="8" t="inlineStr">
        <is>
          <t>Central regional</t>
        </is>
      </c>
      <c r="D20" s="8" t="inlineStr">
        <is>
          <t>A câmera 3 cair; o sensor da porta lateral já registrara 6h36 e
7h06</t>
        </is>
      </c>
      <c r="E20" s="8" t="inlineStr">
        <is>
          <t>Que alguém abrira antes</t>
        </is>
      </c>
    </row>
    <row r="21">
      <c r="A21" s="9" t="inlineStr">
        <is>
          <t>8h01 e 8h02, o saco</t>
        </is>
      </c>
      <c r="B21" s="9" t="inlineStr">
        <is>
          <t>(vários)</t>
        </is>
      </c>
      <c r="C21" s="9" t="inlineStr"/>
      <c r="D21" s="9" t="inlineStr">
        <is>
          <t>O Funcionário da Limpeza tira o saco do cesto, ouve passos e o larga no chão. O Caixa Novato sai do banheiro, entra no corredor procurando um lugar quieto, vê a Limpeza afastar-se do Arquivo para o fundo e abre a porta: conclui roubo. A Cliente do Cofre reconhece o vinco. O Caixa Veterano pensa no conteúdo. A Auditora separa objeto, declaração e prova. O impostor compreende que o descarte virou cena.</t>
        </is>
      </c>
      <c r="E21" s="9" t="inlineStr"/>
    </row>
    <row r="22">
      <c r="A22" s="8" t="inlineStr">
        <is>
          <t>8h31, o cabo</t>
        </is>
      </c>
      <c r="B22" s="8" t="inlineStr">
        <is>
          <t>(vários)</t>
        </is>
      </c>
      <c r="C22" s="8" t="inlineStr"/>
      <c r="D22" s="8" t="inlineStr">
        <is>
          <t xml:space="preserve">O Gerente entra atrás da divisória; ninguém o acompanha. O oculto vê a câmera 1 e, às 8h35, reimprime a etiqueta. O Técnico está na Central, sob os olhos de todos. </t>
        </is>
      </c>
      <c r="E22" s="8" t="inlineStr"/>
    </row>
  </sheetData>
  <autoFilter ref="A1:E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100" customWidth="1" min="3" max="3"/>
  </cols>
  <sheetData>
    <row r="1">
      <c r="A1" s="7" t="inlineStr">
        <is>
          <t>id</t>
        </is>
      </c>
      <c r="B1" s="7" t="inlineStr">
        <is>
          <t>Lugar</t>
        </is>
      </c>
      <c r="C1" s="7" t="inlineStr">
        <is>
          <t>O que tem / o que importa</t>
        </is>
      </c>
    </row>
    <row r="2">
      <c r="A2" s="8" t="inlineStr">
        <is>
          <t>porta-giratoria</t>
        </is>
      </c>
      <c r="B2" s="8" t="inlineStr">
        <is>
          <t>Porta Giratória</t>
        </is>
      </c>
      <c r="C2" s="8" t="inlineStr">
        <is>
          <t>Entrada; o Gerente a trava às 8h03 e destrava às 11h12</t>
        </is>
      </c>
    </row>
    <row r="3">
      <c r="A3" s="9" t="inlineStr">
        <is>
          <t>saguao</t>
        </is>
      </c>
      <c r="B3" s="9" t="inlineStr">
        <is>
          <t>Saguão</t>
        </is>
      </c>
      <c r="C3" s="9" t="inlineStr">
        <is>
          <t>Granito que guarda pegadas; cheiro de papel, lã molhada e café</t>
        </is>
      </c>
    </row>
    <row r="4">
      <c r="A4" s="8" t="inlineStr">
        <is>
          <t>guiches</t>
        </is>
      </c>
      <c r="B4" s="8" t="inlineStr">
        <is>
          <t>Guichês</t>
        </is>
      </c>
      <c r="C4" s="8" t="inlineStr">
        <is>
          <t>Três, em linha de vidro, à direita</t>
        </is>
      </c>
    </row>
    <row r="5">
      <c r="A5" s="9" t="inlineStr">
        <is>
          <t>mesa-recebimento</t>
        </is>
      </c>
      <c r="B5" s="9" t="inlineStr">
        <is>
          <t>Mesa de Recebimento</t>
        </is>
      </c>
      <c r="C5" s="9" t="inlineStr">
        <is>
          <t>Atrás dos Guichês, a 12 passos da porta, de frente para a Eclusa</t>
        </is>
      </c>
    </row>
    <row r="6">
      <c r="A6" s="8" t="inlineStr">
        <is>
          <t>sala-gerencia</t>
        </is>
      </c>
      <c r="B6" s="8" t="inlineStr">
        <is>
          <t>Sala da Gerência</t>
        </is>
      </c>
      <c r="C6" s="8" t="inlineStr">
        <is>
          <t>Atrás da divisória fosca; impressora térmica + estabilizador (3 rápidos, 1 lento), carregador do rádio reserva, terminal compartilhado, telefone; painel atrás do armário de aço</t>
        </is>
      </c>
    </row>
    <row r="7">
      <c r="A7" s="9" t="inlineStr">
        <is>
          <t>banheiro-funcionarios</t>
        </is>
      </c>
      <c r="B7" s="9" t="inlineStr">
        <is>
          <t>Banheiro dos Funcionários</t>
        </is>
      </c>
      <c r="C7" s="9" t="inlineStr">
        <is>
          <t>Parede comum com a Gerência; tranca; sem câmera; ouve-se o painel raspar</t>
        </is>
      </c>
    </row>
    <row r="8">
      <c r="A8" s="8" t="inlineStr">
        <is>
          <t>porta-lateral</t>
        </is>
      </c>
      <c r="B8" s="8" t="inlineStr">
        <is>
          <t>Porta Lateral</t>
        </is>
      </c>
      <c r="C8" s="8" t="inlineStr">
        <is>
          <t>Rua de trás; chave por fora, barra por dentro; sem câmera; sensor só na central regional; na chuva a lingueta não trava</t>
        </is>
      </c>
    </row>
    <row r="9">
      <c r="A9" s="9" t="inlineStr">
        <is>
          <t>corredor-restrito</t>
        </is>
      </c>
      <c r="B9" s="9" t="inlineStr">
        <is>
          <t>Corredor Restrito</t>
        </is>
      </c>
      <c r="C9" s="9" t="inlineStr">
        <is>
          <t>24 passos; porta de aço (crachá e chave); ladrilho oco diante da Central</t>
        </is>
      </c>
    </row>
    <row r="10">
      <c r="A10" s="8" t="inlineStr">
        <is>
          <t>central-monitoramento</t>
        </is>
      </c>
      <c r="B10" s="8" t="inlineStr">
        <is>
          <t>Central de Monitoramento</t>
        </is>
      </c>
      <c r="C10" s="8" t="inlineStr">
        <is>
          <t>16 quadros; câmera interna; microfone ambiente que capta o corredor</t>
        </is>
      </c>
    </row>
    <row r="11">
      <c r="A11" s="9" t="inlineStr">
        <is>
          <t>arquivo-morto</t>
        </is>
      </c>
      <c r="B11" s="9" t="inlineStr">
        <is>
          <t>Arquivo Morto</t>
        </is>
      </c>
      <c r="C11" s="9" t="inlineStr">
        <is>
          <t>Caixas por ano (a de 1998 na prateleira baixa), sacos reserva, armário de espelhos (17-B), cesto com tampa metálica, canto de infiltração</t>
        </is>
      </c>
    </row>
    <row r="12">
      <c r="A12" s="8" t="inlineStr">
        <is>
          <t>nicho-rack</t>
        </is>
      </c>
      <c r="B12" s="8" t="inlineStr">
        <is>
          <t>Nicho do Rack</t>
        </is>
      </c>
      <c r="C12" s="8" t="inlineStr">
        <is>
          <t>Fora da visão da câmera 3; poeira atrás do armário</t>
        </is>
      </c>
    </row>
    <row r="13">
      <c r="A13" s="9" t="inlineStr">
        <is>
          <t>rack-tecnico</t>
        </is>
      </c>
      <c r="B13" s="9" t="inlineStr">
        <is>
          <t>Rack Técnico</t>
        </is>
      </c>
      <c r="C13" s="9" t="inlineStr">
        <is>
          <t>Porta com 17-B; fundo removível para a passagem; exaustor acelera no ciclo das 7h58</t>
        </is>
      </c>
    </row>
    <row r="14">
      <c r="A14" s="8" t="inlineStr">
        <is>
          <t>passagem-servico</t>
        </is>
      </c>
      <c r="B14" s="8" t="inlineStr">
        <is>
          <t>Passagem de Serviço</t>
        </is>
      </c>
      <c r="C14" s="8" t="inlineStr">
        <is>
          <t>Atrás da parede do banheiro, do fundo do Rack ao armário da Gerência; planta de 1987, manual de 1990. OCULTA ATÉ O CAP. 4</t>
        </is>
      </c>
    </row>
    <row r="15">
      <c r="A15" s="9" t="inlineStr">
        <is>
          <t>antecamara-cofre</t>
        </is>
      </c>
      <c r="B15" s="9" t="inlineStr">
        <is>
          <t>Antecâmara do Cofre</t>
        </is>
      </c>
      <c r="C15" s="9" t="inlineStr">
        <is>
          <t>Plataforma de rodízios onde o malote aguarda a escolta; fora da visão da câmera 3</t>
        </is>
      </c>
    </row>
    <row r="16">
      <c r="A16" s="8" t="inlineStr">
        <is>
          <t>cofre</t>
        </is>
      </c>
      <c r="B16" s="8" t="inlineStr">
        <is>
          <t>Cofre</t>
        </is>
      </c>
      <c r="C16" s="8" t="inlineStr">
        <is>
          <t>Duas chaves, duas pessoas</t>
        </is>
      </c>
    </row>
    <row r="17">
      <c r="A17" s="9" t="inlineStr">
        <is>
          <t>eclusa</t>
        </is>
      </c>
      <c r="B17" s="9" t="inlineStr">
        <is>
          <t>Eclusa do Carro-Forte</t>
        </is>
      </c>
      <c r="C17" s="9" t="inlineStr">
        <is>
          <t>Vidro de onde o Segurança do Veículo vê a Mesa</t>
        </is>
      </c>
    </row>
    <row r="18">
      <c r="A18" s="8" t="inlineStr">
        <is>
          <t>vaga-blindada</t>
        </is>
      </c>
      <c r="B18" s="8" t="inlineStr">
        <is>
          <t>Vaga Blindada</t>
        </is>
      </c>
      <c r="C18" s="8" t="inlineStr">
        <is>
          <t>Encosta na Eclusa; refletida na vitrine da farmácia</t>
        </is>
      </c>
    </row>
    <row r="19">
      <c r="A19" s="9" t="inlineStr">
        <is>
          <t>padaria-porta-servico</t>
        </is>
      </c>
      <c r="B19" s="9" t="inlineStr">
        <is>
          <t>Porta de serviço da padaria</t>
        </is>
      </c>
      <c r="C19" s="9" t="inlineStr">
        <is>
          <t>Sacos de farinha na altura do joelho; câmera vê a Porta Lateral (fora da agência)</t>
        </is>
      </c>
    </row>
    <row r="20">
      <c r="A20" s="8" t="inlineStr">
        <is>
          <t>farmacia</t>
        </is>
      </c>
      <c r="B20" s="8" t="inlineStr">
        <is>
          <t>Farmácia de plantão</t>
        </is>
      </c>
      <c r="C20" s="8" t="inlineStr">
        <is>
          <t>Esquina; vitrine reflete a Vaga Blindada (fora da agência)</t>
        </is>
      </c>
    </row>
  </sheetData>
  <autoFilter ref="A1:C2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6" customWidth="1" min="1" max="1"/>
    <col width="34" customWidth="1" min="2" max="2"/>
    <col width="10" customWidth="1" min="3" max="3"/>
    <col width="50" customWidth="1" min="4" max="4"/>
  </cols>
  <sheetData>
    <row r="1">
      <c r="A1" s="7" t="inlineStr">
        <is>
          <t>De</t>
        </is>
      </c>
      <c r="B1" s="7" t="inlineStr">
        <is>
          <t>Até</t>
        </is>
      </c>
      <c r="C1" s="7" t="inlineStr">
        <is>
          <t>Tempo</t>
        </is>
      </c>
      <c r="D1" s="7" t="inlineStr">
        <is>
          <t>Nota</t>
        </is>
      </c>
    </row>
    <row r="2">
      <c r="A2" s="8" t="inlineStr">
        <is>
          <t>Mesa de Recebimento</t>
        </is>
      </c>
      <c r="B2" s="8" t="inlineStr">
        <is>
          <t>porta do Corredor Restrito</t>
        </is>
      </c>
      <c r="C2" s="8" t="inlineStr">
        <is>
          <t>8 s</t>
        </is>
      </c>
      <c r="D2" s="8" t="inlineStr"/>
    </row>
    <row r="3">
      <c r="A3" s="9" t="inlineStr">
        <is>
          <t>porta do Corredor</t>
        </is>
      </c>
      <c r="B3" s="9" t="inlineStr">
        <is>
          <t>Arquivo Morto</t>
        </is>
      </c>
      <c r="C3" s="9" t="inlineStr">
        <is>
          <t>10 s</t>
        </is>
      </c>
      <c r="D3" s="9" t="inlineStr">
        <is>
          <t>Da Mesa ao Arquivo: 26 s sem pressa, 18 correndo</t>
        </is>
      </c>
    </row>
    <row r="4">
      <c r="A4" s="8" t="inlineStr">
        <is>
          <t>Arquivo Morto</t>
        </is>
      </c>
      <c r="B4" s="8" t="inlineStr">
        <is>
          <t>Nicho do Rack</t>
        </is>
      </c>
      <c r="C4" s="8" t="inlineStr">
        <is>
          <t>4 s</t>
        </is>
      </c>
      <c r="D4" s="8" t="inlineStr"/>
    </row>
    <row r="5">
      <c r="A5" s="9" t="inlineStr">
        <is>
          <t>Nicho do Rack</t>
        </is>
      </c>
      <c r="B5" s="9" t="inlineStr">
        <is>
          <t>Antecâmara</t>
        </is>
      </c>
      <c r="C5" s="9" t="inlineStr">
        <is>
          <t>2 s</t>
        </is>
      </c>
      <c r="D5" s="9" t="inlineStr">
        <is>
          <t>Arquivo → Antecâmara: 6 s</t>
        </is>
      </c>
    </row>
    <row r="6">
      <c r="A6" s="8" t="inlineStr">
        <is>
          <t>Sala da Gerência</t>
        </is>
      </c>
      <c r="B6" s="8" t="inlineStr">
        <is>
          <t>interior do Rack (pela passagem)</t>
        </is>
      </c>
      <c r="C6" s="8" t="inlineStr">
        <is>
          <t>15 s</t>
        </is>
      </c>
      <c r="D6" s="8" t="inlineStr">
        <is>
          <t>Sem câmera</t>
        </is>
      </c>
    </row>
    <row r="7">
      <c r="A7" s="9" t="inlineStr">
        <is>
          <t>Porta Giratória</t>
        </is>
      </c>
      <c r="B7" s="9" t="inlineStr">
        <is>
          <t>Sala da Gerência</t>
        </is>
      </c>
      <c r="C7" s="9" t="inlineStr">
        <is>
          <t>6 s</t>
        </is>
      </c>
      <c r="D7" s="9" t="inlineStr"/>
    </row>
    <row r="8">
      <c r="A8" s="8" t="inlineStr">
        <is>
          <t>Antecâmara</t>
        </is>
      </c>
      <c r="B8" s="8" t="inlineStr">
        <is>
          <t>porta do Corredor (correndo)</t>
        </is>
      </c>
      <c r="C8" s="8" t="inlineStr">
        <is>
          <t>12 s</t>
        </is>
      </c>
      <c r="D8" s="8" t="inlineStr"/>
    </row>
    <row r="9">
      <c r="A9" s="9" t="inlineStr">
        <is>
          <t>Saguão</t>
        </is>
      </c>
      <c r="B9" s="9" t="inlineStr">
        <is>
          <t>Porta Lateral</t>
        </is>
      </c>
      <c r="C9" s="9" t="inlineStr">
        <is>
          <t>8 s</t>
        </is>
      </c>
      <c r="D9" s="9" t="inlineStr"/>
    </row>
    <row r="10">
      <c r="A10" s="8" t="inlineStr">
        <is>
          <t>Vaga Blindada</t>
        </is>
      </c>
      <c r="B10" s="8" t="inlineStr">
        <is>
          <t>Mesa</t>
        </is>
      </c>
      <c r="C10" s="8" t="inlineStr">
        <is>
          <t>42 s</t>
        </is>
      </c>
      <c r="D10" s="8" t="inlineStr">
        <is>
          <t>Duas pausas da Eclusa</t>
        </is>
      </c>
    </row>
    <row r="11">
      <c r="A11" s="9" t="inlineStr">
        <is>
          <t>Sala da Gerência</t>
        </is>
      </c>
      <c r="B11" s="9" t="inlineStr">
        <is>
          <t>Cofre (pelo Saguão e corredor)</t>
        </is>
      </c>
      <c r="C11" s="9" t="inlineStr">
        <is>
          <t>34 s</t>
        </is>
      </c>
      <c r="D11" s="9" t="inlineStr"/>
    </row>
    <row r="12">
      <c r="A12" s="8" t="inlineStr">
        <is>
          <t>Troca completa pelo corredor</t>
        </is>
      </c>
      <c r="B12" s="8" t="inlineStr">
        <is>
          <t>—</t>
        </is>
      </c>
      <c r="C12" s="8" t="inlineStr">
        <is>
          <t>~98 s</t>
        </is>
      </c>
      <c r="D12" s="8" t="inlineStr">
        <is>
          <t>NÃO cabe na janela de 87 s</t>
        </is>
      </c>
    </row>
    <row r="13">
      <c r="A13" s="9" t="inlineStr">
        <is>
          <t>Troca pela passagem (exposição à câmera 3)</t>
        </is>
      </c>
      <c r="B13" s="9" t="inlineStr">
        <is>
          <t>7h58:25–7h59:34</t>
        </is>
      </c>
      <c r="C13" s="9" t="inlineStr">
        <is>
          <t>69 s</t>
        </is>
      </c>
      <c r="D13" s="9" t="inlineStr">
        <is>
          <t>Cabe</t>
        </is>
      </c>
    </row>
    <row r="15">
      <c r="A15" s="10" t="inlineStr">
        <is>
          <t>Linhas de visão e de som</t>
        </is>
      </c>
    </row>
    <row r="16">
      <c r="A16" s="5" t="inlineStr">
        <is>
          <t>Posto / sensor</t>
        </is>
      </c>
      <c r="B16" s="5" t="inlineStr">
        <is>
          <t>Vê ou ouve</t>
        </is>
      </c>
      <c r="C16" s="5" t="inlineStr">
        <is>
          <t>Não vê / limite</t>
        </is>
      </c>
    </row>
    <row r="17">
      <c r="A17" s="8" t="inlineStr">
        <is>
          <t>Câmera 3</t>
        </is>
      </c>
      <c r="B17" s="8" t="inlineStr">
        <is>
          <t>Vê a entrada do Corredor, a porta da Central e metade da porta do Arquivo</t>
        </is>
      </c>
      <c r="C17" s="8" t="inlineStr">
        <is>
          <t>Não vê o Nicho do Rack nem a curva da Antecâmara</t>
        </is>
      </c>
    </row>
    <row r="18">
      <c r="A18" s="8" t="inlineStr">
        <is>
          <t>Câmera 2</t>
        </is>
      </c>
      <c r="B18" s="8" t="inlineStr">
        <is>
          <t>Vê os Guichês e a Mesa</t>
        </is>
      </c>
      <c r="C18" s="8" t="inlineStr">
        <is>
          <t>Não caiu em momento algum</t>
        </is>
      </c>
    </row>
    <row r="19">
      <c r="A19" s="8" t="inlineStr">
        <is>
          <t>Câmera 1</t>
        </is>
      </c>
      <c r="B19" s="8" t="inlineStr">
        <is>
          <t>Vê o Saguão e a divisória da Gerência (quem entra e sai)</t>
        </is>
      </c>
      <c r="C19" s="8" t="inlineStr">
        <is>
          <t>Não vê o interior da sala</t>
        </is>
      </c>
    </row>
    <row r="20">
      <c r="A20" s="8" t="inlineStr">
        <is>
          <t>Câmera interna da Central</t>
        </is>
      </c>
      <c r="B20" s="8" t="inlineStr">
        <is>
          <t>Vê o console</t>
        </is>
      </c>
      <c r="C20" s="8" t="inlineStr">
        <is>
          <t>—</t>
        </is>
      </c>
    </row>
    <row r="21">
      <c r="A21" s="8" t="inlineStr">
        <is>
          <t>Microfone da Central</t>
        </is>
      </c>
      <c r="B21" s="8" t="inlineStr">
        <is>
          <t>Capta o corredor (tampa do cesto às 7h59:24; estalo às 7h58:12)</t>
        </is>
      </c>
      <c r="C21" s="8" t="inlineStr">
        <is>
          <t>—</t>
        </is>
      </c>
    </row>
    <row r="22">
      <c r="A22" s="8" t="inlineStr">
        <is>
          <t>Saguão (ouvido)</t>
        </is>
      </c>
      <c r="B22" s="8" t="inlineStr">
        <is>
          <t>Campainha da Eclusa, baque do Cofre, gemido da impressora atrás da divisória</t>
        </is>
      </c>
      <c r="C22" s="8" t="inlineStr">
        <is>
          <t>Não ouve conversa baixa no Arquivo</t>
        </is>
      </c>
    </row>
    <row r="23">
      <c r="A23" s="8" t="inlineStr">
        <is>
          <t>Banheiro (ouvido)</t>
        </is>
      </c>
      <c r="B23" s="8" t="inlineStr">
        <is>
          <t>O painel da passagem raspar</t>
        </is>
      </c>
      <c r="C23" s="8" t="inlineStr">
        <is>
          <t>—</t>
        </is>
      </c>
    </row>
    <row r="24">
      <c r="A24" s="8" t="inlineStr">
        <is>
          <t>Eclusa (visão)</t>
        </is>
      </c>
      <c r="B24" s="8" t="inlineStr">
        <is>
          <t>A Mesa, pelo vidro</t>
        </is>
      </c>
      <c r="C24" s="8" t="inlineStr">
        <is>
          <t>—</t>
        </is>
      </c>
    </row>
    <row r="25">
      <c r="A25" s="8" t="inlineStr">
        <is>
          <t>Câmera da porta de serviço da padaria</t>
        </is>
      </c>
      <c r="B25" s="8" t="inlineStr">
        <is>
          <t>A Porta Lateral da agência e a rua de trás</t>
        </is>
      </c>
      <c r="C25" s="8" t="inlineStr">
        <is>
          <t>Nunca rostos sob guarda-chuva</t>
        </is>
      </c>
    </row>
    <row r="26">
      <c r="A26" s="8" t="inlineStr">
        <is>
          <t>Sistema de câmeras antes das 7h30</t>
        </is>
      </c>
      <c r="B26" s="8" t="inlineStr">
        <is>
          <t>Modo economia: só grava movimento na Porta Giratória e no Cofre</t>
        </is>
      </c>
      <c r="C26" s="8" t="inlineStr">
        <is>
          <t>—</t>
        </is>
      </c>
    </row>
  </sheetData>
  <autoFilter ref="A1:D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7" t="inlineStr">
        <is>
          <t>Acesso</t>
        </is>
      </c>
      <c r="B1" s="7" t="inlineStr">
        <is>
          <t>Quem tem</t>
        </is>
      </c>
    </row>
    <row r="2">
      <c r="A2" s="8" t="inlineStr">
        <is>
          <t>Porta Lateral (chave mecânica)</t>
        </is>
      </c>
      <c r="B2" s="8" t="inlineStr">
        <is>
          <t>Gerente, Subgerente, Caixa Veterano, Funcionário da Limpeza, Técnico</t>
        </is>
      </c>
    </row>
    <row r="3">
      <c r="A3" s="9" t="inlineStr">
        <is>
          <t>Chave 17-B (Rack e armário de espelhos)</t>
        </is>
      </c>
      <c r="B3" s="9" t="inlineStr">
        <is>
          <t>Original com a Limpeza (emprestada ao Subgerente 7h35–7h47); cópia da Estagiária na pasta azul; a do Técnico no molho</t>
        </is>
      </c>
    </row>
    <row r="4">
      <c r="A4" s="8" t="inlineStr">
        <is>
          <t>Cofre</t>
        </is>
      </c>
      <c r="B4" s="8" t="inlineStr">
        <is>
          <t>Duas chaves e duas pessoas; dupla de abertura: Subgerente e Caixa Veterano</t>
        </is>
      </c>
    </row>
    <row r="5">
      <c r="A5" s="9" t="inlineStr">
        <is>
          <t>Faixa administrativa (cartão de proximidade)</t>
        </is>
      </c>
      <c r="B5" s="9" t="inlineStr">
        <is>
          <t>Gerente, Subgerente, Caixa Veterano (tesoureiro), Técnico (manutenção); 2 últimos dígitos corrompidos no pareamento</t>
        </is>
      </c>
    </row>
    <row r="6">
      <c r="A6" s="8" t="inlineStr">
        <is>
          <t>Conta admin.local</t>
        </is>
      </c>
      <c r="B6" s="8" t="inlineStr">
        <is>
          <t>Criada pelo Técnico; senha ditada numa pane diante do Gerente, Subgerente, Caixa Veterano e Estagiária (que a anotou)</t>
        </is>
      </c>
    </row>
    <row r="7">
      <c r="A7" s="9" t="inlineStr">
        <is>
          <t>Passagem de Serviço</t>
        </is>
      </c>
      <c r="B7" s="9" t="inlineStr">
        <is>
          <t>"Conhecimento exclusivo das três chaves da tesouraria" (planta 1987, manual 1990); o Técnico a descobriu sozinho</t>
        </is>
      </c>
    </row>
    <row r="8">
      <c r="A8" s="8" t="inlineStr">
        <is>
          <t>Sensor da Porta Lateral, no dia</t>
        </is>
      </c>
      <c r="B8" s="8" t="inlineStr">
        <is>
          <t>6h36 chave (impostor entra); 7h06 barra (sai); 7h40 chave (Técnico); 7h55 barra (Técnico sai); 7h55–7h59:51 "não travada"; 7h59:51 fechada</t>
        </is>
      </c>
    </row>
  </sheetData>
  <autoFilter ref="A1:B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30" customWidth="1" min="3" max="3"/>
    <col width="12" customWidth="1" min="4" max="4"/>
    <col width="36" customWidth="1" min="5" max="5"/>
    <col width="36" customWidth="1" min="6" max="6"/>
    <col width="36" customWidth="1" min="7" max="7"/>
    <col width="36" customWidth="1" min="8" max="8"/>
    <col width="26" customWidth="1" min="9" max="9"/>
    <col width="22" customWidth="1" min="10" max="10"/>
    <col width="30" customWidth="1" min="11" max="11"/>
    <col width="34" customWidth="1" min="12" max="12"/>
    <col width="26" customWidth="1" min="13" max="13"/>
    <col width="30" customWidth="1" min="14" max="14"/>
    <col width="36" customWidth="1" min="15" max="15"/>
    <col width="30" customWidth="1" min="16" max="16"/>
    <col width="40" customWidth="1" min="17" max="17"/>
    <col width="18" customWidth="1" min="18" max="18"/>
    <col width="40" customWidth="1" min="19" max="19"/>
  </cols>
  <sheetData>
    <row r="1">
      <c r="A1" s="7" t="inlineStr">
        <is>
          <t>Cap.</t>
        </is>
      </c>
      <c r="B1" s="7" t="inlineStr">
        <is>
          <t>Título</t>
        </is>
      </c>
      <c r="C1" s="7" t="inlineStr">
        <is>
          <t>Momento / arco</t>
        </is>
      </c>
      <c r="D1" s="7" t="inlineStr">
        <is>
          <t>Degrau da escada</t>
        </is>
      </c>
      <c r="E1" s="7" t="inlineStr">
        <is>
          <t>Grande questão</t>
        </is>
      </c>
      <c r="F1" s="7" t="inlineStr">
        <is>
          <t>Peça para o mistério maior</t>
        </is>
      </c>
      <c r="G1" s="7" t="inlineStr">
        <is>
          <t>Pergunta principal (varia)</t>
        </is>
      </c>
      <c r="H1" s="7" t="inlineStr">
        <is>
          <t>Perguntas secundárias</t>
        </is>
      </c>
      <c r="I1" s="7" t="inlineStr">
        <is>
          <t>Âncoras de hora</t>
        </is>
      </c>
      <c r="J1" s="7" t="inlineStr">
        <is>
          <t>Peça central</t>
        </is>
      </c>
      <c r="K1" s="7" t="inlineStr">
        <is>
          <t>Gancho de abertura</t>
        </is>
      </c>
      <c r="L1" s="7" t="inlineStr">
        <is>
          <t>Revelação que abre duas</t>
        </is>
      </c>
      <c r="M1" s="7" t="inlineStr">
        <is>
          <t>Subtrama que avança</t>
        </is>
      </c>
      <c r="N1" s="7" t="inlineStr">
        <is>
          <t>Efeito teia</t>
        </is>
      </c>
      <c r="O1" s="7" t="inlineStr">
        <is>
          <t>Pista genuína e falsa pista</t>
        </is>
      </c>
      <c r="P1" s="7" t="inlineStr">
        <is>
          <t>Obstáculo</t>
        </is>
      </c>
      <c r="Q1" s="7" t="inlineStr">
        <is>
          <t>Curiosidade (5DC)</t>
        </is>
      </c>
      <c r="R1" s="7" t="inlineStr">
        <is>
          <t>Pontos de ajuste</t>
        </is>
      </c>
      <c r="S1" s="7" t="inlineStr">
        <is>
          <t>Virada</t>
        </is>
      </c>
    </row>
    <row r="2">
      <c r="A2" s="8" t="n">
        <v>0</v>
      </c>
      <c r="B2" s="8" t="inlineStr">
        <is>
          <t>Duas manhãs antes da mesma porta</t>
        </is>
      </c>
      <c r="C2" s="8" t="inlineStr">
        <is>
          <t>6h28–8h03</t>
        </is>
      </c>
      <c r="D2" s="8" t="n">
        <v>1</v>
      </c>
      <c r="E2" s="8" t="inlineStr">
        <is>
          <t>Os dois começos (quem chega × quem já estava) se encontram às 7h50 na campainha da Eclusa</t>
        </is>
      </c>
      <c r="F2" s="8" t="inlineStr"/>
      <c r="G2" s="8" t="inlineStr"/>
      <c r="H2" s="8" t="inlineStr"/>
      <c r="I2" s="8" t="inlineStr"/>
      <c r="J2" s="8" t="inlineStr"/>
      <c r="K2" s="8" t="inlineStr"/>
      <c r="L2" s="8" t="inlineStr"/>
      <c r="M2" s="8" t="inlineStr"/>
      <c r="N2" s="8" t="inlineStr"/>
      <c r="O2" s="8" t="inlineStr"/>
      <c r="P2" s="8" t="inlineStr"/>
      <c r="Q2" s="8" t="inlineStr"/>
      <c r="R2" s="8" t="inlineStr"/>
      <c r="S2" s="8" t="inlineStr">
        <is>
          <t>—</t>
        </is>
      </c>
    </row>
    <row r="3">
      <c r="A3" s="9" t="n">
        <v>1</v>
      </c>
      <c r="B3" s="9" t="inlineStr">
        <is>
          <t>O malote murcho</t>
        </is>
      </c>
      <c r="C3" s="9" t="inlineStr">
        <is>
          <t>8h02 a 8h10. Arco: o encontro e a primeira anomalia</t>
        </is>
      </c>
      <c r="D3" s="9" t="n">
        <v>1</v>
      </c>
      <c r="E3" s="9" t="inlineStr">
        <is>
          <t>O saco do Arquivo Morto é o malote que atravessou a Eclusa?</t>
        </is>
      </c>
      <c r="F3" s="9" t="inlineStr">
        <is>
          <t>Invólucro, lacre e conteúdo seguiram caminhos distintos: ML-8842
ficou, ML-8847 partiu</t>
        </is>
      </c>
      <c r="G3" s="9" t="inlineStr">
        <is>
          <t>Quem tinha acesso ao Corredor Restrito e ao Arquivo Morto naquela
manhã? A lista de chaves e crachás muda de peso conforme o impostor
sorteado</t>
        </is>
      </c>
      <c r="H3" s="9" t="inlineStr">
        <is>
          <t>Quando o saco foi deixado no Arquivo? Por que o malote entregue
tinha outro lacre?</t>
        </is>
      </c>
      <c r="I3" s="9" t="inlineStr">
        <is>
          <t>8h05 (câmera sem sinal), 8h07 (ML-8847 confirmado), 8h10 (a
mensagem)</t>
        </is>
      </c>
      <c r="J3" s="9" t="inlineStr">
        <is>
          <t>O malote murcho</t>
        </is>
      </c>
      <c r="K3" s="9" t="inlineStr">
        <is>
          <t>O saco vazio que parece respirar</t>
        </is>
      </c>
      <c r="L3" s="9" t="inlineStr">
        <is>
          <t>O malote entregue tinha ML-8847. Quem trocou? Por que largou o
antigo no caminho?</t>
        </is>
      </c>
      <c r="M3" s="9" t="inlineStr">
        <is>
          <t>A Limpeza mente sobre a chave; a Cliente quer sair antes de abrirem
a pasta</t>
        </is>
      </c>
      <c r="N3" s="9" t="inlineStr">
        <is>
          <t>O piso limpo às 7h46 transforma a chave 17-B de detalhe em
suspeita</t>
        </is>
      </c>
      <c r="O3" s="9" t="inlineStr">
        <is>
          <t>Genuína: a ilha seca sob o saco e a tampa torta do cesto. Falsa: a
pasta do Novato com chave e senha</t>
        </is>
      </c>
      <c r="P3" s="9" t="inlineStr">
        <is>
          <t>O isolamento e o Gerente impedindo o Técnico de examinar o circuito;
o perigo na rua para o carro-forte retido</t>
        </is>
      </c>
      <c r="Q3" s="9" t="inlineStr">
        <is>
          <t>Exploração: o malote e o fragmento térmico. Privação: qual saco
atravessou. Estresse: o isolamento e o carro retido. Social: a mentira
da Limpeza, a pressa da Cliente. Emoção: a mensagem sem origem</t>
        </is>
      </c>
      <c r="R3" s="9" t="inlineStr">
        <is>
          <t>Nenhum</t>
        </is>
      </c>
      <c r="S3" s="9" t="inlineStr"/>
    </row>
    <row r="4">
      <c r="A4" s="8" t="n">
        <v>2</v>
      </c>
      <c r="B4" s="8" t="inlineStr">
        <is>
          <t>A voz a mais</t>
        </is>
      </c>
      <c r="C4" s="8" t="inlineStr">
        <is>
          <t>8h12 a 8h35. Arco: alguém que não deveria estar</t>
        </is>
      </c>
      <c r="D4" s="8" t="n">
        <v>1</v>
      </c>
      <c r="E4" s="8" t="inlineStr">
        <is>
          <t>De onde veio a ordem que tirou o Segurança Interno da
Antecâmara?</t>
        </is>
      </c>
      <c r="F4" s="8" t="inlineStr">
        <is>
          <t>A ordem falsa partiu de dentro, da Sala da Gerência, autenticada por
um cartão da faixa administrativa</t>
        </is>
      </c>
      <c r="G4" s="8" t="inlineStr">
        <is>
          <t>De quem é o cartão que pareou o rádio? Nesta altura, quatro pessoas
cabem na faixa; a resposta, que fecha no Cap. 7, é a do impostor
sorteado</t>
        </is>
      </c>
      <c r="H4" s="8" t="inlineStr">
        <is>
          <t>Por que o Segurança Interno obedeceu? Quem estava na agência às
6h52?</t>
        </is>
      </c>
      <c r="I4" s="8" t="inlineStr">
        <is>
          <t>8h18 (a gravação), 8h29 (o registro da base), 8h35 (a
impressora)</t>
        </is>
      </c>
      <c r="J4" s="8" t="inlineStr">
        <is>
          <t>O rádio reserva</t>
        </is>
      </c>
      <c r="K4" s="8" t="inlineStr">
        <is>
          <t>Uma gravação com a voz de um homem que ninguém reconhece</t>
        </is>
      </c>
      <c r="L4" s="8" t="inlineStr">
        <is>
          <t>A ordem saiu da Gerência. Quem estava lá às 7h58? Quem estava na
agência às 6h52, antes de qualquer crachá?</t>
        </is>
      </c>
      <c r="M4" s="8" t="inlineStr">
        <is>
          <t>A Operadora entrega o bloco e a frase omitida; a Farmacêutica cala o
que reconhece</t>
        </is>
      </c>
      <c r="N4" s="8" t="inlineStr">
        <is>
          <t>A frase “não cai só você” passa a pesar sobre o Gerente e o
Subgerente</t>
        </is>
      </c>
      <c r="O4" s="8" t="inlineStr">
        <is>
          <t>Genuína: o pulsar do estabilizador e o horário dos crachás. Falsa: a
lasca lilás no botão</t>
        </is>
      </c>
      <c r="P4" s="8" t="inlineStr">
        <is>
          <t>O Gerente transforma a falha do Segurança Interno em acusação; a
Cliente recusa abrir a pasta</t>
        </is>
      </c>
      <c r="Q4" s="8" t="inlineStr">
        <is>
          <t>Exploração: o rádio e o espectro. Privação: de quem é o cartão.
Estresse: o perigo na rua continua. Social: a frase omitida e as duas
respostas. Emoção: a impressora que imprime sozinha</t>
        </is>
      </c>
      <c r="R4" s="8" t="inlineStr">
        <is>
          <t>A3 (a mão com fita microporosa)</t>
        </is>
      </c>
      <c r="S4" s="8" t="inlineStr"/>
    </row>
    <row r="5">
      <c r="A5" s="9" t="n">
        <v>3</v>
      </c>
      <c r="B5" s="9" t="inlineStr">
        <is>
          <t>O papel que nasceu quente</t>
        </is>
      </c>
      <c r="C5" s="9" t="inlineStr">
        <is>
          <t>8h35 a 8h50. Arco: o objeto. Fecha com a primeira grande virada</t>
        </is>
      </c>
      <c r="D5" s="9" t="inlineStr">
        <is>
          <t>2 (virada no fim)</t>
        </is>
      </c>
      <c r="E5" s="9" t="inlineStr">
        <is>
          <t>Por que a etiqueta nova existia antes de a câmera cair?</t>
        </is>
      </c>
      <c r="F5" s="9" t="inlineStr">
        <is>
          <t>A troca foi preparada às 6h58, não improvisada; e o malote entregue
pesava o que a guia declara</t>
        </is>
      </c>
      <c r="G5" s="9" t="inlineStr">
        <is>
          <t>Quem conhecia a senha admin.local? Cinco pessoas a ouviram; a
resposta só se estreita com a passagem e a escala de fechamento</t>
        </is>
      </c>
      <c r="H5" s="9" t="inlineStr">
        <is>
          <t>De onde veio a reimpressão das 8h35? O que é o arquivo
ajuste_96?</t>
        </is>
      </c>
      <c r="I5" s="9" t="inlineStr">
        <is>
          <t>8h38 (a fila), 8h44 (o carro na esquina), 8h48 (o peso)</t>
        </is>
      </c>
      <c r="J5" s="9" t="inlineStr">
        <is>
          <t>A impressora térmica de etiquetas</t>
        </is>
      </c>
      <c r="K5" s="9" t="inlineStr">
        <is>
          <t>A etiqueta no chão “como uma resposta oferecida por uma máquina que
ninguém interrogara”</t>
        </is>
      </c>
      <c r="L5" s="9" t="inlineStr">
        <is>
          <t>O malote entregue pesava o que devia: nada saiu. Por que alguém
trocaria um malote sem levar nada? E o que estava escrito na página que
acompanhou a etiqueta?</t>
        </is>
      </c>
      <c r="M5" s="9" t="inlineStr">
        <is>
          <t>A Estagiária confessa a senha anotada; o Técnico tem a maleta
revistada</t>
        </is>
      </c>
      <c r="N5" s="9" t="inlineStr">
        <is>
          <t>O peso desmonta a leitura de roubo que o grito das 8h02 tinha
imposto ao saco, à pasta do Novato e à câmera</t>
        </is>
      </c>
      <c r="O5" s="9" t="inlineStr">
        <is>
          <t>Genuína: a tarefa criada às 6h58 e o “96.000” fantasma. Falsa: o
roteador e os adaptadores da maleta</t>
        </is>
      </c>
      <c r="P5" s="9" t="inlineStr">
        <is>
          <t>Duas ordens incompatíveis para o Motorista; a revista humilhante da
maleta</t>
        </is>
      </c>
      <c r="Q5" s="9" t="inlineStr">
        <is>
          <t>Exploração: a impressora e o verso da etiqueta. Privação: o que é
ajuste_96. Estresse: as duas ordens para o Motorista. Social: a revista
da maleta. Emoção: o peso que derruba o roubo</t>
        </is>
      </c>
      <c r="R5" s="9" t="inlineStr">
        <is>
          <t>Nenhum</t>
        </is>
      </c>
      <c r="S5" s="9" t="inlineStr">
        <is>
          <t>O caso parecia roubo durante a janela. A balança e a mão do
Transportador mostram que o malote saiu completo. O que cai é a leitura
de subtração</t>
        </is>
      </c>
    </row>
    <row r="6">
      <c r="A6" s="8" t="n">
        <v>4</v>
      </c>
      <c r="B6" s="8" t="inlineStr">
        <is>
          <t>Vinte e seis segundos</t>
        </is>
      </c>
      <c r="C6" s="8" t="inlineStr">
        <is>
          <t>8h51 a 9h25. Arco: o espaço</t>
        </is>
      </c>
      <c r="D6" s="8" t="n">
        <v>3</v>
      </c>
      <c r="E6" s="8" t="inlineStr">
        <is>
          <t>Por onde alguém faria a troca dentro de oitenta e sete
segundos?</t>
        </is>
      </c>
      <c r="F6" s="8" t="inlineStr">
        <is>
          <t>Pelo corredor, a troca não cabe; pela Passagem de Serviço, entre a
Gerência e o Rack, cabe</t>
        </is>
      </c>
      <c r="G6" s="8" t="inlineStr">
        <is>
          <t>Quem conhecia a passagem? Nesta altura, só o Técnico admite; a
resposta completa (as três chaves da tesouraria) chega no Cap. 7</t>
        </is>
      </c>
      <c r="H6" s="8" t="inlineStr">
        <is>
          <t>Quem queimou o cabo durante o isolamento? Onde o dinheiro poderia
ter esperado?</t>
        </is>
      </c>
      <c r="I6" s="8" t="inlineStr">
        <is>
          <t>8h51 (o curto), 9h05 (a simulação), 9h25 (a base abre o malote)</t>
        </is>
      </c>
      <c r="J6" s="8" t="inlineStr">
        <is>
          <t>O mapa físico da agência, medido pelo corpo</t>
        </is>
      </c>
      <c r="K6" s="8" t="inlineStr">
        <is>
          <t>O terminal morre no instante em que ajuste_96 vai abrir</t>
        </is>
      </c>
      <c r="L6" s="8" t="inlineStr">
        <is>
          <t>A passagem existe. Quem mais a conhece? Quem saiu da Gerência para o
Rack sem atravessar o Saguão?</t>
        </is>
      </c>
      <c r="M6" s="8" t="inlineStr">
        <is>
          <t>A Limpeza confessa o empréstimo da chave; a Farmacêutica confessa o
calmante</t>
        </is>
      </c>
      <c r="N6" s="8" t="inlineStr">
        <is>
          <t>A passagem muda o peso da origem da ordem falsa (Gerência) e da
resposta do Técnico (“no Rack”)</t>
        </is>
      </c>
      <c r="O6" s="8" t="inlineStr">
        <is>
          <t>Genuína: as pegadas que terminam no fundo do Rack; o raspar ouvido
no banheiro. Falsa: a farinha no guarda-chuva da Auditora</t>
        </is>
      </c>
      <c r="P6" s="8" t="inlineStr">
        <is>
          <t>O Gerente quer revistar todos; o Novato precisa confessar a crise e
o banheiro</t>
        </is>
      </c>
      <c r="Q6" s="8" t="inlineStr">
        <is>
          <t>Exploração: o corredor medido pelo corpo e a parede que abre.
Privação: quem conhece a passagem. Estresse: o cabo queimado com todos
trancados. Social: as declarações lado a lado. Emoção: a lanterna rente
ao chão</t>
        </is>
      </c>
      <c r="R6" s="8" t="inlineStr">
        <is>
          <t>A5 (onde cada candidato declarou estar; aqui só se registram as
declarações, sem confirmação)</t>
        </is>
      </c>
      <c r="S6" s="8" t="inlineStr"/>
    </row>
    <row r="7">
      <c r="A7" s="9" t="n">
        <v>5</v>
      </c>
      <c r="B7" s="9" t="inlineStr">
        <is>
          <t>Oitenta e sete segundos</t>
        </is>
      </c>
      <c r="C7" s="9" t="inlineStr">
        <is>
          <t>9h25 a 9h58. Arco: a janela crítica</t>
        </is>
      </c>
      <c r="D7" s="9" t="n">
        <v>3</v>
      </c>
      <c r="E7" s="9" t="inlineStr">
        <is>
          <t>Durante os oitenta e sete segundos, dinheiro saiu ou entrou?</t>
        </is>
      </c>
      <c r="F7" s="9" t="inlineStr">
        <is>
          <t>O Cofre tinha R$ 96.000 que só existiam no sistema; o malote da
véspera pode ter saído curto, e alguém pode ter completado a diferença
na janela</t>
        </is>
      </c>
      <c r="G7" s="9" t="inlineStr">
        <is>
          <t>Quem tinha chave da porta lateral e esteve na agência às 6h36? Cinco
chaves; a resposta só se fecha no Cap. 7</t>
        </is>
      </c>
      <c r="H7" s="9" t="inlineStr">
        <is>
          <t>Onde o dinheiro esperou? O que causou a duplicidade?</t>
        </is>
      </c>
      <c r="I7" s="9" t="inlineStr">
        <is>
          <t>9h31 (a contagem), 9h43 (as fotografias), 9h56 (o suprimento)</t>
        </is>
      </c>
      <c r="J7" s="9" t="inlineStr">
        <is>
          <t>O peso e a contagem do malote 41</t>
        </is>
      </c>
      <c r="K7" s="9" t="inlineStr">
        <is>
          <t>“Quatrocentos e oitenta mil. Todas verdadeiras.”</t>
        </is>
      </c>
      <c r="L7" s="9" t="inlineStr">
        <is>
          <t>Havia R$ 96.000 sem corpo no Cofre. De onde vieram os R$ 96.000 que
completaram o malote? Quem entrou às 6h36?</t>
        </is>
      </c>
      <c r="M7" s="9" t="inlineStr">
        <is>
          <t>O Técnico admite a atualização; a Limpeza encontra a cinta na
caixa</t>
        </is>
      </c>
      <c r="N7" s="9" t="inlineStr">
        <is>
          <t>A duplicidade dá sentido ao “96.000” do Cap. 3 e à frase do oculto
no Cap. 1</t>
        </is>
      </c>
      <c r="O7" s="9" t="inlineStr">
        <is>
          <t>Genuína: o sensor da porta lateral e a cinta rasgada. Falsa: a
atualização do Técnico como prova de autoria</t>
        </is>
      </c>
      <c r="P7" s="9" t="inlineStr">
        <is>
          <t>O Gerente quer encerrar o caso no Técnico; a Auditora resiste a
acusar antes da prova</t>
        </is>
      </c>
      <c r="Q7" s="9" t="inlineStr">
        <is>
          <t>Exploração: a caixa de 1998 e a cinta. Privação: de onde vieram os
R$ 96.000. Estresse: o caso que se fecha rápido demais no Técnico.
Social: a confissão do Novato sobre os vinte reais. Emoção: a janela
ouvida pelo som</t>
        </is>
      </c>
      <c r="R7" s="9" t="inlineStr">
        <is>
          <t>Nenhum</t>
        </is>
      </c>
      <c r="S7" s="9" t="inlineStr"/>
    </row>
    <row r="8">
      <c r="A8" s="8" t="n">
        <v>6</v>
      </c>
      <c r="B8" s="8" t="inlineStr">
        <is>
          <t>O número sem corpo</t>
        </is>
      </c>
      <c r="C8" s="8" t="inlineStr">
        <is>
          <t>9h58 a 10h25. Arco: o documento. Fecha com a segunda grande
virada</t>
        </is>
      </c>
      <c r="D8" s="8" t="inlineStr">
        <is>
          <t>3 (virada no fim)</t>
        </is>
      </c>
      <c r="E8" s="8" t="inlineStr">
        <is>
          <t>Como nasceu o número sem corpo, e quem tinha razões para
escondê-lo?</t>
        </is>
      </c>
      <c r="F8" s="8" t="inlineStr">
        <is>
          <t>A duplicidade foi uma corrente de quatro falhas (saída, trava,
reprocessamento, assinatura sem contagem), e o arquivo ajuste_96 é a
reconstrução privada dessa noite feita por quem pretendia cobri-la</t>
        </is>
      </c>
      <c r="G8" s="8" t="inlineStr">
        <is>
          <t>Quem, entre os que falharam naquela noite, percebeu a diferença
depois? A resposta é a do impostor sorteado (A1) e só aparece no Cap.
8</t>
        </is>
      </c>
      <c r="H8" s="8" t="inlineStr">
        <is>
          <t>Por que o saco estava no chão e não no cesto? Onde o Técnico estava
de fato?</t>
        </is>
      </c>
      <c r="I8" s="8" t="inlineStr">
        <is>
          <t>10h04 (o arquivo recuperado), 10h12 (a imagem das 8h01), 10h21 (as
fotografias)</t>
        </is>
      </c>
      <c r="J8" s="8" t="inlineStr">
        <is>
          <t>O arquivo ajuste_96</t>
        </is>
      </c>
      <c r="K8" s="8" t="inlineStr">
        <is>
          <t>Um arquivo que existe porque alguém precisou escrever a noite para
conseguir corrigi-la</t>
        </is>
      </c>
      <c r="L8" s="8" t="inlineStr">
        <is>
          <t>O Técnico estava lá fora na janela. Quem mais passa da Gerência ao
Rack? Quem queimou o cabo às 8h31, se o Técnico estava sob
vigilância?</t>
        </is>
      </c>
      <c r="M8" s="8" t="inlineStr">
        <is>
          <t>O Gerente revela a saída; a Limpeza confessa o saco; o Técnico
confessa a peça sem nota</t>
        </is>
      </c>
      <c r="N8" s="8" t="inlineStr">
        <is>
          <t>A frase “não cai só você” deixa de ligar o Subgerente ao malote e
passa a revelar a crise do Gerente</t>
        </is>
      </c>
      <c r="O8" s="8" t="inlineStr">
        <is>
          <t>Genuína: a luva rasgada com sangue. Falsa: a fita isolante do
Técnico</t>
        </is>
      </c>
      <c r="P8" s="8" t="inlineStr">
        <is>
          <t>A Auditora diante do próprio trauma: registrar tudo e destruir
inocentes, ou filtrar e repetir a omissão</t>
        </is>
      </c>
      <c r="Q8" s="8" t="inlineStr">
        <is>
          <t>Exploração: o arquivo ajuste_96 e o cesto. Privação: onde estava o
Técnico. Estresse: a Auditora diante do próprio trauma. Social: cada
falha da noite com o seu dono. Emoção: a capa pingando ao lado da
porta</t>
        </is>
      </c>
      <c r="R8" s="8" t="inlineStr">
        <is>
          <t>Nenhum</t>
        </is>
      </c>
      <c r="S8" s="8" t="inlineStr">
        <is>
          <t>O caso parecia ser do Técnico: conta, chave, passagem, motivo, “no
Rack”. As fotografias do Padeiro o põem do lado de fora. O que cai é a
leitura que o colocava na rota</t>
        </is>
      </c>
    </row>
    <row r="9">
      <c r="A9" s="9" t="n">
        <v>7</v>
      </c>
      <c r="B9" s="9" t="inlineStr">
        <is>
          <t>Quinze versões para um fato</t>
        </is>
      </c>
      <c r="C9" s="9" t="inlineStr">
        <is>
          <t>10h25 a 10h50. Arco: o confronto das versões</t>
        </is>
      </c>
      <c r="D9" s="9" t="n">
        <v>4</v>
      </c>
      <c r="E9" s="9" t="inlineStr">
        <is>
          <t>Quais versões pertencem ao ato e quais protegem só vergonhas
particulares?</t>
        </is>
      </c>
      <c r="F9" s="9" t="inlineStr">
        <is>
          <t>Só as três chaves da tesouraria conheciam a passagem; as versões
convergem sobre uma delas, mas a autoria ainda admite disputa até o Cap.
8</t>
        </is>
      </c>
      <c r="G9" s="9" t="inlineStr">
        <is>
          <t>Qual das três chaves da tesouraria não estava onde disse? É o ponto
A5</t>
        </is>
      </c>
      <c r="H9" s="9" t="inlineStr">
        <is>
          <t>Quem queimou o cabo? Quem assinou o malote da véspera sem
contar?</t>
        </is>
      </c>
      <c r="I9" s="9" t="inlineStr">
        <is>
          <t>10h28 (o quadro), 10h41 (a regional responde), 10h46 (o
checksum)</t>
        </is>
      </c>
      <c r="J9" s="9" t="inlineStr">
        <is>
          <t>O quadro das quinze funções</t>
        </is>
      </c>
      <c r="K9" s="9" t="inlineStr">
        <is>
          <t>A Auditora escreve funções no quadro e se recusa a escrever
nomes</t>
        </is>
      </c>
      <c r="L9" s="9" t="inlineStr">
        <is>
          <t>O cabo foi o Gerente. Ele também esteve no malote? E quem vê a
agência de longe e reimprimiu a etiqueta?</t>
        </is>
      </c>
      <c r="M9" s="9" t="inlineStr">
        <is>
          <t>Gerente, Cliente, Farmacêutica e Veterano entregam o que
escondiam</t>
        </is>
      </c>
      <c r="N9" s="9" t="inlineStr">
        <is>
          <t>A planta da Cliente converte a passagem de indício do Técnico em
privilégio da tesouraria</t>
        </is>
      </c>
      <c r="O9" s="9" t="inlineStr">
        <is>
          <t>Genuína: o checksum e o titular do saque. Falsa, desfeita: a farinha
da Auditora</t>
        </is>
      </c>
      <c r="P9" s="9" t="inlineStr">
        <is>
          <t>O Gerente tenta conservar uma versão útil; a Cliente precisa expor o
pai</t>
        </is>
      </c>
      <c r="Q9" s="9" t="inlineStr">
        <is>
          <t>Exploração: a planta de 1987 e as câmeras. Privação: qual das três
chaves. Estresse: a resposta da regional. Social: o confronto das
versões. Emoção: a fita estreita contra a larga</t>
        </is>
      </c>
      <c r="R9" s="9" t="inlineStr">
        <is>
          <t>A2, A3, A4, A5, A5b, A6, A7, A8</t>
        </is>
      </c>
      <c r="S9" s="9" t="inlineStr"/>
    </row>
    <row r="10">
      <c r="A10" s="8" t="n">
        <v>8</v>
      </c>
      <c r="B10" s="8" t="inlineStr">
        <is>
          <t>A soma impossível</t>
        </is>
      </c>
      <c r="C10" s="8" t="inlineStr">
        <is>
          <t>10h52–11h12; epílogo na manhã seguinte, 8h10</t>
        </is>
      </c>
      <c r="D10" s="8" t="inlineStr">
        <is>
          <t>5 e 6 (epílogo)</t>
        </is>
      </c>
      <c r="E10" s="8" t="inlineStr">
        <is>
          <t xml:space="preserve">Função. Retomar as sete grandes questões; a acusação de todos; a revelação em seis movimentos, escrita em uma variante por candidato; o epílogo na manhã seguinte, com a última mensagem do oculto; a pergunta de valor. O texto público abaixo é a variante de referência (impostor: o Subgerente). As variantes G (Gerente) e V (Caixa Veterano) estão depois do quadro. As sete grandes questões e as respostas. 1. O saco do Arquivo era o malote da véspera, esvaziado na troca e largado no chão pela Limpeza. 2. A voz saiu da Gerência, pelo rádio pareado com o cartão do impostor. 3. A etiqueta foi preparada às 6h58, antes da janela. 4. A rota foi a passagem entre a Gerência e o Rack. 5. Nos 87 segundos, o dinheiro entrou. 6. O número sem corpo nasceu de quatro falhas, onze dias antes. 7. As outras versões protegiam vergonhas reais e periféricas. </t>
        </is>
      </c>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is>
          <t>—</t>
        </is>
      </c>
    </row>
  </sheetData>
  <autoFilter ref="A1:S1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16" customWidth="1" min="3" max="3"/>
    <col width="90" customWidth="1" min="4" max="4"/>
    <col width="22" customWidth="1" min="5" max="5"/>
    <col width="12" customWidth="1" min="6" max="6"/>
  </cols>
  <sheetData>
    <row r="1">
      <c r="A1" s="7" t="inlineStr">
        <is>
          <t>Id</t>
        </is>
      </c>
      <c r="B1" s="7" t="inlineStr">
        <is>
          <t>Cap.</t>
        </is>
      </c>
      <c r="C1" s="7" t="inlineStr">
        <is>
          <t>Eixo</t>
        </is>
      </c>
      <c r="D1" s="7" t="inlineStr">
        <is>
          <t>Fato</t>
        </is>
      </c>
      <c r="E1" s="7" t="inlineStr">
        <is>
          <t>Fixo ou varia</t>
        </is>
      </c>
      <c r="F1" s="7" t="inlineStr">
        <is>
          <t>Degrau</t>
        </is>
      </c>
    </row>
    <row r="2">
      <c r="A2" s="8" t="inlineStr">
        <is>
          <t>E1-1</t>
        </is>
      </c>
      <c r="B2" s="8" t="n">
        <v>1</v>
      </c>
      <c r="C2" s="8" t="inlineStr">
        <is>
          <t>Há quanto tempo</t>
        </is>
      </c>
      <c r="D2" s="8" t="inlineStr">
        <is>
          <t>Arquivo limpo às 7h46; travessia às 8h00; achado às 8h02;
confirmação às 8h07</t>
        </is>
      </c>
      <c r="E2" s="8" t="inlineStr">
        <is>
          <t>Fixo</t>
        </is>
      </c>
      <c r="F2" s="8" t="n">
        <v>1</v>
      </c>
    </row>
    <row r="3">
      <c r="A3" s="9" t="inlineStr">
        <is>
          <t>E1-2</t>
        </is>
      </c>
      <c r="B3" s="9" t="n">
        <v>1</v>
      </c>
      <c r="C3" s="9" t="inlineStr">
        <is>
          <t>Onde</t>
        </is>
      </c>
      <c r="D3" s="9" t="inlineStr">
        <is>
          <t>Arquivo Morto, Mesa de Recebimento, Eclusa</t>
        </is>
      </c>
      <c r="E3" s="9" t="inlineStr">
        <is>
          <t>Fixo</t>
        </is>
      </c>
      <c r="F3" s="9" t="n">
        <v>1</v>
      </c>
    </row>
    <row r="4">
      <c r="A4" s="8" t="inlineStr">
        <is>
          <t>E1-3</t>
        </is>
      </c>
      <c r="B4" s="8" t="n">
        <v>1</v>
      </c>
      <c r="C4" s="8" t="inlineStr">
        <is>
          <t>Como</t>
        </is>
      </c>
      <c r="D4" s="8" t="inlineStr">
        <is>
          <t>Troca de invólucro e de lacre numa janela sem imagem</t>
        </is>
      </c>
      <c r="E4" s="8" t="inlineStr">
        <is>
          <t>Fixo</t>
        </is>
      </c>
      <c r="F4" s="8" t="n">
        <v>1</v>
      </c>
    </row>
    <row r="5">
      <c r="A5" s="9" t="inlineStr">
        <is>
          <t>E1-4</t>
        </is>
      </c>
      <c r="B5" s="9" t="n">
        <v>1</v>
      </c>
      <c r="C5" s="9" t="inlineStr">
        <is>
          <t>Quem</t>
        </is>
      </c>
      <c r="D5" s="9" t="inlineStr">
        <is>
          <t>Quem tinha crachá do corredor, chave 17-B ou acesso à Mesa</t>
        </is>
      </c>
      <c r="E5" s="9" t="inlineStr">
        <is>
          <t>Fixo</t>
        </is>
      </c>
      <c r="F5" s="9" t="n">
        <v>1</v>
      </c>
    </row>
    <row r="6">
      <c r="A6" s="8" t="inlineStr">
        <is>
          <t>E1-5</t>
        </is>
      </c>
      <c r="B6" s="8" t="n">
        <v>1</v>
      </c>
      <c r="C6" s="8" t="inlineStr">
        <is>
          <t>Qual e que tipo</t>
        </is>
      </c>
      <c r="D6" s="8" t="inlineStr">
        <is>
          <t>Um invólucro vazio, um lacre rompido, um fragmento térmico; violação
de procedimento, sem prova de subtração</t>
        </is>
      </c>
      <c r="E6" s="8" t="inlineStr">
        <is>
          <t>Fixo</t>
        </is>
      </c>
      <c r="F6" s="8" t="n">
        <v>1</v>
      </c>
    </row>
    <row r="7">
      <c r="A7" s="9" t="inlineStr">
        <is>
          <t>E1-6</t>
        </is>
      </c>
      <c r="B7" s="9" t="n">
        <v>1</v>
      </c>
      <c r="C7" s="9" t="inlineStr">
        <is>
          <t>Perspectiva</t>
        </is>
      </c>
      <c r="D7" s="9" t="inlineStr">
        <is>
          <t>Novato: roubo. Cliente: é o mesmo saco. Auditora: invólucro não é
conteúdo. Limpeza: o saco veio depois das 7h46 (e se cala sobre a
chave). Motorista: a via diz ML-8842; Segurança do Veículo: conferiu a
tela. Operadora: ninguém entrou no Arquivo entre 7h46 e 7h58. Gerente:
subtração</t>
        </is>
      </c>
      <c r="E7" s="9" t="inlineStr">
        <is>
          <t>Fixo</t>
        </is>
      </c>
      <c r="F7" s="9" t="n">
        <v>1</v>
      </c>
    </row>
    <row r="8">
      <c r="A8" s="8" t="inlineStr">
        <is>
          <t>E2-1</t>
        </is>
      </c>
      <c r="B8" s="8" t="n">
        <v>2</v>
      </c>
      <c r="C8" s="8" t="inlineStr">
        <is>
          <t>Há quanto tempo</t>
        </is>
      </c>
      <c r="D8" s="8" t="inlineStr">
        <is>
          <t>Pareamento às 7h57:55; ordem às 7h58:05; antecipação às 6h52;
primeiro crachá do dia às 7h10</t>
        </is>
      </c>
      <c r="E8" s="8" t="inlineStr">
        <is>
          <t>Fixo</t>
        </is>
      </c>
      <c r="F8" s="8" t="n">
        <v>1</v>
      </c>
    </row>
    <row r="9">
      <c r="A9" s="9" t="inlineStr">
        <is>
          <t>E2-2</t>
        </is>
      </c>
      <c r="B9" s="9" t="n">
        <v>2</v>
      </c>
      <c r="C9" s="9" t="inlineStr">
        <is>
          <t>Onde</t>
        </is>
      </c>
      <c r="D9" s="9" t="inlineStr">
        <is>
          <t>Sala da Gerência (estabilizador), Porta Lateral, Central</t>
        </is>
      </c>
      <c r="E9" s="9" t="inlineStr">
        <is>
          <t>Fixo</t>
        </is>
      </c>
      <c r="F9" s="9" t="n">
        <v>1</v>
      </c>
    </row>
    <row r="10">
      <c r="A10" s="8" t="inlineStr">
        <is>
          <t>E2-3</t>
        </is>
      </c>
      <c r="B10" s="8" t="n">
        <v>2</v>
      </c>
      <c r="C10" s="8" t="inlineStr">
        <is>
          <t>Como</t>
        </is>
      </c>
      <c r="D10" s="8" t="inlineStr">
        <is>
          <t>Rádio pareado por cartão de proximidade e código verbal correto</t>
        </is>
      </c>
      <c r="E10" s="8" t="inlineStr">
        <is>
          <t>Fixo</t>
        </is>
      </c>
      <c r="F10" s="8" t="n">
        <v>1</v>
      </c>
    </row>
    <row r="11">
      <c r="A11" s="12" t="inlineStr">
        <is>
          <t>E2-4</t>
        </is>
      </c>
      <c r="B11" s="12" t="n">
        <v>2</v>
      </c>
      <c r="C11" s="12" t="inlineStr">
        <is>
          <t>Quem</t>
        </is>
      </c>
      <c r="D11" s="12" t="inlineStr">
        <is>
          <t>Os quatro da faixa administrativa: Gerente, Subgerente, Caixa
Veterano, Técnico</t>
        </is>
      </c>
      <c r="E11" s="12" t="inlineStr">
        <is>
          <t>Varia (A3 (a mão com fita microporosa))</t>
        </is>
      </c>
      <c r="F11" s="12" t="n">
        <v>1</v>
      </c>
    </row>
    <row r="12">
      <c r="A12" s="8" t="inlineStr">
        <is>
          <t>E2-5</t>
        </is>
      </c>
      <c r="B12" s="8" t="n">
        <v>2</v>
      </c>
      <c r="C12" s="8" t="inlineStr">
        <is>
          <t>Qual e que tipo</t>
        </is>
      </c>
      <c r="D12" s="8" t="inlineStr">
        <is>
          <t>Voz comprimida, pulsar do estabilizador, lasca de esmalte, registro
com dígitos corrompidos</t>
        </is>
      </c>
      <c r="E12" s="8" t="inlineStr">
        <is>
          <t>Fixo</t>
        </is>
      </c>
      <c r="F12" s="8" t="n">
        <v>1</v>
      </c>
    </row>
    <row r="13">
      <c r="A13" s="12" t="inlineStr">
        <is>
          <t>E2-6</t>
        </is>
      </c>
      <c r="B13" s="12" t="n">
        <v>2</v>
      </c>
      <c r="C13" s="12" t="inlineStr">
        <is>
          <t>Perspectiva</t>
        </is>
      </c>
      <c r="D13" s="12" t="inlineStr">
        <is>
          <t>Segurança Interno: viu pelo vidro um homem de capa com um motoboy.
Estagiária: reconhece o estabilizador. Operadora: o esmalte é dela, de
ontem. Farmacêutica: duas mãos com fita. Operador de Rádio: a chamada
saiu da Gerência</t>
        </is>
      </c>
      <c r="E13" s="12" t="inlineStr">
        <is>
          <t>Varia (A3 (a mão com fita microporosa))</t>
        </is>
      </c>
      <c r="F13" s="12" t="n">
        <v>1</v>
      </c>
    </row>
    <row r="14">
      <c r="A14" s="8" t="inlineStr">
        <is>
          <t>E3-1</t>
        </is>
      </c>
      <c r="B14" s="8" t="n">
        <v>3</v>
      </c>
      <c r="C14" s="8" t="inlineStr">
        <is>
          <t>Há quanto tempo</t>
        </is>
      </c>
      <c r="D14" s="8" t="inlineStr">
        <is>
          <t>Tarefa criada às 6h58; executada às 7h53; reimpressão às 8h35;
registro de peso às 8h00</t>
        </is>
      </c>
      <c r="E14" s="8" t="inlineStr">
        <is>
          <t>Fixo</t>
        </is>
      </c>
      <c r="F14" s="8" t="inlineStr">
        <is>
          <t>2 (virada no fim)</t>
        </is>
      </c>
    </row>
    <row r="15">
      <c r="A15" s="9" t="inlineStr">
        <is>
          <t>E3-2</t>
        </is>
      </c>
      <c r="B15" s="9" t="n">
        <v>3</v>
      </c>
      <c r="C15" s="9" t="inlineStr">
        <is>
          <t>Onde</t>
        </is>
      </c>
      <c r="D15" s="9" t="inlineStr">
        <is>
          <t>Sala da Gerência (terminal e impressora), Rack, Eclusa</t>
        </is>
      </c>
      <c r="E15" s="9" t="inlineStr">
        <is>
          <t>Fixo</t>
        </is>
      </c>
      <c r="F15" s="9" t="inlineStr">
        <is>
          <t>2 (virada no fim)</t>
        </is>
      </c>
    </row>
    <row r="16">
      <c r="A16" s="8" t="inlineStr">
        <is>
          <t>E3-3</t>
        </is>
      </c>
      <c r="B16" s="8" t="n">
        <v>3</v>
      </c>
      <c r="C16" s="8" t="inlineStr">
        <is>
          <t>Como</t>
        </is>
      </c>
      <c r="D16" s="8" t="inlineStr">
        <is>
          <t>Conta de manutenção, tarefa agendada, edição do registro da remessa;
reimpressão por acesso remoto</t>
        </is>
      </c>
      <c r="E16" s="8" t="inlineStr">
        <is>
          <t>Fixo</t>
        </is>
      </c>
      <c r="F16" s="8" t="inlineStr">
        <is>
          <t>2 (virada no fim)</t>
        </is>
      </c>
    </row>
    <row r="17">
      <c r="A17" s="9" t="inlineStr">
        <is>
          <t>E3-4</t>
        </is>
      </c>
      <c r="B17" s="9" t="n">
        <v>3</v>
      </c>
      <c r="C17" s="9" t="inlineStr">
        <is>
          <t>Quem</t>
        </is>
      </c>
      <c r="D17" s="9" t="inlineStr">
        <is>
          <t>Quem ouviu a senha numa pane: Gerente, Subgerente, Caixa Veterano,
Técnico, Estagiária</t>
        </is>
      </c>
      <c r="E17" s="9" t="inlineStr">
        <is>
          <t>Fixo</t>
        </is>
      </c>
      <c r="F17" s="9" t="inlineStr">
        <is>
          <t>2 (virada no fim)</t>
        </is>
      </c>
    </row>
    <row r="18">
      <c r="A18" s="8" t="inlineStr">
        <is>
          <t>E3-5</t>
        </is>
      </c>
      <c r="B18" s="8" t="n">
        <v>3</v>
      </c>
      <c r="C18" s="8" t="inlineStr">
        <is>
          <t>Qual e que tipo</t>
        </is>
      </c>
      <c r="D18" s="8" t="inlineStr">
        <is>
          <t>Etiqueta legítima usada fora do rito; impressão fantasma “96.000”;
peso de 7,0 kg</t>
        </is>
      </c>
      <c r="E18" s="8" t="inlineStr">
        <is>
          <t>Fixo</t>
        </is>
      </c>
      <c r="F18" s="8" t="inlineStr">
        <is>
          <t>2 (virada no fim)</t>
        </is>
      </c>
    </row>
    <row r="19">
      <c r="A19" s="9" t="inlineStr">
        <is>
          <t>E3-6</t>
        </is>
      </c>
      <c r="B19" s="9" t="n">
        <v>3</v>
      </c>
      <c r="C19" s="9" t="inlineStr">
        <is>
          <t>Perspectiva</t>
        </is>
      </c>
      <c r="D19" s="9" t="inlineStr">
        <is>
          <t>Operadora: a fila prova preparo. Técnico: a conta é dele, o conector
foi preparado. Caixa Veterano: lembra uma reimpressão de onze dias
antes. Transportador: o peso é o declarado. Gerente: papel no lugar de
dinheiro</t>
        </is>
      </c>
      <c r="E19" s="9" t="inlineStr">
        <is>
          <t>Fixo</t>
        </is>
      </c>
      <c r="F19" s="9" t="inlineStr">
        <is>
          <t>2 (virada no fim)</t>
        </is>
      </c>
    </row>
    <row r="20">
      <c r="A20" s="8" t="inlineStr">
        <is>
          <t>E4-1</t>
        </is>
      </c>
      <c r="B20" s="8" t="n">
        <v>4</v>
      </c>
      <c r="C20" s="8" t="inlineStr">
        <is>
          <t>Há quanto tempo</t>
        </is>
      </c>
      <c r="D20" s="8" t="inlineStr">
        <is>
          <t>Janela de 7h58:12 a 7h59:39; curto às 8h51; simulação às 9h05</t>
        </is>
      </c>
      <c r="E20" s="8" t="inlineStr">
        <is>
          <t>Fixo</t>
        </is>
      </c>
      <c r="F20" s="8" t="n">
        <v>3</v>
      </c>
    </row>
    <row r="21">
      <c r="A21" s="9" t="inlineStr">
        <is>
          <t>E4-2</t>
        </is>
      </c>
      <c r="B21" s="9" t="n">
        <v>4</v>
      </c>
      <c r="C21" s="9" t="inlineStr">
        <is>
          <t>Onde</t>
        </is>
      </c>
      <c r="D21" s="9" t="inlineStr">
        <is>
          <t>Rack Técnico, Arquivo Morto, Nicho do Rack, Banheiro, Passagem de
Serviço</t>
        </is>
      </c>
      <c r="E21" s="9" t="inlineStr">
        <is>
          <t>Fixo</t>
        </is>
      </c>
      <c r="F21" s="9" t="n">
        <v>3</v>
      </c>
    </row>
    <row r="22">
      <c r="A22" s="8" t="inlineStr">
        <is>
          <t>E4-3</t>
        </is>
      </c>
      <c r="B22" s="8" t="n">
        <v>4</v>
      </c>
      <c r="C22" s="8" t="inlineStr">
        <is>
          <t>Como</t>
        </is>
      </c>
      <c r="D22" s="8" t="inlineStr">
        <is>
          <t>Rota cronometrada; pegadas na umidade; painel removível</t>
        </is>
      </c>
      <c r="E22" s="8" t="inlineStr">
        <is>
          <t>Fixo</t>
        </is>
      </c>
      <c r="F22" s="8" t="n">
        <v>3</v>
      </c>
    </row>
    <row r="23">
      <c r="A23" s="12" t="inlineStr">
        <is>
          <t>E4-4</t>
        </is>
      </c>
      <c r="B23" s="12" t="n">
        <v>4</v>
      </c>
      <c r="C23" s="12" t="inlineStr">
        <is>
          <t>Quem</t>
        </is>
      </c>
      <c r="D23" s="12" t="inlineStr">
        <is>
          <t>Quem declarou estar perto do Rack; quem ouviu a parede</t>
        </is>
      </c>
      <c r="E23" s="12" t="inlineStr">
        <is>
          <t>Varia (A5 (onde cada candidato declarou estar; aqui só se registram as
declarações, sem confirmação))</t>
        </is>
      </c>
      <c r="F23" s="12" t="n">
        <v>3</v>
      </c>
    </row>
    <row r="24">
      <c r="A24" s="8" t="inlineStr">
        <is>
          <t>E4-5</t>
        </is>
      </c>
      <c r="B24" s="8" t="n">
        <v>4</v>
      </c>
      <c r="C24" s="8" t="inlineStr">
        <is>
          <t>Qual e que tipo</t>
        </is>
      </c>
      <c r="D24" s="8" t="inlineStr">
        <is>
          <t>Pegadas em meia-lua, cabo derretido, o raspar da parede; indícios de
oportunidade, não de autoria</t>
        </is>
      </c>
      <c r="E24" s="8" t="inlineStr">
        <is>
          <t>Fixo</t>
        </is>
      </c>
      <c r="F24" s="8" t="n">
        <v>3</v>
      </c>
    </row>
    <row r="25">
      <c r="A25" s="12" t="inlineStr">
        <is>
          <t>E4-6</t>
        </is>
      </c>
      <c r="B25" s="12" t="n">
        <v>4</v>
      </c>
      <c r="C25" s="12" t="inlineStr">
        <is>
          <t>Perspectiva</t>
        </is>
      </c>
      <c r="D25" s="12" t="inlineStr">
        <is>
          <t>Técnico: diz que estava no Rack, a pior resposta possível. Novato:
ouviu a parede raspar duas vezes. Limpeza: o canto úmido guarda pegadas.
Gerente: “minha sala não é minha culpa”. Padeiro: a figura das 6h28</t>
        </is>
      </c>
      <c r="E25" s="12" t="inlineStr">
        <is>
          <t>Varia (A5 (onde cada candidato declarou estar; aqui só se registram as
declarações, sem confirmação))</t>
        </is>
      </c>
      <c r="F25" s="12" t="n">
        <v>3</v>
      </c>
    </row>
    <row r="26">
      <c r="A26" s="8" t="inlineStr">
        <is>
          <t>E5-1</t>
        </is>
      </c>
      <c r="B26" s="8" t="n">
        <v>5</v>
      </c>
      <c r="C26" s="8" t="inlineStr">
        <is>
          <t>Há quanto tempo</t>
        </is>
      </c>
      <c r="D26" s="8" t="inlineStr">
        <is>
          <t>Contagem da base às 9h31; duplicidade de onze dias antes (18h54 e
19h11); porta lateral às 6h36 e 7h06</t>
        </is>
      </c>
      <c r="E26" s="8" t="inlineStr">
        <is>
          <t>Fixo</t>
        </is>
      </c>
      <c r="F26" s="8" t="n">
        <v>3</v>
      </c>
    </row>
    <row r="27">
      <c r="A27" s="9" t="inlineStr">
        <is>
          <t>E5-2</t>
        </is>
      </c>
      <c r="B27" s="9" t="n">
        <v>5</v>
      </c>
      <c r="C27" s="9" t="inlineStr">
        <is>
          <t>Onde</t>
        </is>
      </c>
      <c r="D27" s="9" t="inlineStr">
        <is>
          <t>Base, Arquivo Morto (caixa de 1998), Porta Lateral, rua de trás</t>
        </is>
      </c>
      <c r="E27" s="9" t="inlineStr">
        <is>
          <t>Fixo</t>
        </is>
      </c>
      <c r="F27" s="9" t="n">
        <v>3</v>
      </c>
    </row>
    <row r="28">
      <c r="A28" s="8" t="inlineStr">
        <is>
          <t>E5-3</t>
        </is>
      </c>
      <c r="B28" s="8" t="n">
        <v>5</v>
      </c>
      <c r="C28" s="8" t="inlineStr">
        <is>
          <t>Como</t>
        </is>
      </c>
      <c r="D28" s="8" t="inlineStr">
        <is>
          <t>Reconstrução da janela pelo som; sensor da porta; caixa de arquivo
como esconderijo</t>
        </is>
      </c>
      <c r="E28" s="8" t="inlineStr">
        <is>
          <t>Fixo</t>
        </is>
      </c>
      <c r="F28" s="8" t="n">
        <v>3</v>
      </c>
    </row>
    <row r="29">
      <c r="A29" s="9" t="inlineStr">
        <is>
          <t>E5-4</t>
        </is>
      </c>
      <c r="B29" s="9" t="n">
        <v>5</v>
      </c>
      <c r="C29" s="9" t="inlineStr">
        <is>
          <t>Quem</t>
        </is>
      </c>
      <c r="D29" s="9" t="inlineStr">
        <is>
          <t>Quem tem chave da porta lateral: Gerente, Subgerente, Caixa
Veterano, Limpeza, Técnico</t>
        </is>
      </c>
      <c r="E29" s="9" t="inlineStr">
        <is>
          <t>Fixo</t>
        </is>
      </c>
      <c r="F29" s="9" t="n">
        <v>3</v>
      </c>
    </row>
    <row r="30">
      <c r="A30" s="8" t="inlineStr">
        <is>
          <t>E5-5</t>
        </is>
      </c>
      <c r="B30" s="8" t="n">
        <v>5</v>
      </c>
      <c r="C30" s="8" t="inlineStr">
        <is>
          <t>Qual e que tipo</t>
        </is>
      </c>
      <c r="D30" s="8" t="inlineStr">
        <is>
          <t>Cédulas verdadeiras e completas; R$ 96.000 sem lastro; cinta de maço
rasgada</t>
        </is>
      </c>
      <c r="E30" s="8" t="inlineStr">
        <is>
          <t>Fixo</t>
        </is>
      </c>
      <c r="F30" s="8" t="n">
        <v>3</v>
      </c>
    </row>
    <row r="31">
      <c r="A31" s="9" t="inlineStr">
        <is>
          <t>E5-6</t>
        </is>
      </c>
      <c r="B31" s="9" t="n">
        <v>5</v>
      </c>
      <c r="C31" s="9" t="inlineStr">
        <is>
          <t>Perspectiva</t>
        </is>
      </c>
      <c r="D31" s="9" t="inlineStr">
        <is>
          <t>Caixa Novato: “e se alguém colocou?”. Caixa Veterano: o recibo é um
só. Operadora: a tampa do cesto às 7h59:24 e o sensor da porta. Caixa
Veterano: a caixa de 1998. Novato: os raspados batem com os horários.
Técnico: admite a atualização de onze dias antes. Gerente: tudo aponta o
Técnico</t>
        </is>
      </c>
      <c r="E31" s="9" t="inlineStr">
        <is>
          <t>Fixo</t>
        </is>
      </c>
      <c r="F31" s="9" t="n">
        <v>3</v>
      </c>
    </row>
    <row r="32">
      <c r="A32" s="8" t="inlineStr">
        <is>
          <t>E6-1</t>
        </is>
      </c>
      <c r="B32" s="8" t="n">
        <v>6</v>
      </c>
      <c r="C32" s="8" t="inlineStr">
        <is>
          <t>Há quanto tempo</t>
        </is>
      </c>
      <c r="D32" s="8" t="inlineStr">
        <is>
          <t>Onze dias antes: 18h54, 19h00, 19h03, 19h11, 19h20; hoje: 8h01 (o
saco), 10h21 (as fotografias)</t>
        </is>
      </c>
      <c r="E32" s="8" t="inlineStr">
        <is>
          <t>Fixo</t>
        </is>
      </c>
      <c r="F32" s="8" t="inlineStr">
        <is>
          <t>3 (virada no fim)</t>
        </is>
      </c>
    </row>
    <row r="33">
      <c r="A33" s="9" t="inlineStr">
        <is>
          <t>E6-2</t>
        </is>
      </c>
      <c r="B33" s="9" t="n">
        <v>6</v>
      </c>
      <c r="C33" s="9" t="inlineStr">
        <is>
          <t>Onde</t>
        </is>
      </c>
      <c r="D33" s="9" t="inlineStr">
        <is>
          <t>Guichê 2, Cofre, terminal, Arquivo Morto, rua de trás</t>
        </is>
      </c>
      <c r="E33" s="9" t="inlineStr">
        <is>
          <t>Fixo</t>
        </is>
      </c>
      <c r="F33" s="9" t="inlineStr">
        <is>
          <t>3 (virada no fim)</t>
        </is>
      </c>
    </row>
    <row r="34">
      <c r="A34" s="8" t="inlineStr">
        <is>
          <t>E6-3</t>
        </is>
      </c>
      <c r="B34" s="8" t="n">
        <v>6</v>
      </c>
      <c r="C34" s="8" t="inlineStr">
        <is>
          <t>Como</t>
        </is>
      </c>
      <c r="D34" s="8" t="inlineStr">
        <is>
          <t>Cópia automática do servidor; imagem parcial das 8h01; fotografias
da porta de serviço da padaria</t>
        </is>
      </c>
      <c r="E34" s="8" t="inlineStr">
        <is>
          <t>Fixo</t>
        </is>
      </c>
      <c r="F34" s="8" t="inlineStr">
        <is>
          <t>3 (virada no fim)</t>
        </is>
      </c>
    </row>
    <row r="35">
      <c r="A35" s="9" t="inlineStr">
        <is>
          <t>E6-4</t>
        </is>
      </c>
      <c r="B35" s="9" t="n">
        <v>6</v>
      </c>
      <c r="C35" s="9" t="inlineStr">
        <is>
          <t>Quem</t>
        </is>
      </c>
      <c r="D35" s="9" t="inlineStr">
        <is>
          <t>Gerente (saída), Técnico (trava), Subgerente (reprocessamento),
Caixa Veterano e Subgerente (assinatura); a Limpeza (o saco no
chão)</t>
        </is>
      </c>
      <c r="E35" s="9" t="inlineStr">
        <is>
          <t>Fixo</t>
        </is>
      </c>
      <c r="F35" s="9" t="inlineStr">
        <is>
          <t>3 (virada no fim)</t>
        </is>
      </c>
    </row>
    <row r="36">
      <c r="A36" s="8" t="inlineStr">
        <is>
          <t>E6-5</t>
        </is>
      </c>
      <c r="B36" s="8" t="n">
        <v>6</v>
      </c>
      <c r="C36" s="8" t="inlineStr">
        <is>
          <t>Qual e que tipo</t>
        </is>
      </c>
      <c r="D36" s="8" t="inlineStr">
        <is>
          <t>Duplicidade contábil; luva rasgada com sangue; fotografias com
hora</t>
        </is>
      </c>
      <c r="E36" s="8" t="inlineStr">
        <is>
          <t>Fixo</t>
        </is>
      </c>
      <c r="F36" s="8" t="inlineStr">
        <is>
          <t>3 (virada no fim)</t>
        </is>
      </c>
    </row>
    <row r="37">
      <c r="A37" s="9" t="inlineStr">
        <is>
          <t>E6-6</t>
        </is>
      </c>
      <c r="B37" s="9" t="n">
        <v>6</v>
      </c>
      <c r="C37" s="9" t="inlineStr">
        <is>
          <t>Perspectiva</t>
        </is>
      </c>
      <c r="D37" s="9" t="inlineStr">
        <is>
          <t>Caixa Veterano: a assinatura e o velório. Gerente: a saída e a
ameaça de denúncia. Operadora: a frase de ontem era sobre outra crise.
Limpeza: “o grito criou o roubo”. Segurança Interno: o homem de capa era
o Técnico; o aplicativo de entregas confirma</t>
        </is>
      </c>
      <c r="E37" s="9" t="inlineStr">
        <is>
          <t>Fixo</t>
        </is>
      </c>
      <c r="F37" s="9" t="inlineStr">
        <is>
          <t>3 (virada no fim)</t>
        </is>
      </c>
    </row>
    <row r="38">
      <c r="A38" s="8" t="inlineStr">
        <is>
          <t>E7-1</t>
        </is>
      </c>
      <c r="B38" s="8" t="n">
        <v>7</v>
      </c>
      <c r="C38" s="8" t="inlineStr">
        <is>
          <t>Há quanto tempo</t>
        </is>
      </c>
      <c r="D38" s="8" t="inlineStr">
        <is>
          <t>8h31 (o cabo); 7h57:50 (a Gerência); véspera, 15h50 (o lacre); 6h31
(a venda); 10h46 (o checksum)</t>
        </is>
      </c>
      <c r="E38" s="8" t="inlineStr">
        <is>
          <t>Fixo</t>
        </is>
      </c>
      <c r="F38" s="8" t="n">
        <v>4</v>
      </c>
    </row>
    <row r="39">
      <c r="A39" s="9" t="inlineStr">
        <is>
          <t>E7-2</t>
        </is>
      </c>
      <c r="B39" s="9" t="n">
        <v>7</v>
      </c>
      <c r="C39" s="9" t="inlineStr">
        <is>
          <t>Onde</t>
        </is>
      </c>
      <c r="D39" s="9" t="inlineStr">
        <is>
          <t>Todo o mapa, reduzido ao quadro das funções; a Gerência no
centro</t>
        </is>
      </c>
      <c r="E39" s="9" t="inlineStr">
        <is>
          <t>Fixo</t>
        </is>
      </c>
      <c r="F39" s="9" t="n">
        <v>4</v>
      </c>
    </row>
    <row r="40">
      <c r="A40" s="8" t="inlineStr">
        <is>
          <t>E7-3</t>
        </is>
      </c>
      <c r="B40" s="8" t="n">
        <v>7</v>
      </c>
      <c r="C40" s="8" t="inlineStr">
        <is>
          <t>Como</t>
        </is>
      </c>
      <c r="D40" s="8" t="inlineStr">
        <is>
          <t>Cruzamento de declarações, imagens, livros e registros</t>
        </is>
      </c>
      <c r="E40" s="8" t="inlineStr">
        <is>
          <t>Fixo</t>
        </is>
      </c>
      <c r="F40" s="8" t="n">
        <v>4</v>
      </c>
    </row>
    <row r="41">
      <c r="A41" s="12" t="inlineStr">
        <is>
          <t>E7-4</t>
        </is>
      </c>
      <c r="B41" s="12" t="n">
        <v>7</v>
      </c>
      <c r="C41" s="12" t="inlineStr">
        <is>
          <t>Quem</t>
        </is>
      </c>
      <c r="D41" s="12" t="inlineStr">
        <is>
          <t>As três chaves da tesouraria; o Gerente no encobrimento</t>
        </is>
      </c>
      <c r="E41" s="12" t="inlineStr">
        <is>
          <t>Varia (A2, A3, A4, A5, A5b, A6, A7, A8)</t>
        </is>
      </c>
      <c r="F41" s="12" t="n">
        <v>4</v>
      </c>
    </row>
    <row r="42">
      <c r="A42" s="8" t="inlineStr">
        <is>
          <t>E7-5</t>
        </is>
      </c>
      <c r="B42" s="8" t="n">
        <v>7</v>
      </c>
      <c r="C42" s="8" t="inlineStr">
        <is>
          <t>Qual e que tipo</t>
        </is>
      </c>
      <c r="D42" s="8" t="inlineStr">
        <is>
          <t>Planta de 1987, manual de 1990, livro de lacres, cupom de venda,
farinha, checksum, titular do saque: provas convergentes, ainda sem
confissão</t>
        </is>
      </c>
      <c r="E42" s="8" t="inlineStr">
        <is>
          <t>Fixo</t>
        </is>
      </c>
      <c r="F42" s="8" t="n">
        <v>4</v>
      </c>
    </row>
    <row r="43">
      <c r="A43" s="12" t="inlineStr">
        <is>
          <t>E7-6</t>
        </is>
      </c>
      <c r="B43" s="12" t="n">
        <v>7</v>
      </c>
      <c r="C43" s="12" t="inlineStr">
        <is>
          <t>Perspectiva</t>
        </is>
      </c>
      <c r="D43" s="12" t="inlineStr">
        <is>
          <t>Cliente: a obra do pai e as silhuetas. Operadora: câmeras 2, 1 e da
Central A5 . Auditora: a fita estreita e a farinha.
Reforços nas casas maiores: Farmacêutica, Estagiária, Segurança do
Veículo, Padeiro</t>
        </is>
      </c>
      <c r="E43" s="12" t="inlineStr">
        <is>
          <t>Varia (A2, A3, A4, A5, A5b, A6, A7, A8)</t>
        </is>
      </c>
      <c r="F43" s="12" t="n">
        <v>4</v>
      </c>
    </row>
  </sheetData>
  <autoFilter ref="A1:F4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34" customWidth="1" min="1" max="1"/>
    <col width="6" customWidth="1" min="2" max="2"/>
    <col width="34" customWidth="1" min="3" max="3"/>
    <col width="26" customWidth="1" min="4" max="4"/>
    <col width="46" customWidth="1" min="5" max="5"/>
    <col width="8" customWidth="1" min="6" max="6"/>
    <col width="8" customWidth="1" min="7" max="7"/>
    <col width="8" customWidth="1" min="8" max="8"/>
    <col width="8" customWidth="1" min="9" max="9"/>
    <col width="8" customWidth="1" min="10" max="10"/>
  </cols>
  <sheetData>
    <row r="1">
      <c r="A1" s="7" t="inlineStr">
        <is>
          <t>Prova</t>
        </is>
      </c>
      <c r="B1" s="7" t="inlineStr">
        <is>
          <t>Cap.</t>
        </is>
      </c>
      <c r="C1" s="7" t="inlineStr">
        <is>
          <t>Fonte primária (toda casa)</t>
        </is>
      </c>
      <c r="D1" s="7" t="inlineStr">
        <is>
          <t>Reforço (casas maiores)</t>
        </is>
      </c>
      <c r="E1" s="7" t="inlineStr">
        <is>
          <t>Quem diz isso nas falas (todas as casas)</t>
        </is>
      </c>
      <c r="F1" s="7" t="inlineStr">
        <is>
          <t>Casa 6</t>
        </is>
      </c>
      <c r="G1" s="7" t="inlineStr">
        <is>
          <t>Casa 8</t>
        </is>
      </c>
      <c r="H1" s="7" t="inlineStr">
        <is>
          <t>Casa 10</t>
        </is>
      </c>
      <c r="I1" s="7" t="inlineStr">
        <is>
          <t>Casa 12</t>
        </is>
      </c>
      <c r="J1" s="7" t="inlineStr">
        <is>
          <t>Casa 13</t>
        </is>
      </c>
    </row>
    <row r="2">
      <c r="A2" s="8" t="inlineStr">
        <is>
          <t>Arquivo limpo e vazio às 7h46</t>
        </is>
      </c>
      <c r="B2" s="8" t="inlineStr">
        <is>
          <t>1</t>
        </is>
      </c>
      <c r="C2" s="8" t="inlineStr">
        <is>
          <t>Câmera 3 (Operadora)</t>
        </is>
      </c>
      <c r="D2" s="8" t="inlineStr">
        <is>
          <t>Funcionário da Limpeza</t>
        </is>
      </c>
      <c r="E2" s="8" t="inlineStr">
        <is>
          <t>A Operadora da Central, O Funcionário da Limpeza</t>
        </is>
      </c>
      <c r="F2" s="14" t="inlineStr">
        <is>
          <t>ok</t>
        </is>
      </c>
      <c r="G2" s="14" t="inlineStr">
        <is>
          <t>ok</t>
        </is>
      </c>
      <c r="H2" s="14" t="inlineStr">
        <is>
          <t>ok</t>
        </is>
      </c>
      <c r="I2" s="14" t="inlineStr">
        <is>
          <t>ok</t>
        </is>
      </c>
      <c r="J2" s="14" t="inlineStr">
        <is>
          <t>ok</t>
        </is>
      </c>
    </row>
    <row r="3">
      <c r="A3" s="9" t="inlineStr">
        <is>
          <t>Lacre ML-8842 na via de papel</t>
        </is>
      </c>
      <c r="B3" s="9" t="inlineStr">
        <is>
          <t>1</t>
        </is>
      </c>
      <c r="C3" s="9" t="inlineStr">
        <is>
          <t>Motorista, pelo rádio</t>
        </is>
      </c>
      <c r="D3" s="9" t="inlineStr">
        <is>
          <t>Segurança do Veículo</t>
        </is>
      </c>
      <c r="E3" s="9" t="inlineStr">
        <is>
          <t>A Auditora, O Motorista, O Segurança do Veículo</t>
        </is>
      </c>
      <c r="F3" s="14" t="inlineStr">
        <is>
          <t>ok</t>
        </is>
      </c>
      <c r="G3" s="14" t="inlineStr">
        <is>
          <t>ok</t>
        </is>
      </c>
      <c r="H3" s="14" t="inlineStr">
        <is>
          <t>ok</t>
        </is>
      </c>
      <c r="I3" s="14" t="inlineStr">
        <is>
          <t>ok</t>
        </is>
      </c>
      <c r="J3" s="14" t="inlineStr">
        <is>
          <t>ok</t>
        </is>
      </c>
    </row>
    <row r="4">
      <c r="A4" s="8" t="inlineStr">
        <is>
          <t>A ordem saiu da Gerência (estabilizador)</t>
        </is>
      </c>
      <c r="B4" s="8" t="inlineStr">
        <is>
          <t>2</t>
        </is>
      </c>
      <c r="C4" s="8" t="inlineStr">
        <is>
          <t>Técnico</t>
        </is>
      </c>
      <c r="D4" s="8" t="inlineStr">
        <is>
          <t>Estagiária</t>
        </is>
      </c>
      <c r="E4" s="8" t="inlineStr">
        <is>
          <t>A Estagiária, O Operador de Rádio, O Subgerente, O Técnico</t>
        </is>
      </c>
      <c r="F4" s="14" t="inlineStr">
        <is>
          <t>ok</t>
        </is>
      </c>
      <c r="G4" s="14" t="inlineStr">
        <is>
          <t>ok</t>
        </is>
      </c>
      <c r="H4" s="14" t="inlineStr">
        <is>
          <t>ok</t>
        </is>
      </c>
      <c r="I4" s="14" t="inlineStr">
        <is>
          <t>ok</t>
        </is>
      </c>
      <c r="J4" s="14" t="inlineStr">
        <is>
          <t>ok</t>
        </is>
      </c>
    </row>
    <row r="5">
      <c r="A5" s="9" t="inlineStr">
        <is>
          <t>Tarefa das 6h58 e lacre trocado no registro</t>
        </is>
      </c>
      <c r="B5" s="9" t="inlineStr">
        <is>
          <t>3</t>
        </is>
      </c>
      <c r="C5" s="9" t="inlineStr">
        <is>
          <t>Operadora</t>
        </is>
      </c>
      <c r="D5" s="9" t="inlineStr">
        <is>
          <t>—</t>
        </is>
      </c>
      <c r="E5" s="9" t="inlineStr">
        <is>
          <t>A Operadora da Central</t>
        </is>
      </c>
      <c r="F5" s="14" t="inlineStr">
        <is>
          <t>ok</t>
        </is>
      </c>
      <c r="G5" s="14" t="inlineStr">
        <is>
          <t>ok</t>
        </is>
      </c>
      <c r="H5" s="14" t="inlineStr">
        <is>
          <t>ok</t>
        </is>
      </c>
      <c r="I5" s="14" t="inlineStr">
        <is>
          <t>ok</t>
        </is>
      </c>
      <c r="J5" s="14" t="inlineStr">
        <is>
          <t>ok</t>
        </is>
      </c>
    </row>
    <row r="6">
      <c r="A6" s="8" t="inlineStr">
        <is>
          <t>Senha ditada diante da tesouraria</t>
        </is>
      </c>
      <c r="B6" s="8" t="inlineStr">
        <is>
          <t>3</t>
        </is>
      </c>
      <c r="C6" s="8" t="inlineStr">
        <is>
          <t>Técnico</t>
        </is>
      </c>
      <c r="D6" s="8" t="inlineStr">
        <is>
          <t>Estagiária</t>
        </is>
      </c>
      <c r="E6" s="8" t="inlineStr">
        <is>
          <t>A Auditora, A Estagiária, O Caixa Novato, O Técnico</t>
        </is>
      </c>
      <c r="F6" s="14" t="inlineStr">
        <is>
          <t>ok</t>
        </is>
      </c>
      <c r="G6" s="14" t="inlineStr">
        <is>
          <t>ok</t>
        </is>
      </c>
      <c r="H6" s="14" t="inlineStr">
        <is>
          <t>ok</t>
        </is>
      </c>
      <c r="I6" s="14" t="inlineStr">
        <is>
          <t>ok</t>
        </is>
      </c>
      <c r="J6" s="14" t="inlineStr">
        <is>
          <t>ok</t>
        </is>
      </c>
    </row>
    <row r="7">
      <c r="A7" s="9" t="inlineStr">
        <is>
          <t>Peso de 7,0 kg e composição</t>
        </is>
      </c>
      <c r="B7" s="9" t="inlineStr">
        <is>
          <t>3</t>
        </is>
      </c>
      <c r="C7" s="9" t="inlineStr">
        <is>
          <t>Balança, pelo Motorista; guia, pelo Caixa Veterano</t>
        </is>
      </c>
      <c r="D7" s="9" t="inlineStr">
        <is>
          <t>Transportador</t>
        </is>
      </c>
      <c r="E7" s="9" t="inlineStr">
        <is>
          <t>A Auditora, O Caixa Veterano, O Motorista, O Operador de Rádio, O Transportador</t>
        </is>
      </c>
      <c r="F7" s="14" t="inlineStr">
        <is>
          <t>ok</t>
        </is>
      </c>
      <c r="G7" s="14" t="inlineStr">
        <is>
          <t>ok</t>
        </is>
      </c>
      <c r="H7" s="14" t="inlineStr">
        <is>
          <t>ok</t>
        </is>
      </c>
      <c r="I7" s="14" t="inlineStr">
        <is>
          <t>ok</t>
        </is>
      </c>
      <c r="J7" s="14" t="inlineStr">
        <is>
          <t>ok</t>
        </is>
      </c>
    </row>
    <row r="8">
      <c r="A8" s="8" t="inlineStr">
        <is>
          <t>Pegadas até o fundo do Rack</t>
        </is>
      </c>
      <c r="B8" s="8" t="inlineStr">
        <is>
          <t>4</t>
        </is>
      </c>
      <c r="C8" s="8" t="inlineStr">
        <is>
          <t>Auditora (lanterna)</t>
        </is>
      </c>
      <c r="D8" s="8" t="inlineStr">
        <is>
          <t>Funcionário da Limpeza</t>
        </is>
      </c>
      <c r="E8" s="8" t="inlineStr">
        <is>
          <t>A Auditora, O Funcionário da Limpeza</t>
        </is>
      </c>
      <c r="F8" s="14" t="inlineStr">
        <is>
          <t>ok</t>
        </is>
      </c>
      <c r="G8" s="14" t="inlineStr">
        <is>
          <t>ok</t>
        </is>
      </c>
      <c r="H8" s="14" t="inlineStr">
        <is>
          <t>ok</t>
        </is>
      </c>
      <c r="I8" s="14" t="inlineStr">
        <is>
          <t>ok</t>
        </is>
      </c>
      <c r="J8" s="14" t="inlineStr">
        <is>
          <t>ok</t>
        </is>
      </c>
    </row>
    <row r="9">
      <c r="A9" s="9" t="inlineStr">
        <is>
          <t>A passagem</t>
        </is>
      </c>
      <c r="B9" s="9" t="inlineStr">
        <is>
          <t>4</t>
        </is>
      </c>
      <c r="C9" s="9" t="inlineStr">
        <is>
          <t>Técnico</t>
        </is>
      </c>
      <c r="D9" s="9" t="inlineStr">
        <is>
          <t>—</t>
        </is>
      </c>
      <c r="E9" s="9" t="inlineStr">
        <is>
          <t>A Auditora, O Técnico</t>
        </is>
      </c>
      <c r="F9" s="14" t="inlineStr">
        <is>
          <t>ok</t>
        </is>
      </c>
      <c r="G9" s="14" t="inlineStr">
        <is>
          <t>ok</t>
        </is>
      </c>
      <c r="H9" s="14" t="inlineStr">
        <is>
          <t>ok</t>
        </is>
      </c>
      <c r="I9" s="14" t="inlineStr">
        <is>
          <t>ok</t>
        </is>
      </c>
      <c r="J9" s="14" t="inlineStr">
        <is>
          <t>ok</t>
        </is>
      </c>
    </row>
    <row r="10">
      <c r="A10" s="8" t="inlineStr">
        <is>
          <t>A parede raspou duas vezes</t>
        </is>
      </c>
      <c r="B10" s="8" t="inlineStr">
        <is>
          <t>4</t>
        </is>
      </c>
      <c r="C10" s="8" t="inlineStr">
        <is>
          <t>Caixa Novato (apoio)</t>
        </is>
      </c>
      <c r="D10" s="8" t="inlineStr">
        <is>
          <t>—</t>
        </is>
      </c>
      <c r="E10" s="8" t="inlineStr">
        <is>
          <t>O Caixa Novato, O Gerente</t>
        </is>
      </c>
      <c r="F10" s="14" t="inlineStr">
        <is>
          <t>ok</t>
        </is>
      </c>
      <c r="G10" s="14" t="inlineStr">
        <is>
          <t>ok</t>
        </is>
      </c>
      <c r="H10" s="14" t="inlineStr">
        <is>
          <t>ok</t>
        </is>
      </c>
      <c r="I10" s="14" t="inlineStr">
        <is>
          <t>ok</t>
        </is>
      </c>
      <c r="J10" s="14" t="inlineStr">
        <is>
          <t>ok</t>
        </is>
      </c>
    </row>
    <row r="11">
      <c r="A11" s="9" t="inlineStr">
        <is>
          <t>“E se alguém colocou?”</t>
        </is>
      </c>
      <c r="B11" s="9" t="inlineStr">
        <is>
          <t>5</t>
        </is>
      </c>
      <c r="C11" s="9" t="inlineStr">
        <is>
          <t>Caixa Novato (apoio)</t>
        </is>
      </c>
      <c r="D11" s="9" t="inlineStr">
        <is>
          <t>Farmacêutica</t>
        </is>
      </c>
      <c r="E11" s="9" t="inlineStr">
        <is>
          <t>O Caixa Novato</t>
        </is>
      </c>
      <c r="F11" s="14" t="inlineStr">
        <is>
          <t>ok</t>
        </is>
      </c>
      <c r="G11" s="14" t="inlineStr">
        <is>
          <t>ok</t>
        </is>
      </c>
      <c r="H11" s="14" t="inlineStr">
        <is>
          <t>ok</t>
        </is>
      </c>
      <c r="I11" s="14" t="inlineStr">
        <is>
          <t>ok</t>
        </is>
      </c>
      <c r="J11" s="14" t="inlineStr">
        <is>
          <t>ok</t>
        </is>
      </c>
    </row>
    <row r="12">
      <c r="A12" s="8" t="inlineStr">
        <is>
          <t>Duplicidade de R$ 96.000</t>
        </is>
      </c>
      <c r="B12" s="8" t="inlineStr">
        <is>
          <t>5</t>
        </is>
      </c>
      <c r="C12" s="8" t="inlineStr">
        <is>
          <t>Caixa Veterano e Operadora</t>
        </is>
      </c>
      <c r="D12" s="8" t="inlineStr">
        <is>
          <t>—</t>
        </is>
      </c>
      <c r="E12" s="8" t="inlineStr">
        <is>
          <t>A Operadora da Central, O Caixa Veterano, O Gerente</t>
        </is>
      </c>
      <c r="F12" s="14" t="inlineStr">
        <is>
          <t>ok</t>
        </is>
      </c>
      <c r="G12" s="14" t="inlineStr">
        <is>
          <t>ok</t>
        </is>
      </c>
      <c r="H12" s="14" t="inlineStr">
        <is>
          <t>ok</t>
        </is>
      </c>
      <c r="I12" s="14" t="inlineStr">
        <is>
          <t>ok</t>
        </is>
      </c>
      <c r="J12" s="14" t="inlineStr">
        <is>
          <t>ok</t>
        </is>
      </c>
    </row>
    <row r="13">
      <c r="A13" s="9" t="inlineStr">
        <is>
          <t>Tampa do cesto às 7h59:24</t>
        </is>
      </c>
      <c r="B13" s="9" t="inlineStr">
        <is>
          <t>5</t>
        </is>
      </c>
      <c r="C13" s="9" t="inlineStr">
        <is>
          <t>Microfone da Central (Operadora)</t>
        </is>
      </c>
      <c r="D13" s="9" t="inlineStr">
        <is>
          <t>Funcionário da Limpeza</t>
        </is>
      </c>
      <c r="E13" s="9" t="inlineStr">
        <is>
          <t>A Operadora da Central, O Funcionário da Limpeza, Registro / sistema</t>
        </is>
      </c>
      <c r="F13" s="14" t="inlineStr">
        <is>
          <t>ok</t>
        </is>
      </c>
      <c r="G13" s="14" t="inlineStr">
        <is>
          <t>ok</t>
        </is>
      </c>
      <c r="H13" s="14" t="inlineStr">
        <is>
          <t>ok</t>
        </is>
      </c>
      <c r="I13" s="14" t="inlineStr">
        <is>
          <t>ok</t>
        </is>
      </c>
      <c r="J13" s="14" t="inlineStr">
        <is>
          <t>ok</t>
        </is>
      </c>
    </row>
    <row r="14">
      <c r="A14" s="8" t="inlineStr">
        <is>
          <t>Porta lateral às 6h36 e 7h06</t>
        </is>
      </c>
      <c r="B14" s="8" t="inlineStr">
        <is>
          <t>5</t>
        </is>
      </c>
      <c r="C14" s="8" t="inlineStr">
        <is>
          <t>Sensor (Operadora)</t>
        </is>
      </c>
      <c r="D14" s="8" t="inlineStr">
        <is>
          <t>Padeiro (fotografias)</t>
        </is>
      </c>
      <c r="E14" s="8" t="inlineStr">
        <is>
          <t>A Auditora, O Monitor Remoto, O Padeiro, Registro / sistema</t>
        </is>
      </c>
      <c r="F14" s="14" t="inlineStr">
        <is>
          <t>ok</t>
        </is>
      </c>
      <c r="G14" s="14" t="inlineStr">
        <is>
          <t>ok</t>
        </is>
      </c>
      <c r="H14" s="14" t="inlineStr">
        <is>
          <t>ok</t>
        </is>
      </c>
      <c r="I14" s="14" t="inlineStr">
        <is>
          <t>ok</t>
        </is>
      </c>
      <c r="J14" s="14" t="inlineStr">
        <is>
          <t>ok</t>
        </is>
      </c>
    </row>
    <row r="15">
      <c r="A15" s="9" t="inlineStr">
        <is>
          <t>Dinheiro na caixa de 1998</t>
        </is>
      </c>
      <c r="B15" s="9" t="inlineStr">
        <is>
          <t>5</t>
        </is>
      </c>
      <c r="C15" s="9" t="inlineStr">
        <is>
          <t>Caixa Veterano</t>
        </is>
      </c>
      <c r="D15" s="9" t="inlineStr">
        <is>
          <t>Funcionário da Limpeza</t>
        </is>
      </c>
      <c r="E15" s="9" t="inlineStr">
        <is>
          <t>A Auditora, O Caixa Veterano, O Funcionário da Limpeza</t>
        </is>
      </c>
      <c r="F15" s="14" t="inlineStr">
        <is>
          <t>ok</t>
        </is>
      </c>
      <c r="G15" s="14" t="inlineStr">
        <is>
          <t>ok</t>
        </is>
      </c>
      <c r="H15" s="14" t="inlineStr">
        <is>
          <t>ok</t>
        </is>
      </c>
      <c r="I15" s="14" t="inlineStr">
        <is>
          <t>ok</t>
        </is>
      </c>
      <c r="J15" s="14" t="inlineStr">
        <is>
          <t>ok</t>
        </is>
      </c>
    </row>
    <row r="16">
      <c r="A16" s="8" t="inlineStr">
        <is>
          <t>Suprimento à 0392</t>
        </is>
      </c>
      <c r="B16" s="8" t="inlineStr">
        <is>
          <t>5</t>
        </is>
      </c>
      <c r="C16" s="8" t="inlineStr">
        <is>
          <t>Operador de Rádio (vigia)</t>
        </is>
      </c>
      <c r="D16" s="8" t="inlineStr">
        <is>
          <t>—</t>
        </is>
      </c>
      <c r="E16" s="8" t="inlineStr">
        <is>
          <t>O Caixa Novato, O Operador de Rádio</t>
        </is>
      </c>
      <c r="F16" s="14" t="inlineStr">
        <is>
          <t>ok</t>
        </is>
      </c>
      <c r="G16" s="14" t="inlineStr">
        <is>
          <t>ok</t>
        </is>
      </c>
      <c r="H16" s="14" t="inlineStr">
        <is>
          <t>ok</t>
        </is>
      </c>
      <c r="I16" s="14" t="inlineStr">
        <is>
          <t>ok</t>
        </is>
      </c>
      <c r="J16" s="14" t="inlineStr">
        <is>
          <t>ok</t>
        </is>
      </c>
    </row>
    <row r="17">
      <c r="A17" s="9" t="inlineStr">
        <is>
          <t>Luva e cupom da farmácia</t>
        </is>
      </c>
      <c r="B17" s="9" t="inlineStr">
        <is>
          <t>6</t>
        </is>
      </c>
      <c r="C17" s="9" t="inlineStr">
        <is>
          <t>Auditora (cesto)</t>
        </is>
      </c>
      <c r="D17" s="9" t="inlineStr">
        <is>
          <t>Farmacêutica</t>
        </is>
      </c>
      <c r="E17" s="9" t="inlineStr">
        <is>
          <t>A Auditora</t>
        </is>
      </c>
      <c r="F17" s="14" t="inlineStr">
        <is>
          <t>ok</t>
        </is>
      </c>
      <c r="G17" s="14" t="inlineStr">
        <is>
          <t>ok</t>
        </is>
      </c>
      <c r="H17" s="14" t="inlineStr">
        <is>
          <t>ok</t>
        </is>
      </c>
      <c r="I17" s="14" t="inlineStr">
        <is>
          <t>ok</t>
        </is>
      </c>
      <c r="J17" s="14" t="inlineStr">
        <is>
          <t>ok</t>
        </is>
      </c>
    </row>
    <row r="18">
      <c r="A18" s="8" t="inlineStr">
        <is>
          <t>O Técnico estava fora</t>
        </is>
      </c>
      <c r="B18" s="8" t="inlineStr">
        <is>
          <t>6</t>
        </is>
      </c>
      <c r="C18" s="8" t="inlineStr">
        <is>
          <t>Segurança Interno (apoio) e registro do aplicativo</t>
        </is>
      </c>
      <c r="D18" s="8" t="inlineStr">
        <is>
          <t>Padeiro (fotografias)</t>
        </is>
      </c>
      <c r="E18" s="8" t="inlineStr">
        <is>
          <t>O Padeiro, O Segurança Interno, Registro / sistema</t>
        </is>
      </c>
      <c r="F18" s="14" t="inlineStr">
        <is>
          <t>ok</t>
        </is>
      </c>
      <c r="G18" s="14" t="inlineStr">
        <is>
          <t>ok</t>
        </is>
      </c>
      <c r="H18" s="14" t="inlineStr">
        <is>
          <t>ok</t>
        </is>
      </c>
      <c r="I18" s="14" t="inlineStr">
        <is>
          <t>ok</t>
        </is>
      </c>
      <c r="J18" s="14" t="inlineStr">
        <is>
          <t>ok</t>
        </is>
      </c>
    </row>
    <row r="19">
      <c r="A19" s="9" t="inlineStr">
        <is>
          <t>Passagem só da tesouraria</t>
        </is>
      </c>
      <c r="B19" s="9" t="inlineStr">
        <is>
          <t>7</t>
        </is>
      </c>
      <c r="C19" s="9" t="inlineStr">
        <is>
          <t>Cliente do Cofre (planta e manual)</t>
        </is>
      </c>
      <c r="D19" s="9" t="inlineStr">
        <is>
          <t>—</t>
        </is>
      </c>
      <c r="E19" s="9" t="inlineStr">
        <is>
          <t>A Auditora, A Cliente do Cofre</t>
        </is>
      </c>
      <c r="F19" s="14" t="inlineStr">
        <is>
          <t>ok</t>
        </is>
      </c>
      <c r="G19" s="14" t="inlineStr">
        <is>
          <t>ok</t>
        </is>
      </c>
      <c r="H19" s="14" t="inlineStr">
        <is>
          <t>ok</t>
        </is>
      </c>
      <c r="I19" s="14" t="inlineStr">
        <is>
          <t>ok</t>
        </is>
      </c>
      <c r="J19" s="14" t="inlineStr">
        <is>
          <t>ok</t>
        </is>
      </c>
    </row>
    <row r="20">
      <c r="A20" s="8" t="inlineStr">
        <is>
          <t>Dois entraram na Gerência, um saiu A4</t>
        </is>
      </c>
      <c r="B20" s="8" t="inlineStr">
        <is>
          <t>7</t>
        </is>
      </c>
      <c r="C20" s="8" t="inlineStr">
        <is>
          <t>Cliente do Cofre e câmera 1</t>
        </is>
      </c>
      <c r="D20" s="8" t="inlineStr">
        <is>
          <t>Farmacêutica</t>
        </is>
      </c>
      <c r="E20" s="8" t="inlineStr">
        <is>
          <t>A Cliente do Cofre, A Farmacêutica, A Operadora da Central</t>
        </is>
      </c>
      <c r="F20" s="14" t="inlineStr">
        <is>
          <t>ok</t>
        </is>
      </c>
      <c r="G20" s="14" t="inlineStr">
        <is>
          <t>ok</t>
        </is>
      </c>
      <c r="H20" s="14" t="inlineStr">
        <is>
          <t>ok</t>
        </is>
      </c>
      <c r="I20" s="14" t="inlineStr">
        <is>
          <t>ok</t>
        </is>
      </c>
      <c r="J20" s="14" t="inlineStr">
        <is>
          <t>ok</t>
        </is>
      </c>
    </row>
    <row r="21">
      <c r="A21" s="9" t="inlineStr">
        <is>
          <t>Quem estava onde na janela A5</t>
        </is>
      </c>
      <c r="B21" s="9" t="inlineStr">
        <is>
          <t>7</t>
        </is>
      </c>
      <c r="C21" s="9" t="inlineStr">
        <is>
          <t>Câmeras 2, 1 e da Central (Operadora); Auditora e Cliente</t>
        </is>
      </c>
      <c r="D21" s="9" t="inlineStr">
        <is>
          <t>Estagiária, Segurança do Veículo</t>
        </is>
      </c>
      <c r="E21" s="9" t="inlineStr">
        <is>
          <t>A Auditora, A Cliente do Cofre, A Estagiária, A Operadora da Central, O Caixa Veterano, O Gerente, O Segurança do Veículo, O Subgerente</t>
        </is>
      </c>
      <c r="F21" s="14" t="inlineStr">
        <is>
          <t>ok</t>
        </is>
      </c>
      <c r="G21" s="14" t="inlineStr">
        <is>
          <t>ok</t>
        </is>
      </c>
      <c r="H21" s="14" t="inlineStr">
        <is>
          <t>ok</t>
        </is>
      </c>
      <c r="I21" s="14" t="inlineStr">
        <is>
          <t>ok</t>
        </is>
      </c>
      <c r="J21" s="14" t="inlineStr">
        <is>
          <t>ok</t>
        </is>
      </c>
    </row>
    <row r="22">
      <c r="A22" s="8" t="inlineStr">
        <is>
          <t>Fita estreita A3</t>
        </is>
      </c>
      <c r="B22" s="8" t="inlineStr">
        <is>
          <t>7</t>
        </is>
      </c>
      <c r="C22" s="8" t="inlineStr">
        <is>
          <t>Auditora (cupom × kit)</t>
        </is>
      </c>
      <c r="D22" s="8" t="inlineStr">
        <is>
          <t>Farmacêutica</t>
        </is>
      </c>
      <c r="E22" s="8" t="inlineStr">
        <is>
          <t>A Auditora, A Farmacêutica, O Caixa Novato, O Subgerente</t>
        </is>
      </c>
      <c r="F22" s="14" t="inlineStr">
        <is>
          <t>ok</t>
        </is>
      </c>
      <c r="G22" s="14" t="inlineStr">
        <is>
          <t>ok</t>
        </is>
      </c>
      <c r="H22" s="14" t="inlineStr">
        <is>
          <t>ok</t>
        </is>
      </c>
      <c r="I22" s="14" t="inlineStr">
        <is>
          <t>ok</t>
        </is>
      </c>
      <c r="J22" s="14" t="inlineStr">
        <is>
          <t>ok</t>
        </is>
      </c>
    </row>
    <row r="23">
      <c r="A23" s="9" t="inlineStr">
        <is>
          <t>Farinha na barra A6</t>
        </is>
      </c>
      <c r="B23" s="9" t="inlineStr">
        <is>
          <t>7</t>
        </is>
      </c>
      <c r="C23" s="9" t="inlineStr">
        <is>
          <t>Auditora e Cliente do Cofre</t>
        </is>
      </c>
      <c r="D23" s="9" t="inlineStr">
        <is>
          <t>Padeiro</t>
        </is>
      </c>
      <c r="E23" s="9" t="inlineStr">
        <is>
          <t>A Auditora, A Cliente do Cofre, O Padeiro</t>
        </is>
      </c>
      <c r="F23" s="14" t="inlineStr">
        <is>
          <t>ok</t>
        </is>
      </c>
      <c r="G23" s="14" t="inlineStr">
        <is>
          <t>ok</t>
        </is>
      </c>
      <c r="H23" s="14" t="inlineStr">
        <is>
          <t>ok</t>
        </is>
      </c>
      <c r="I23" s="14" t="inlineStr">
        <is>
          <t>ok</t>
        </is>
      </c>
      <c r="J23" s="14" t="inlineStr">
        <is>
          <t>ok</t>
        </is>
      </c>
    </row>
    <row r="24">
      <c r="A24" s="8" t="inlineStr">
        <is>
          <t>Livro de lacres A2 , titular A8 ,
cartão A7</t>
        </is>
      </c>
      <c r="B24" s="8" t="inlineStr">
        <is>
          <t>7</t>
        </is>
      </c>
      <c r="C24" s="8" t="inlineStr">
        <is>
          <t>Operadora; regional, pela Auditora</t>
        </is>
      </c>
      <c r="D24" s="8" t="inlineStr">
        <is>
          <t>—</t>
        </is>
      </c>
      <c r="E24" s="8" t="inlineStr">
        <is>
          <t>A Auditora, A Operadora da Central, O Caixa Veterano, Registro / sistema</t>
        </is>
      </c>
      <c r="F24" s="14" t="inlineStr">
        <is>
          <t>ok</t>
        </is>
      </c>
      <c r="G24" s="14" t="inlineStr">
        <is>
          <t>ok</t>
        </is>
      </c>
      <c r="H24" s="14" t="inlineStr">
        <is>
          <t>ok</t>
        </is>
      </c>
      <c r="I24" s="14" t="inlineStr">
        <is>
          <t>ok</t>
        </is>
      </c>
      <c r="J24" s="14" t="inlineStr">
        <is>
          <t>ok</t>
        </is>
      </c>
    </row>
  </sheetData>
  <autoFilter ref="A1:J2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9" customWidth="1" min="3" max="3"/>
    <col width="44" customWidth="1" min="4" max="4"/>
    <col width="54" customWidth="1" min="5" max="5"/>
    <col width="30" customWidth="1" min="6" max="6"/>
    <col width="22" customWidth="1" min="7" max="7"/>
    <col width="22" customWidth="1" min="8" max="8"/>
    <col width="42" customWidth="1" min="9" max="9"/>
    <col width="7" customWidth="1" min="10" max="10"/>
    <col width="10" customWidth="1" min="11" max="11"/>
  </cols>
  <sheetData>
    <row r="1">
      <c r="A1" s="7" t="inlineStr">
        <is>
          <t>Cap.</t>
        </is>
      </c>
      <c r="B1" s="7" t="inlineStr">
        <is>
          <t>Tipo</t>
        </is>
      </c>
      <c r="C1" s="7" t="inlineStr">
        <is>
          <t>Resposta</t>
        </is>
      </c>
      <c r="D1" s="7" t="inlineStr">
        <is>
          <t>Pergunta</t>
        </is>
      </c>
      <c r="E1" s="7" t="inlineStr">
        <is>
          <t>Opções</t>
        </is>
      </c>
      <c r="F1" s="7" t="inlineStr">
        <is>
          <t>Gabarito S</t>
        </is>
      </c>
      <c r="G1" s="7" t="inlineStr">
        <is>
          <t>Gabarito G</t>
        </is>
      </c>
      <c r="H1" s="7" t="inlineStr">
        <is>
          <t>Gabarito V</t>
        </is>
      </c>
      <c r="I1" s="7" t="inlineStr">
        <is>
          <t>Como se sabe (fonte no capítulo)</t>
        </is>
      </c>
      <c r="J1" s="7" t="inlineStr">
        <is>
          <t>Degrau</t>
        </is>
      </c>
      <c r="K1" s="7" t="inlineStr">
        <is>
          <t>Status</t>
        </is>
      </c>
    </row>
    <row r="2">
      <c r="A2" s="8" t="n">
        <v>1</v>
      </c>
      <c r="B2" s="8" t="inlineStr">
        <is>
          <t>principal</t>
        </is>
      </c>
      <c r="C2" s="8" t="inlineStr">
        <is>
          <t>uma</t>
        </is>
      </c>
      <c r="D2" s="8" t="inlineStr">
        <is>
          <t>O saco vazio no chão do Arquivo Morto é o volume que atravessou a Eclusa às 8h00?</t>
        </is>
      </c>
      <c r="E2" s="8" t="inlineStr">
        <is>
          <t>Sim, é o mesmo malote, esvaziado | Não: é o invólucro com o lacre ML-8842; o volume que atravessou tinha o lacre ML-8847 | Não dá para saber ainda</t>
        </is>
      </c>
      <c r="F2" s="8" t="inlineStr">
        <is>
          <t>Não: invólucro ML-8842; atravessou ML-8847</t>
        </is>
      </c>
      <c r="G2" s="8" t="inlineStr">
        <is>
          <t>idem</t>
        </is>
      </c>
      <c r="H2" s="8" t="inlineStr">
        <is>
          <t>idem</t>
        </is>
      </c>
      <c r="I2" s="8" t="inlineStr">
        <is>
          <t>Caixa Veterano (folhas da Mesa) e Operadora às 8h07; Motorista lê ML-8842 na via</t>
        </is>
      </c>
      <c r="J2" s="8" t="n">
        <v>1</v>
      </c>
      <c r="K2" s="8" t="inlineStr">
        <is>
          <t>rascunho</t>
        </is>
      </c>
    </row>
    <row r="3">
      <c r="A3" s="9" t="n">
        <v>1</v>
      </c>
      <c r="B3" s="9" t="inlineStr">
        <is>
          <t>secundária</t>
        </is>
      </c>
      <c r="C3" s="9" t="inlineStr">
        <is>
          <t>uma</t>
        </is>
      </c>
      <c r="D3" s="9" t="inlineStr">
        <is>
          <t>Quando o saco foi parar no chão do Arquivo?</t>
        </is>
      </c>
      <c r="E3" s="9" t="inlineStr">
        <is>
          <t>Antes das 7h46 | Depois das 7h46 | Na noite anterior</t>
        </is>
      </c>
      <c r="F3" s="9" t="inlineStr">
        <is>
          <t>Depois das 7h46</t>
        </is>
      </c>
      <c r="G3" s="9" t="inlineStr">
        <is>
          <t>idem</t>
        </is>
      </c>
      <c r="H3" s="9" t="inlineStr">
        <is>
          <t>idem</t>
        </is>
      </c>
      <c r="I3" s="9" t="inlineStr">
        <is>
          <t>Câmera 3 (Operadora): balde sai às 7h46; ilha seca sob a lona</t>
        </is>
      </c>
      <c r="J3" s="9" t="n">
        <v>1</v>
      </c>
      <c r="K3" s="9" t="inlineStr">
        <is>
          <t>rascunho</t>
        </is>
      </c>
    </row>
    <row r="4">
      <c r="A4" s="8" t="n">
        <v>1</v>
      </c>
      <c r="B4" s="8" t="inlineStr">
        <is>
          <t>secundária</t>
        </is>
      </c>
      <c r="C4" s="8" t="inlineStr">
        <is>
          <t>uma</t>
        </is>
      </c>
      <c r="D4" s="8" t="inlineStr">
        <is>
          <t>Como o volume passou pela Eclusa com o lacre ML-8847?</t>
        </is>
      </c>
      <c r="E4" s="8" t="inlineStr">
        <is>
          <t>O lacre foi trocado fisicamente na Eclusa | A troca já constava no sistema, sem nome, e foi conferida pela tela | A base mandou o lacre novo</t>
        </is>
      </c>
      <c r="F4" s="8" t="inlineStr">
        <is>
          <t>A troca constava no sistema, sem nome, e foi conferida pela tela</t>
        </is>
      </c>
      <c r="G4" s="8" t="inlineStr">
        <is>
          <t>idem</t>
        </is>
      </c>
      <c r="H4" s="8" t="inlineStr">
        <is>
          <t>idem</t>
        </is>
      </c>
      <c r="I4" s="8" t="inlineStr">
        <is>
          <t>Operadora às 8h07; Segurança do Veículo conferiu a tela (reforço)</t>
        </is>
      </c>
      <c r="J4" s="8" t="n">
        <v>1</v>
      </c>
      <c r="K4" s="8" t="inlineStr">
        <is>
          <t>rascunho</t>
        </is>
      </c>
    </row>
    <row r="5">
      <c r="A5" s="9" t="n">
        <v>2</v>
      </c>
      <c r="B5" s="9" t="inlineStr">
        <is>
          <t>principal</t>
        </is>
      </c>
      <c r="C5" s="9" t="inlineStr">
        <is>
          <t>uma</t>
        </is>
      </c>
      <c r="D5" s="9" t="inlineStr">
        <is>
          <t>De onde saiu a ordem que mandou o Segurança Interno à porta lateral?</t>
        </is>
      </c>
      <c r="E5" s="9" t="inlineStr">
        <is>
          <t>Da base da transportadora | Da porta lateral | De trás da divisória da Sala da Gerência | Da Central</t>
        </is>
      </c>
      <c r="F5" s="9" t="inlineStr">
        <is>
          <t>Da Sala da Gerência</t>
        </is>
      </c>
      <c r="G5" s="9" t="inlineStr">
        <is>
          <t>idem</t>
        </is>
      </c>
      <c r="H5" s="9" t="inlineStr">
        <is>
          <t>idem</t>
        </is>
      </c>
      <c r="I5" s="9" t="inlineStr">
        <is>
          <t>Operador de Rádio (a base não transmitiu); pulsar do estabilizador (Técnico)</t>
        </is>
      </c>
      <c r="J5" s="9" t="n">
        <v>1</v>
      </c>
      <c r="K5" s="9" t="inlineStr">
        <is>
          <t>rascunho</t>
        </is>
      </c>
    </row>
    <row r="6">
      <c r="A6" s="8" t="n">
        <v>2</v>
      </c>
      <c r="B6" s="8" t="inlineStr">
        <is>
          <t>secundária</t>
        </is>
      </c>
      <c r="C6" s="8" t="inlineStr">
        <is>
          <t>todos</t>
        </is>
      </c>
      <c r="D6" s="8" t="inlineStr">
        <is>
          <t>Quem tem cartão na faixa administrativa que pareou o rádio? (marque todos)</t>
        </is>
      </c>
      <c r="E6" s="8" t="inlineStr">
        <is>
          <t>Gerente | Subgerente | Caixa Veterano | Técnico | Operadora | Estagiária</t>
        </is>
      </c>
      <c r="F6" s="8" t="inlineStr">
        <is>
          <t>Gerente, Subgerente, Caixa Veterano, Técnico</t>
        </is>
      </c>
      <c r="G6" s="8" t="inlineStr">
        <is>
          <t>idem</t>
        </is>
      </c>
      <c r="H6" s="8" t="inlineStr">
        <is>
          <t>idem</t>
        </is>
      </c>
      <c r="I6" s="8" t="inlineStr">
        <is>
          <t>Histórico do rádio (proposta: lido pela Operadora na casa de 6); cartões no balcão</t>
        </is>
      </c>
      <c r="J6" s="8" t="n">
        <v>1</v>
      </c>
      <c r="K6" s="8" t="inlineStr">
        <is>
          <t>rascunho</t>
        </is>
      </c>
    </row>
    <row r="7">
      <c r="A7" s="9" t="n">
        <v>2</v>
      </c>
      <c r="B7" s="9" t="inlineStr">
        <is>
          <t>secundária</t>
        </is>
      </c>
      <c r="C7" s="9" t="inlineStr">
        <is>
          <t>uma</t>
        </is>
      </c>
      <c r="D7" s="9" t="inlineStr">
        <is>
          <t>De onde partiu o pedido de antecipação da coleta, às 6h52?</t>
        </is>
      </c>
      <c r="E7" s="9" t="inlineStr">
        <is>
          <t>Do celular de um funcionário | Do telefone da Sala da Gerência | Da Central | Da agência 0392</t>
        </is>
      </c>
      <c r="F7" s="9" t="inlineStr">
        <is>
          <t>Do telefone da Sala da Gerência, antes de qualquer crachá do dia</t>
        </is>
      </c>
      <c r="G7" s="9" t="inlineStr">
        <is>
          <t>idem</t>
        </is>
      </c>
      <c r="H7" s="9" t="inlineStr">
        <is>
          <t>idem</t>
        </is>
      </c>
      <c r="I7" s="9" t="inlineStr">
        <is>
          <t>Registro bruto da base (8h29); crachás (Operadora)</t>
        </is>
      </c>
      <c r="J7" s="9" t="n">
        <v>1</v>
      </c>
      <c r="K7" s="9" t="inlineStr">
        <is>
          <t>rascunho</t>
        </is>
      </c>
    </row>
    <row r="8">
      <c r="A8" s="8" t="n">
        <v>3</v>
      </c>
      <c r="B8" s="8" t="inlineStr">
        <is>
          <t>principal</t>
        </is>
      </c>
      <c r="C8" s="8" t="inlineStr">
        <is>
          <t>uma</t>
        </is>
      </c>
      <c r="D8" s="8" t="inlineStr">
        <is>
          <t>O volume que partiu às 8h50 tinha o valor declarado na guia?</t>
        </is>
      </c>
      <c r="E8" s="8" t="inlineStr">
        <is>
          <t>Não: faltava dinheiro | Sim: pesava 7,0 kg, o que a guia declara | Tinha papel no lugar das cédulas</t>
        </is>
      </c>
      <c r="F8" s="8" t="inlineStr">
        <is>
          <t>Sim: 7,0 kg, o que a guia declara</t>
        </is>
      </c>
      <c r="G8" s="8" t="inlineStr">
        <is>
          <t>idem</t>
        </is>
      </c>
      <c r="H8" s="8" t="inlineStr">
        <is>
          <t>idem</t>
        </is>
      </c>
      <c r="I8" s="8" t="inlineStr">
        <is>
          <t>Balança (Motorista) + composição (Caixa Veterano) + Transportador</t>
        </is>
      </c>
      <c r="J8" s="8" t="n">
        <v>2</v>
      </c>
      <c r="K8" s="8" t="inlineStr">
        <is>
          <t>rascunho</t>
        </is>
      </c>
    </row>
    <row r="9">
      <c r="A9" s="9" t="n">
        <v>3</v>
      </c>
      <c r="B9" s="9" t="inlineStr">
        <is>
          <t>secundária</t>
        </is>
      </c>
      <c r="C9" s="9" t="inlineStr">
        <is>
          <t>uma</t>
        </is>
      </c>
      <c r="D9" s="9" t="inlineStr">
        <is>
          <t>Quando a troca do lacre foi preparada?</t>
        </is>
      </c>
      <c r="E9" s="9" t="inlineStr">
        <is>
          <t>Às 7h53, quando a etiqueta saiu | Às 6h58, no terminal da Gerência, pela conta admin.local | Durante os 87 segundos</t>
        </is>
      </c>
      <c r="F9" s="9" t="inlineStr">
        <is>
          <t>Às 6h58, pela conta admin.local</t>
        </is>
      </c>
      <c r="G9" s="9" t="inlineStr">
        <is>
          <t>idem</t>
        </is>
      </c>
      <c r="H9" s="9" t="inlineStr">
        <is>
          <t>idem</t>
        </is>
      </c>
      <c r="I9" s="9" t="inlineStr">
        <is>
          <t>Fila da impressora (Operadora, 8h38)</t>
        </is>
      </c>
      <c r="J9" s="9" t="n">
        <v>2</v>
      </c>
      <c r="K9" s="9" t="inlineStr">
        <is>
          <t>rascunho</t>
        </is>
      </c>
    </row>
    <row r="10">
      <c r="A10" s="8" t="n">
        <v>3</v>
      </c>
      <c r="B10" s="8" t="inlineStr">
        <is>
          <t>secundária</t>
        </is>
      </c>
      <c r="C10" s="8" t="inlineStr">
        <is>
          <t>todos</t>
        </is>
      </c>
      <c r="D10" s="8" t="inlineStr">
        <is>
          <t>Quem ouviu a senha da conta admin.local numa pane? (marque todos)</t>
        </is>
      </c>
      <c r="E10" s="8" t="inlineStr">
        <is>
          <t>Gerente | Subgerente | Caixa Veterano | Técnico | Estagiária | Operadora</t>
        </is>
      </c>
      <c r="F10" s="8" t="inlineStr">
        <is>
          <t>Gerente, Subgerente, Caixa Veterano, Técnico, Estagiária</t>
        </is>
      </c>
      <c r="G10" s="8" t="inlineStr">
        <is>
          <t>idem</t>
        </is>
      </c>
      <c r="H10" s="8" t="inlineStr">
        <is>
          <t>idem</t>
        </is>
      </c>
      <c r="I10" s="8" t="inlineStr">
        <is>
          <t>Técnico</t>
        </is>
      </c>
      <c r="J10" s="8" t="n">
        <v>2</v>
      </c>
      <c r="K10" s="8" t="inlineStr">
        <is>
          <t>rascunho</t>
        </is>
      </c>
    </row>
    <row r="11">
      <c r="A11" s="9" t="n">
        <v>4</v>
      </c>
      <c r="B11" s="9" t="inlineStr">
        <is>
          <t>principal</t>
        </is>
      </c>
      <c r="C11" s="9" t="inlineStr">
        <is>
          <t>uma</t>
        </is>
      </c>
      <c r="D11" s="9" t="inlineStr">
        <is>
          <t>Por onde a troca cabe nos 87 segundos?</t>
        </is>
      </c>
      <c r="E11" s="9" t="inlineStr">
        <is>
          <t>Pelo Corredor Restrito, correndo | Pela Passagem de Serviço, entre a Gerência e o Rack | Pela porta lateral</t>
        </is>
      </c>
      <c r="F11" s="9" t="inlineStr">
        <is>
          <t>Pela Passagem de Serviço</t>
        </is>
      </c>
      <c r="G11" s="9" t="inlineStr">
        <is>
          <t>idem</t>
        </is>
      </c>
      <c r="H11" s="9" t="inlineStr">
        <is>
          <t>idem</t>
        </is>
      </c>
      <c r="I11" s="9" t="inlineStr">
        <is>
          <t>Simulação do Técnico (9h05); pegadas até o fundo do Rack (Auditora)</t>
        </is>
      </c>
      <c r="J11" s="9" t="n">
        <v>3</v>
      </c>
      <c r="K11" s="9" t="inlineStr">
        <is>
          <t>rascunho</t>
        </is>
      </c>
    </row>
    <row r="12">
      <c r="A12" s="8" t="n">
        <v>4</v>
      </c>
      <c r="B12" s="8" t="inlineStr">
        <is>
          <t>secundária</t>
        </is>
      </c>
      <c r="C12" s="8" t="inlineStr">
        <is>
          <t>uma</t>
        </is>
      </c>
      <c r="D12" s="8" t="inlineStr">
        <is>
          <t>Quando o cabo do Rack foi encostado no exaustor?</t>
        </is>
      </c>
      <c r="E12" s="8" t="inlineStr">
        <is>
          <t>Durante os 87 segundos | Durante o isolamento, depois das 8h03 | Na noite anterior</t>
        </is>
      </c>
      <c r="F12" s="8" t="inlineStr">
        <is>
          <t>Durante o isolamento</t>
        </is>
      </c>
      <c r="G12" s="8" t="inlineStr">
        <is>
          <t>idem</t>
        </is>
      </c>
      <c r="H12" s="8" t="inlineStr">
        <is>
          <t>idem</t>
        </is>
      </c>
      <c r="I12" s="8" t="inlineStr">
        <is>
          <t>Técnico: "Isso foi agora há pouco. Com a gente trancado aqui."</t>
        </is>
      </c>
      <c r="J12" s="8" t="n">
        <v>3</v>
      </c>
      <c r="K12" s="8" t="inlineStr">
        <is>
          <t>rascunho</t>
        </is>
      </c>
    </row>
    <row r="13">
      <c r="A13" s="9" t="n">
        <v>4</v>
      </c>
      <c r="B13" s="9" t="inlineStr">
        <is>
          <t>secundária</t>
        </is>
      </c>
      <c r="C13" s="9" t="inlineStr">
        <is>
          <t>uma</t>
        </is>
      </c>
      <c r="D13" s="9" t="inlineStr">
        <is>
          <t>O que o Caixa Novato ouviu do banheiro durante a janela?</t>
        </is>
      </c>
      <c r="E13" s="9" t="inlineStr">
        <is>
          <t>Nada | A parede raspar duas vezes | O Cofre bater</t>
        </is>
      </c>
      <c r="F13" s="9" t="inlineStr">
        <is>
          <t>A parede raspar duas vezes</t>
        </is>
      </c>
      <c r="G13" s="9" t="inlineStr">
        <is>
          <t>idem</t>
        </is>
      </c>
      <c r="H13" s="9" t="inlineStr">
        <is>
          <t>idem</t>
        </is>
      </c>
      <c r="I13" s="9" t="inlineStr">
        <is>
          <t>Caixa Novato (apoio)</t>
        </is>
      </c>
      <c r="J13" s="9" t="n">
        <v>3</v>
      </c>
      <c r="K13" s="9" t="inlineStr">
        <is>
          <t>rascunho</t>
        </is>
      </c>
    </row>
    <row r="14">
      <c r="A14" s="8" t="n">
        <v>5</v>
      </c>
      <c r="B14" s="8" t="inlineStr">
        <is>
          <t>principal</t>
        </is>
      </c>
      <c r="C14" s="8" t="inlineStr">
        <is>
          <t>uma</t>
        </is>
      </c>
      <c r="D14" s="8" t="inlineStr">
        <is>
          <t>Nos 87 segundos, o dinheiro saiu ou entrou?</t>
        </is>
      </c>
      <c r="E14" s="8" t="inlineStr">
        <is>
          <t>Saiu | Entrou | Nada mudou de lugar</t>
        </is>
      </c>
      <c r="F14" s="8" t="inlineStr">
        <is>
          <t>Entrou</t>
        </is>
      </c>
      <c r="G14" s="8" t="inlineStr">
        <is>
          <t>idem</t>
        </is>
      </c>
      <c r="H14" s="8" t="inlineStr">
        <is>
          <t>idem</t>
        </is>
      </c>
      <c r="I14" s="8" t="inlineStr">
        <is>
          <t>Contagem da base (9h31); duplicidade de R$ 96.000 no Cofre; caixa de 1998</t>
        </is>
      </c>
      <c r="J14" s="8" t="n">
        <v>3</v>
      </c>
      <c r="K14" s="8" t="inlineStr">
        <is>
          <t>rascunho</t>
        </is>
      </c>
    </row>
    <row r="15">
      <c r="A15" s="9" t="n">
        <v>5</v>
      </c>
      <c r="B15" s="9" t="inlineStr">
        <is>
          <t>secundária</t>
        </is>
      </c>
      <c r="C15" s="9" t="inlineStr">
        <is>
          <t>uma</t>
        </is>
      </c>
      <c r="D15" s="9" t="inlineStr">
        <is>
          <t>Onde o dinheiro esperou antes da janela?</t>
        </is>
      </c>
      <c r="E15" s="9" t="inlineStr">
        <is>
          <t>No Cofre | Na caixa de 1998 do Arquivo Morto | No carro-forte</t>
        </is>
      </c>
      <c r="F15" s="9" t="inlineStr">
        <is>
          <t>Na caixa de 1998</t>
        </is>
      </c>
      <c r="G15" s="9" t="inlineStr">
        <is>
          <t>idem</t>
        </is>
      </c>
      <c r="H15" s="9" t="inlineStr">
        <is>
          <t>idem</t>
        </is>
      </c>
      <c r="I15" s="9" t="inlineStr">
        <is>
          <t>Cinta de R$ 10.000 na caixa (Caixa Veterano)</t>
        </is>
      </c>
      <c r="J15" s="9" t="n">
        <v>3</v>
      </c>
      <c r="K15" s="9" t="inlineStr">
        <is>
          <t>rascunho</t>
        </is>
      </c>
    </row>
    <row r="16">
      <c r="A16" s="11" t="n">
        <v>5</v>
      </c>
      <c r="B16" s="11" t="inlineStr">
        <is>
          <t>secundária</t>
        </is>
      </c>
      <c r="C16" s="11" t="inlineStr">
        <is>
          <t>todos</t>
        </is>
      </c>
      <c r="D16" s="11" t="inlineStr">
        <is>
          <t>Quem tem chave da porta lateral? (marque todos)</t>
        </is>
      </c>
      <c r="E16" s="11" t="inlineStr">
        <is>
          <t>Gerente | Subgerente | Caixa Veterano | Funcionário da Limpeza | Técnico | Operadora</t>
        </is>
      </c>
      <c r="F16" s="11" t="inlineStr">
        <is>
          <t>Gerente, Subgerente, Caixa Veterano, Funcionário da Limpeza, Técnico</t>
        </is>
      </c>
      <c r="G16" s="11" t="inlineStr">
        <is>
          <t>idem</t>
        </is>
      </c>
      <c r="H16" s="11" t="inlineStr">
        <is>
          <t>idem</t>
        </is>
      </c>
      <c r="I16" s="11" t="inlineStr">
        <is>
          <t>Subgerente (lista da escala), Limpeza e Técnico — PENDÊNCIA na casa de 6</t>
        </is>
      </c>
      <c r="J16" s="11" t="n">
        <v>3</v>
      </c>
      <c r="K16" s="11" t="inlineStr">
        <is>
          <t>rascunho</t>
        </is>
      </c>
    </row>
    <row r="17">
      <c r="A17" s="9" t="n">
        <v>6</v>
      </c>
      <c r="B17" s="9" t="inlineStr">
        <is>
          <t>principal</t>
        </is>
      </c>
      <c r="C17" s="9" t="inlineStr">
        <is>
          <t>uma</t>
        </is>
      </c>
      <c r="D17" s="9" t="inlineStr">
        <is>
          <t>Onde estava o Técnico durante a janela?</t>
        </is>
      </c>
      <c r="E17" s="9" t="inlineStr">
        <is>
          <t>No Rack, olhando o conector | Na rua de trás, recebendo uma caixa de um motoboy | Na Central</t>
        </is>
      </c>
      <c r="F17" s="9" t="inlineStr">
        <is>
          <t>Na rua de trás, com o motoboy</t>
        </is>
      </c>
      <c r="G17" s="9" t="inlineStr">
        <is>
          <t>idem</t>
        </is>
      </c>
      <c r="H17" s="9" t="inlineStr">
        <is>
          <t>idem</t>
        </is>
      </c>
      <c r="I17" s="9" t="inlineStr">
        <is>
          <t>Segurança Interno + aplicativo de entregas (7h58:51); fotografias do Padeiro (reforço)</t>
        </is>
      </c>
      <c r="J17" s="9" t="n">
        <v>3</v>
      </c>
      <c r="K17" s="9" t="inlineStr">
        <is>
          <t>rascunho</t>
        </is>
      </c>
    </row>
    <row r="18">
      <c r="A18" s="8" t="n">
        <v>6</v>
      </c>
      <c r="B18" s="8" t="inlineStr">
        <is>
          <t>secundária</t>
        </is>
      </c>
      <c r="C18" s="8" t="inlineStr">
        <is>
          <t>uma</t>
        </is>
      </c>
      <c r="D18" s="8" t="inlineStr">
        <is>
          <t>Por que o saco estava no chão, e não no cesto?</t>
        </is>
      </c>
      <c r="E18" s="8" t="inlineStr">
        <is>
          <t>Quem fez a troca o largou ali | O Funcionário da Limpeza o tirou do cesto às 8h01 e o largou | O Caixa Novato o arrastou</t>
        </is>
      </c>
      <c r="F18" s="8" t="inlineStr">
        <is>
          <t>O Funcionário da Limpeza, às 8h01</t>
        </is>
      </c>
      <c r="G18" s="8" t="inlineStr">
        <is>
          <t>idem</t>
        </is>
      </c>
      <c r="H18" s="8" t="inlineStr">
        <is>
          <t>idem</t>
        </is>
      </c>
      <c r="I18" s="8" t="inlineStr">
        <is>
          <t>Imagem das 8h01 (Operadora); Limpeza confessa</t>
        </is>
      </c>
      <c r="J18" s="8" t="n">
        <v>3</v>
      </c>
      <c r="K18" s="8" t="inlineStr">
        <is>
          <t>rascunho</t>
        </is>
      </c>
    </row>
    <row r="19">
      <c r="A19" s="9" t="n">
        <v>6</v>
      </c>
      <c r="B19" s="9" t="inlineStr">
        <is>
          <t>secundária</t>
        </is>
      </c>
      <c r="C19" s="9" t="inlineStr">
        <is>
          <t>todos</t>
        </is>
      </c>
      <c r="D19" s="9" t="inlineStr">
        <is>
          <t>Quem assinou a consolidação de onze dias antes sem contagem física? (marque todos)</t>
        </is>
      </c>
      <c r="E19" s="9" t="inlineStr">
        <is>
          <t>Gerente | Subgerente | Caixa Veterano | Técnico</t>
        </is>
      </c>
      <c r="F19" s="9" t="inlineStr">
        <is>
          <t>Subgerente, Caixa Veterano</t>
        </is>
      </c>
      <c r="G19" s="9" t="inlineStr">
        <is>
          <t>idem</t>
        </is>
      </c>
      <c r="H19" s="9" t="inlineStr">
        <is>
          <t>idem</t>
        </is>
      </c>
      <c r="I19" s="9" t="inlineStr">
        <is>
          <t>ajuste_96 (19h20); confissão do Veterano</t>
        </is>
      </c>
      <c r="J19" s="9" t="n">
        <v>3</v>
      </c>
      <c r="K19" s="9" t="inlineStr">
        <is>
          <t>rascunho</t>
        </is>
      </c>
    </row>
    <row r="20">
      <c r="A20" s="12" t="n">
        <v>7</v>
      </c>
      <c r="B20" s="12" t="inlineStr">
        <is>
          <t>principal</t>
        </is>
      </c>
      <c r="C20" s="12" t="inlineStr">
        <is>
          <t>uma</t>
        </is>
      </c>
      <c r="D20" s="12" t="inlineStr">
        <is>
          <t>Qual das três chaves da tesouraria não estava onde disse durante a janela?</t>
        </is>
      </c>
      <c r="E20" s="12" t="inlineStr">
        <is>
          <t>Gerente | Subgerente | Caixa Veterano</t>
        </is>
      </c>
      <c r="F20" s="12" t="inlineStr">
        <is>
          <t>Subgerente</t>
        </is>
      </c>
      <c r="G20" s="12" t="inlineStr">
        <is>
          <t>Gerente</t>
        </is>
      </c>
      <c r="H20" s="12" t="inlineStr">
        <is>
          <t>Caixa Veterano</t>
        </is>
      </c>
      <c r="I20" s="12" t="inlineStr">
        <is>
          <t>A5: câmeras 2 e 1, ramal, Cliente do Cofre</t>
        </is>
      </c>
      <c r="J20" s="12" t="n">
        <v>4</v>
      </c>
      <c r="K20" s="12" t="inlineStr">
        <is>
          <t>rascunho</t>
        </is>
      </c>
    </row>
    <row r="21">
      <c r="A21" s="9" t="n">
        <v>7</v>
      </c>
      <c r="B21" s="9" t="inlineStr">
        <is>
          <t>secundária</t>
        </is>
      </c>
      <c r="C21" s="9" t="inlineStr">
        <is>
          <t>uma</t>
        </is>
      </c>
      <c r="D21" s="9" t="inlineStr">
        <is>
          <t>Quem encostou o cabo no exaustor às 8h31?</t>
        </is>
      </c>
      <c r="E21" s="9" t="inlineStr">
        <is>
          <t>Técnico | Gerente | Subgerente | Funcionário da Limpeza</t>
        </is>
      </c>
      <c r="F21" s="9" t="inlineStr">
        <is>
          <t>Gerente</t>
        </is>
      </c>
      <c r="G21" s="9" t="inlineStr">
        <is>
          <t>Gerente</t>
        </is>
      </c>
      <c r="H21" s="9" t="inlineStr">
        <is>
          <t>Gerente</t>
        </is>
      </c>
      <c r="I21" s="9" t="inlineStr">
        <is>
          <t>Câmera 1 (54 s atrás da divisória); o Gerente admite</t>
        </is>
      </c>
      <c r="J21" s="9" t="n">
        <v>4</v>
      </c>
      <c r="K21" s="9" t="inlineStr">
        <is>
          <t>rascunho</t>
        </is>
      </c>
    </row>
    <row r="22">
      <c r="A22" s="12" t="n">
        <v>7</v>
      </c>
      <c r="B22" s="12" t="inlineStr">
        <is>
          <t>secundária</t>
        </is>
      </c>
      <c r="C22" s="12" t="inlineStr">
        <is>
          <t>uma</t>
        </is>
      </c>
      <c r="D22" s="12" t="inlineStr">
        <is>
          <t>Quem assinou o malote 41 na véspera sem contar?</t>
        </is>
      </c>
      <c r="E22" s="12" t="inlineStr">
        <is>
          <t>Gerente | Subgerente | Caixa Veterano</t>
        </is>
      </c>
      <c r="F22" s="12" t="inlineStr">
        <is>
          <t>Caixa Veterano</t>
        </is>
      </c>
      <c r="G22" s="12" t="inlineStr">
        <is>
          <t>Subgerente</t>
        </is>
      </c>
      <c r="H22" s="12" t="inlineStr">
        <is>
          <t>Subgerente</t>
        </is>
      </c>
      <c r="I22" s="12" t="inlineStr">
        <is>
          <t>Livro de lacres (Operadora) (A2)</t>
        </is>
      </c>
      <c r="J22" s="12" t="n">
        <v>4</v>
      </c>
      <c r="K22" s="12" t="inlineStr">
        <is>
          <t>rascunho</t>
        </is>
      </c>
    </row>
    <row r="23">
      <c r="A23" s="12" t="n">
        <v>8</v>
      </c>
      <c r="B23" s="12" t="inlineStr">
        <is>
          <t>final ×3</t>
        </is>
      </c>
      <c r="C23" s="12" t="inlineStr">
        <is>
          <t>uma</t>
        </is>
      </c>
      <c r="D23" s="12" t="inlineStr">
        <is>
          <t>Quem é o impostor?</t>
        </is>
      </c>
      <c r="E23" s="12" t="inlineStr">
        <is>
          <t>Qualquer personagem da casa, menos o seu</t>
        </is>
      </c>
      <c r="F23" s="12" t="inlineStr">
        <is>
          <t>Subgerente</t>
        </is>
      </c>
      <c r="G23" s="12" t="inlineStr">
        <is>
          <t>Gerente</t>
        </is>
      </c>
      <c r="H23" s="12" t="inlineStr">
        <is>
          <t>Caixa Veterano</t>
        </is>
      </c>
      <c r="I23" s="12" t="inlineStr">
        <is>
          <t>Cap. 7 + revelação</t>
        </is>
      </c>
      <c r="J23" s="12" t="n">
        <v>5</v>
      </c>
      <c r="K23" s="12" t="inlineStr">
        <is>
          <t>rascunho</t>
        </is>
      </c>
    </row>
    <row r="24">
      <c r="A24" s="11" t="n">
        <v>8</v>
      </c>
      <c r="B24" s="11" t="inlineStr">
        <is>
          <t>final ×2</t>
        </is>
      </c>
      <c r="C24" s="11" t="inlineStr">
        <is>
          <t>uma</t>
        </is>
      </c>
      <c r="D24" s="11" t="inlineStr">
        <is>
          <t>Quem o ajudou, mesmo sem querer?</t>
        </is>
      </c>
      <c r="E24" s="11" t="inlineStr">
        <is>
          <t>Qualquer personagem da casa, menos o seu</t>
        </is>
      </c>
      <c r="F24" s="11" t="inlineStr">
        <is>
          <t>Caixa Veterano (assinou sem contar)</t>
        </is>
      </c>
      <c r="G24" s="11" t="inlineStr">
        <is>
          <t>Subgerente</t>
        </is>
      </c>
      <c r="H24" s="11" t="inlineStr">
        <is>
          <t>Subgerente</t>
        </is>
      </c>
      <c r="I24" s="11" t="inlineStr">
        <is>
          <t>Livro de lacres (A2) — PENDÊNCIA: ajudante fora da casa de 6 em G e V</t>
        </is>
      </c>
      <c r="J24" s="11" t="n">
        <v>5</v>
      </c>
      <c r="K24" s="11" t="inlineStr">
        <is>
          <t>rascunho</t>
        </is>
      </c>
    </row>
    <row r="25">
      <c r="A25" s="9" t="n">
        <v>8</v>
      </c>
      <c r="B25" s="9" t="inlineStr">
        <is>
          <t>final (mecanismo)</t>
        </is>
      </c>
      <c r="C25" s="9" t="inlineStr">
        <is>
          <t>uma</t>
        </is>
      </c>
      <c r="D25" s="9" t="inlineStr">
        <is>
          <t>O que foi feito com o malote 41 durante os 87 segundos?</t>
        </is>
      </c>
      <c r="E25" s="9" t="inlineStr">
        <is>
          <t>O dinheiro foi retirado e trocado por papel | O malote lacrado curto foi completado com R$ 96.000 num saco novo, com o lacre ML-8847 | O malote foi trocado por outro, vindo de fora</t>
        </is>
      </c>
      <c r="F25" s="9" t="inlineStr">
        <is>
          <t>Completado com R$ 96.000 num saco novo (ML-8847)</t>
        </is>
      </c>
      <c r="G25" s="9" t="inlineStr">
        <is>
          <t>idem</t>
        </is>
      </c>
      <c r="H25" s="9" t="inlineStr">
        <is>
          <t>idem</t>
        </is>
      </c>
      <c r="I25" s="9" t="inlineStr">
        <is>
          <t>Balança, contagem, caixa de 1998, troca de lacre às 6h58</t>
        </is>
      </c>
      <c r="J25" s="9" t="n">
        <v>5</v>
      </c>
      <c r="K25" s="9" t="inlineStr">
        <is>
          <t>rascunho</t>
        </is>
      </c>
    </row>
    <row r="26">
      <c r="A26" s="8" t="n">
        <v>8</v>
      </c>
      <c r="B26" s="8" t="inlineStr">
        <is>
          <t>final (intenção)</t>
        </is>
      </c>
      <c r="C26" s="8" t="inlineStr">
        <is>
          <t>uma</t>
        </is>
      </c>
      <c r="D26" s="8" t="inlineStr">
        <is>
          <t>Por que fez isso?</t>
        </is>
      </c>
      <c r="E26" s="8" t="inlineStr">
        <is>
          <t>Para roubar | Para cobrir em segredo os R$ 96.000 que só existiam no sistema, antes da auditoria | Para incriminar o Técnico</t>
        </is>
      </c>
      <c r="F26" s="8" t="inlineStr">
        <is>
          <t>Cobrir em segredo a duplicidade de R$ 96.000</t>
        </is>
      </c>
      <c r="G26" s="8" t="inlineStr">
        <is>
          <t>idem</t>
        </is>
      </c>
      <c r="H26" s="8" t="inlineStr">
        <is>
          <t>idem</t>
        </is>
      </c>
      <c r="I26" s="8" t="inlineStr">
        <is>
          <t>ajuste_96 ("própria"); saque na 0392; confissão (A9)</t>
        </is>
      </c>
      <c r="J26" s="8" t="n">
        <v>5</v>
      </c>
      <c r="K26" s="8" t="inlineStr">
        <is>
          <t>rascunho</t>
        </is>
      </c>
    </row>
  </sheetData>
  <autoFilter ref="A1:K2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60" customWidth="1" min="3" max="3"/>
    <col width="50" customWidth="1" min="4" max="4"/>
  </cols>
  <sheetData>
    <row r="1">
      <c r="A1" s="7" t="inlineStr">
        <is>
          <t>Cap.</t>
        </is>
      </c>
      <c r="B1" s="7" t="inlineStr">
        <is>
          <t>O que planta</t>
        </is>
      </c>
      <c r="C1" s="7" t="inlineStr">
        <is>
          <t>O que colhe</t>
        </is>
      </c>
      <c r="D1" s="7" t="inlineStr">
        <is>
          <t>Pista genuína × falsa</t>
        </is>
      </c>
    </row>
    <row r="2">
      <c r="A2" s="8" t="n">
        <v>0</v>
      </c>
      <c r="B2" s="8" t="inlineStr">
        <is>
          <t>a coleta antecipada sem nome; a figura das 6h28 e a farinha da porta de serviço; a venda das 6h31; a caixa de 1998 fora do lugar; a piscada das 7h43; o conector e a poeira riscada em arco no fundo do Rack; a mensagem "chego em quinze" no telefone do Técnico; o rádio fora do carregador e a respiração no canal; a pasta trocada; o vinco do malote visto na véspera.</t>
        </is>
      </c>
      <c r="C2" s="8" t="inlineStr">
        <is>
          <t>—</t>
        </is>
      </c>
      <c r="D2" s="8" t="inlineStr">
        <is>
          <t>—</t>
        </is>
      </c>
    </row>
    <row r="3">
      <c r="A3" s="9" t="n">
        <v>1</v>
      </c>
      <c r="B3" s="9" t="inlineStr">
        <is>
          <t>A diferença de lacres, o fragmento térmico, a pasta com chave e
senha, a tampa do cesto torta, a mentira da Limpeza</t>
        </is>
      </c>
      <c r="C3" s="9" t="inlineStr">
        <is>
          <t>O piso limpo das 7h46, a piscada da câmera, a coleta antecipada, o
vinco visto na véspera</t>
        </is>
      </c>
      <c r="D3" s="9" t="inlineStr">
        <is>
          <t>Genuína: a ilha seca sob o saco e a tampa torta do cesto. Falsa: a
pasta do Novato com chave e senha</t>
        </is>
      </c>
    </row>
    <row r="4">
      <c r="A4" s="8" t="n">
        <v>2</v>
      </c>
      <c r="B4" s="8" t="inlineStr">
        <is>
          <t>O homem de capa lá fora; a conversa omitida; o cartão do Técnico na
maleta; a fita microporosa A3</t>
        </is>
      </c>
      <c r="C4" s="8" t="inlineStr">
        <is>
          <t>O rádio fora do carregador; a respiração no canal; a coleta
antecipada; o gemido da impressora às 7h53</t>
        </is>
      </c>
      <c r="D4" s="8" t="inlineStr">
        <is>
          <t>Genuína: o pulsar do estabilizador e o horário dos crachás. Falsa: a
lasca lilás no botão</t>
        </is>
      </c>
    </row>
    <row r="5">
      <c r="A5" s="9" t="n">
        <v>3</v>
      </c>
      <c r="B5" s="9" t="inlineStr">
        <is>
          <t>A impressão fantasma “96.000”; o nome ajuste_96; o Técnico dizendo
que estava no Rack; o ciclo do exaustor; a origem remota das 8h35</t>
        </is>
      </c>
      <c r="C5" s="9" t="inlineStr">
        <is>
          <t>O fragmento térmico do lacre; a senha da pasta; a etiqueta das
8h35</t>
        </is>
      </c>
      <c r="D5" s="9" t="inlineStr">
        <is>
          <t>Genuína: a tarefa criada às 6h58 e o “96.000” fantasma. Falsa: o
roteador e os adaptadores da maleta</t>
        </is>
      </c>
    </row>
    <row r="6">
      <c r="A6" s="8" t="n">
        <v>4</v>
      </c>
      <c r="B6" s="8" t="inlineStr">
        <is>
          <t>A passagem; as declarações de onde cada um estava na janela A5 ; o guarda-chuva e a farinha da Auditora</t>
        </is>
      </c>
      <c r="C6" s="8" t="inlineStr">
        <is>
          <t>A poeira riscada em arco do prólogo; os tempos do mapa; a chave
17-B</t>
        </is>
      </c>
      <c r="D6" s="8" t="inlineStr">
        <is>
          <t>Genuína: as pegadas que terminam no fundo do Rack; o raspar ouvido
no banheiro. Falsa: a farinha no guarda-chuva da Auditora</t>
        </is>
      </c>
    </row>
    <row r="7">
      <c r="A7" s="9" t="n">
        <v>5</v>
      </c>
      <c r="B7" s="9" t="inlineStr">
        <is>
          <t>O saque agendado; a cinta rasgada; a motivação aparente do
Técnico</t>
        </is>
      </c>
      <c r="C7" s="9" t="inlineStr">
        <is>
          <t>A mensagem “quem abriu antes”; o “96.000” fantasma; as pegadas; o
raspar da parede; a figura das 6h28</t>
        </is>
      </c>
      <c r="D7" s="9" t="inlineStr">
        <is>
          <t>Genuína: o sensor da porta lateral e a cinta rasgada. Falsa: a
atualização do Técnico como prova de autoria</t>
        </is>
      </c>
    </row>
    <row r="8">
      <c r="A8" s="8" t="n">
        <v>6</v>
      </c>
      <c r="B8" s="8" t="inlineStr">
        <is>
          <t>A luva tamanho G com sangue; a pergunta sobre o cabo queimado</t>
        </is>
      </c>
      <c r="C8" s="8" t="inlineStr">
        <is>
          <t>O “96.000” fantasma; a frase omitida; o homem de capa do Cap. 2; a
mensagem “chego em quinze” do prólogo</t>
        </is>
      </c>
      <c r="D8" s="8" t="inlineStr">
        <is>
          <t>Genuína: a luva rasgada com sangue. Falsa: a fita isolante do
Técnico</t>
        </is>
      </c>
    </row>
    <row r="9">
      <c r="A9" s="9" t="n">
        <v>7</v>
      </c>
      <c r="B9" s="9" t="inlineStr">
        <is>
          <t>A distinção entre falha, encobrimento e autoria; a presença de quem
vê de longe</t>
        </is>
      </c>
      <c r="C9" s="9" t="inlineStr">
        <is>
          <t>Todos os segredos inocentes; a passagem; a luva; a farinha; a fita;
o suprimento à 0392</t>
        </is>
      </c>
      <c r="D9" s="9" t="inlineStr">
        <is>
          <t>Genuína: o checksum e o titular do saque. Falsa, desfeita: a farinha
da Auditora</t>
        </is>
      </c>
    </row>
  </sheetData>
  <autoFilter ref="A1:D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6" customWidth="1" min="1" max="1"/>
    <col width="110" customWidth="1" min="2" max="2"/>
    <col width="22" customWidth="1" min="3" max="3"/>
    <col width="26" customWidth="1" min="4" max="4"/>
    <col width="10" customWidth="1" min="5" max="5"/>
  </cols>
  <sheetData>
    <row r="1">
      <c r="A1" s="7" t="inlineStr">
        <is>
          <t>Cap.</t>
        </is>
      </c>
      <c r="B1" s="7" t="inlineStr">
        <is>
          <t>Matéria para a peça (da história)</t>
        </is>
      </c>
      <c r="C1" s="7" t="inlineStr">
        <is>
          <t>Gesto novo ensinado</t>
        </is>
      </c>
      <c r="D1" s="7" t="inlineStr">
        <is>
          <t>Saída se o jogador não agir</t>
        </is>
      </c>
      <c r="E1" s="7" t="inlineStr">
        <is>
          <t>Status</t>
        </is>
      </c>
    </row>
    <row r="2">
      <c r="A2" s="8" t="n">
        <v>0</v>
      </c>
      <c r="B2" s="8" t="inlineStr">
        <is>
          <t>a maquete da agência nasce da planta de evacuação que a Auditora recebe; todos os lugares do glossário aparecem no texto do prólogo antes dela (o Banheiro dos Funcionários e o Nicho do Rack inclusive), exceto a Passagem de Serviço, que fica oculta até o Cap. 4. Plantação nova: a denúncia sem assinatura, colhida no epílogo; a fita larga do kit no dedo do Novato, colhida no Cap. 7.</t>
        </is>
      </c>
      <c r="C2" s="8" t="inlineStr"/>
      <c r="D2" s="8" t="inlineStr"/>
      <c r="E2" s="8" t="inlineStr">
        <is>
          <t>a definir</t>
        </is>
      </c>
    </row>
    <row r="3">
      <c r="A3" s="9" t="n">
        <v>1</v>
      </c>
      <c r="B3" s="9" t="inlineStr">
        <is>
          <t>o malote murcho, com o vinco diagonal, o lacre ML-8842 rompido pela grapa, o fragmento térmico branco na cola e a área seca sob o saco. Dados que a peça pode mostrar neste capítulo: ML-8842 no saco do chão; ML-8847 no malote que atravessou às 8h00; o fragmento térmico. O horário do lacre (véspera, 15h50) só entra no Cap. 7, e o registro das 6h58 só no Cap. 3. A peça separa invólucro, lacre e conteúdo, sem concluir subtração.</t>
        </is>
      </c>
      <c r="C3" s="9" t="inlineStr"/>
      <c r="D3" s="9" t="inlineStr"/>
      <c r="E3" s="9" t="inlineStr">
        <is>
          <t>a definir</t>
        </is>
      </c>
    </row>
    <row r="4">
      <c r="A4" s="8" t="n">
        <v>2</v>
      </c>
      <c r="B4" s="8" t="inlineStr">
        <is>
          <t>o rádio reserva, o cartão de proximidade, o registro de pareamento com os dois últimos dígitos corrompidos, a transcrição da ordem e o espectro com o pulsar do estabilizador (três rápidos, um lento). Mostra origem interna e faixa administrativa, não quem operou.</t>
        </is>
      </c>
      <c r="C4" s="8" t="inlineStr"/>
      <c r="D4" s="8" t="inlineStr"/>
      <c r="E4" s="8" t="inlineStr">
        <is>
          <t>a definir</t>
        </is>
      </c>
    </row>
    <row r="5">
      <c r="A5" s="9" t="n">
        <v>3</v>
      </c>
      <c r="B5" s="9" t="inlineStr">
        <is>
          <t>a impressora sobre o aparador, o rolo, as etiquetas ML-8842 e ML-8847, o fragmento térmico do lacre e a impressão fantasma "96.000" no verso. Dados: tarefa criada às 6h58 (admin.local, terminal da Gerência), executada às 7h53; reimpressão às 8h35 por "acesso remoto de suporte". A peça prova preparo, não autoria.</t>
        </is>
      </c>
      <c r="C5" s="9" t="inlineStr"/>
      <c r="D5" s="9" t="inlineStr"/>
      <c r="E5" s="9" t="inlineStr">
        <is>
          <t>a definir</t>
        </is>
      </c>
    </row>
    <row r="6">
      <c r="A6" s="8" t="n">
        <v>4</v>
      </c>
      <c r="B6" s="8" t="inlineStr">
        <is>
          <t>o armário de vestígios com a planta do corredor, os tempos, o molde das pegadas, o cabo derretido e o painel da passagem. Dados: rota pelo corredor, cerca de 98 s; rota pela passagem, 69 s de exposição. Mostra oportunidade e incompatibilidades; nunca nomeia.</t>
        </is>
      </c>
      <c r="C6" s="8" t="inlineStr"/>
      <c r="D6" s="8" t="inlineStr"/>
      <c r="E6" s="8" t="inlineStr">
        <is>
          <t>a definir</t>
        </is>
      </c>
    </row>
    <row r="7">
      <c r="A7" s="9" t="n">
        <v>5</v>
      </c>
      <c r="B7" s="9" t="inlineStr">
        <is>
          <t>a balança de custódia, com o registro de 7,0 kg e a composição declarada (41 × R\$ 100, 12 × R\$ 50, 5 × R\$ 20; 5.800 cédulas; 1 g por cédula; saco 1,2 kg). Cartões: R\$ 384.000 (5,8 kg) e R\$ 480.000 (7,0 kg). Prova que o malote saiu completo, não quem o completou.</t>
        </is>
      </c>
      <c r="C7" s="9" t="inlineStr"/>
      <c r="D7" s="9" t="inlineStr"/>
      <c r="E7" s="9" t="inlineStr">
        <is>
          <t>a definir</t>
        </is>
      </c>
    </row>
    <row r="8">
      <c r="A8" s="8" t="n">
        <v>6</v>
      </c>
      <c r="B8" s="8" t="inlineStr">
        <is>
          <t>a linha do tempo da noite de onze dias antes, montada sobre o balcão do Guichê 2: o jogador ordena por arraste os cartões do depósito (18h54), da saída (19h00), da trava (19h03), do reprocessamento (19h11) e da assinatura (19h20), e liga cada falha à sua consequência. Ao fechar a sequência, libera a folha ajuste_96. Mecânica nova (ordenar e encadear), diferente da sobreposição do Cap. 3. Prova a origem da duplicidade e o plano de cobertura, não o autor.</t>
        </is>
      </c>
      <c r="C8" s="8" t="inlineStr"/>
      <c r="D8" s="8" t="inlineStr"/>
      <c r="E8" s="8" t="inlineStr">
        <is>
          <t>a definir</t>
        </is>
      </c>
    </row>
    <row r="9">
      <c r="A9" s="9" t="n">
        <v>7</v>
      </c>
      <c r="B9" s="9" t="inlineStr">
        <is>
          <t>a escrivaninha das quinze versões, com gavetas por função; cada gaveta guarda só o que aquela posição podia saber. Separa fato observado, conclusão pessoal e segredo periférico, sem escolher o impostor pelo jogador.</t>
        </is>
      </c>
      <c r="C9" s="9" t="inlineStr"/>
      <c r="D9" s="9" t="inlineStr"/>
      <c r="E9" s="9" t="inlineStr">
        <is>
          <t>a definir</t>
        </is>
      </c>
    </row>
    <row r="10">
      <c r="A10" s="8" t="n">
        <v>8</v>
      </c>
      <c r="B10" s="8" t="inlineStr">
        <is>
          <t>a mesa final de reconstrução reúne, como cartões já validados, o mapa, o saco ML-8842, o rádio, as etiquetas, a fotografia do conector, a balança, o livro-caixa, a cinta, a luva, o registro do saque e as quinze versões. Três trilhas: o ato, as condições que o permitiram e os atos posteriores. Cada conclusão decisiva exige evidência material e confirmação independente.</t>
        </is>
      </c>
      <c r="C10" s="8" t="inlineStr"/>
      <c r="D10" s="8" t="inlineStr"/>
      <c r="E10" s="8" t="inlineStr">
        <is>
          <t>a definir</t>
        </is>
      </c>
    </row>
  </sheetData>
  <autoFilter ref="A1:E1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1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c0-001</t>
        </is>
      </c>
      <c r="B2" s="8" t="inlineStr">
        <is>
          <t>~7h47</t>
        </is>
      </c>
      <c r="C2" s="8" t="inlineStr">
        <is>
          <t>O Motorista</t>
        </is>
      </c>
      <c r="D2" s="8" t="inlineStr">
        <is>
          <t>operador_radio</t>
        </is>
      </c>
      <c r="E2" s="8" t="inlineStr">
        <is>
          <t>rádio</t>
        </is>
      </c>
      <c r="F2" s="8" t="inlineStr">
        <is>
          <t>direta</t>
        </is>
      </c>
      <c r="G2" s="8" t="inlineStr">
        <is>
          <t>Base, confirme a antecipação.</t>
        </is>
      </c>
      <c r="H2" s="8" t="inlineStr">
        <is>
          <t>prova</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is>
          <t>Atribuição inferida: o texto não diz se é o Motorista ou o Segurança do Veículo (ambos no painel).</t>
        </is>
      </c>
    </row>
    <row r="3">
      <c r="A3" s="9" t="inlineStr">
        <is>
          <t>c0-002</t>
        </is>
      </c>
      <c r="B3" s="9" t="inlineStr">
        <is>
          <t>~7h47</t>
        </is>
      </c>
      <c r="C3" s="9" t="inlineStr">
        <is>
          <t>O Operador de Rádio</t>
        </is>
      </c>
      <c r="D3" s="9" t="inlineStr">
        <is>
          <t>motorista</t>
        </is>
      </c>
      <c r="E3" s="9" t="inlineStr">
        <is>
          <t>rádio</t>
        </is>
      </c>
      <c r="F3" s="9" t="inlineStr">
        <is>
          <t>direta</t>
        </is>
      </c>
      <c r="G3" s="9" t="inlineStr">
        <is>
          <t>Confirmada no sistema. Pedido às seis e cinquenta e dois, código de tesouraria válido.</t>
        </is>
      </c>
      <c r="H3" s="9" t="inlineStr">
        <is>
          <t>prova</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is>
          <t>Plantação da antecipação das 6h52 (colhida no Cap. 2). Operador de Rádio é do bloco 'completa': na casa 6 precisa de canal substituto (registro/prancheta do Motorista).</t>
        </is>
      </c>
    </row>
    <row r="4">
      <c r="A4" s="8" t="inlineStr">
        <is>
          <t>c0-003</t>
        </is>
      </c>
      <c r="B4" s="8" t="inlineStr">
        <is>
          <t>~7h47</t>
        </is>
      </c>
      <c r="C4" s="8" t="inlineStr">
        <is>
          <t>O Motorista</t>
        </is>
      </c>
      <c r="D4" s="8" t="inlineStr">
        <is>
          <t>operador_radio</t>
        </is>
      </c>
      <c r="E4" s="8" t="inlineStr">
        <is>
          <t>rádio</t>
        </is>
      </c>
      <c r="F4" s="8" t="inlineStr">
        <is>
          <t>direta</t>
        </is>
      </c>
      <c r="G4" s="8" t="inlineStr">
        <is>
          <t>Quem pediu?</t>
        </is>
      </c>
      <c r="H4" s="8" t="inlineStr">
        <is>
          <t>prova</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is>
          <t>Atribuição inferida, como c0-001.</t>
        </is>
      </c>
    </row>
    <row r="5">
      <c r="A5" s="9" t="inlineStr">
        <is>
          <t>c0-004</t>
        </is>
      </c>
      <c r="B5" s="9" t="inlineStr">
        <is>
          <t>~7h47</t>
        </is>
      </c>
      <c r="C5" s="9" t="inlineStr">
        <is>
          <t>O Operador de Rádio</t>
        </is>
      </c>
      <c r="D5" s="9" t="inlineStr">
        <is>
          <t>motorista</t>
        </is>
      </c>
      <c r="E5" s="9" t="inlineStr">
        <is>
          <t>rádio</t>
        </is>
      </c>
      <c r="F5" s="9" t="inlineStr">
        <is>
          <t>direta</t>
        </is>
      </c>
      <c r="G5" s="9" t="inlineStr">
        <is>
          <t>O campo veio sem nome.</t>
        </is>
      </c>
      <c r="H5" s="9" t="inlineStr">
        <is>
          <t>prova</t>
        </is>
      </c>
      <c r="I5" s="9" t="inlineStr"/>
      <c r="J5" s="9" t="inlineStr"/>
      <c r="K5" s="9" t="inlineStr"/>
      <c r="L5" s="9" t="inlineStr">
        <is>
          <t>toda casa</t>
        </is>
      </c>
      <c r="M5" s="9" t="inlineStr">
        <is>
          <t>não</t>
        </is>
      </c>
      <c r="N5" s="9" t="inlineStr"/>
      <c r="O5" s="9" t="inlineStr"/>
      <c r="P5" s="9" t="inlineStr"/>
      <c r="Q5" s="9" t="inlineStr"/>
      <c r="R5" s="9" t="inlineStr"/>
      <c r="S5" s="9" t="inlineStr"/>
      <c r="T5" s="9" t="inlineStr">
        <is>
          <t>Coleta antecipada sem nome. Mesma ressalva de casa 6 de c0-002.</t>
        </is>
      </c>
    </row>
    <row r="6">
      <c r="A6" s="8" t="inlineStr">
        <is>
          <t>c0-005</t>
        </is>
      </c>
      <c r="B6" s="8" t="inlineStr">
        <is>
          <t>~7h48</t>
        </is>
      </c>
      <c r="C6" s="8" t="inlineStr">
        <is>
          <t>O Gerente</t>
        </is>
      </c>
      <c r="D6" s="8" t="inlineStr">
        <is>
          <t>auditora</t>
        </is>
      </c>
      <c r="E6" s="8" t="inlineStr">
        <is>
          <t>presencial</t>
        </is>
      </c>
      <c r="F6" s="8" t="inlineStr">
        <is>
          <t>direta</t>
        </is>
      </c>
      <c r="G6" s="8" t="inlineStr">
        <is>
          <t>Que surpresa.</t>
        </is>
      </c>
      <c r="H6" s="8" t="inlineStr">
        <is>
          <t>ambiente</t>
        </is>
      </c>
      <c r="I6" s="8" t="inlineStr"/>
      <c r="J6" s="8" t="inlineStr"/>
      <c r="K6" s="8" t="inlineStr"/>
      <c r="L6" s="8" t="inlineStr">
        <is>
          <t>toda casa</t>
        </is>
      </c>
      <c r="M6" s="8" t="inlineStr">
        <is>
          <t>não</t>
        </is>
      </c>
      <c r="N6" s="8" t="inlineStr"/>
      <c r="O6" s="8" t="inlineStr"/>
      <c r="P6" s="8" t="inlineStr"/>
      <c r="Q6" s="8" t="inlineStr"/>
      <c r="R6" s="8" t="inlineStr"/>
      <c r="S6" s="8" t="inlineStr"/>
      <c r="T6" s="8" t="inlineStr"/>
    </row>
    <row r="7">
      <c r="A7" s="9" t="inlineStr">
        <is>
          <t>c0-006</t>
        </is>
      </c>
      <c r="B7" s="9" t="inlineStr">
        <is>
          <t>~7h48</t>
        </is>
      </c>
      <c r="C7" s="9" t="inlineStr">
        <is>
          <t>A Auditora</t>
        </is>
      </c>
      <c r="D7" s="9" t="inlineStr">
        <is>
          <t>gerente</t>
        </is>
      </c>
      <c r="E7" s="9" t="inlineStr">
        <is>
          <t>presencial</t>
        </is>
      </c>
      <c r="F7" s="9" t="inlineStr">
        <is>
          <t>direta</t>
        </is>
      </c>
      <c r="G7" s="9" t="inlineStr">
        <is>
          <t>Auditoria costuma funcionar melhor assim.</t>
        </is>
      </c>
      <c r="H7" s="9" t="inlineStr">
        <is>
          <t>ambiente</t>
        </is>
      </c>
      <c r="I7" s="9" t="inlineStr"/>
      <c r="J7" s="9" t="inlineStr"/>
      <c r="K7" s="9" t="inlineStr"/>
      <c r="L7" s="9" t="inlineStr">
        <is>
          <t>toda casa</t>
        </is>
      </c>
      <c r="M7" s="9" t="inlineStr">
        <is>
          <t>não</t>
        </is>
      </c>
      <c r="N7" s="9" t="inlineStr"/>
      <c r="O7" s="9" t="inlineStr"/>
      <c r="P7" s="9" t="inlineStr"/>
      <c r="Q7" s="9" t="inlineStr"/>
      <c r="R7" s="9" t="inlineStr"/>
      <c r="S7" s="9" t="inlineStr"/>
      <c r="T7" s="9" t="inlineStr"/>
    </row>
    <row r="8">
      <c r="A8" s="8" t="inlineStr">
        <is>
          <t>c0-007</t>
        </is>
      </c>
      <c r="B8" s="8" t="inlineStr">
        <is>
          <t>~7h48</t>
        </is>
      </c>
      <c r="C8" s="8" t="inlineStr">
        <is>
          <t>O Gerente</t>
        </is>
      </c>
      <c r="D8" s="8" t="inlineStr">
        <is>
          <t>auditora</t>
        </is>
      </c>
      <c r="E8" s="8" t="inlineStr">
        <is>
          <t>presencial</t>
        </is>
      </c>
      <c r="F8" s="8" t="inlineStr">
        <is>
          <t>direta</t>
        </is>
      </c>
      <c r="G8" s="8" t="inlineStr">
        <is>
          <t>Quem pediu?</t>
        </is>
      </c>
      <c r="H8" s="8" t="inlineStr">
        <is>
          <t>ambiente</t>
        </is>
      </c>
      <c r="I8" s="8" t="inlineStr"/>
      <c r="J8" s="8" t="inlineStr"/>
      <c r="K8" s="8" t="inlineStr"/>
      <c r="L8" s="8" t="inlineStr">
        <is>
          <t>toda casa</t>
        </is>
      </c>
      <c r="M8" s="8" t="inlineStr">
        <is>
          <t>não</t>
        </is>
      </c>
      <c r="N8" s="8" t="inlineStr"/>
      <c r="O8" s="8" t="inlineStr"/>
      <c r="P8" s="8" t="inlineStr"/>
      <c r="Q8" s="8" t="inlineStr"/>
      <c r="R8" s="8" t="inlineStr"/>
      <c r="S8" s="8" t="inlineStr"/>
      <c r="T8" s="8" t="inlineStr"/>
    </row>
    <row r="9">
      <c r="A9" s="9" t="inlineStr">
        <is>
          <t>c0-008</t>
        </is>
      </c>
      <c r="B9" s="9" t="inlineStr">
        <is>
          <t>~7h48</t>
        </is>
      </c>
      <c r="C9" s="9" t="inlineStr">
        <is>
          <t>A Auditora</t>
        </is>
      </c>
      <c r="D9" s="9" t="inlineStr">
        <is>
          <t>gerente</t>
        </is>
      </c>
      <c r="E9" s="9" t="inlineStr">
        <is>
          <t>presencial</t>
        </is>
      </c>
      <c r="F9" s="9" t="inlineStr">
        <is>
          <t>direta</t>
        </is>
      </c>
      <c r="G9" s="9" t="inlineStr">
        <is>
          <t>Uma denúncia sem assinatura.</t>
        </is>
      </c>
      <c r="H9" s="9" t="inlineStr">
        <is>
          <t>subtrama</t>
        </is>
      </c>
      <c r="I9" s="9" t="inlineStr"/>
      <c r="J9" s="9" t="inlineStr"/>
      <c r="K9" s="9" t="inlineStr"/>
      <c r="L9" s="9" t="inlineStr">
        <is>
          <t>toda casa</t>
        </is>
      </c>
      <c r="M9" s="9" t="inlineStr">
        <is>
          <t>não</t>
        </is>
      </c>
      <c r="N9" s="9" t="inlineStr"/>
      <c r="O9" s="9" t="inlineStr"/>
      <c r="P9" s="9" t="inlineStr"/>
      <c r="Q9" s="9" t="inlineStr"/>
      <c r="R9" s="9" t="inlineStr"/>
      <c r="S9" s="9" t="inlineStr"/>
      <c r="T9" s="9" t="inlineStr">
        <is>
          <t>Plantação da denúncia anônima (colhida no epílogo; autor = Monitor Remoto).</t>
        </is>
      </c>
    </row>
    <row r="10">
      <c r="A10" s="8" t="inlineStr">
        <is>
          <t>c0-009</t>
        </is>
      </c>
      <c r="B10" s="8" t="inlineStr">
        <is>
          <t>madrugada</t>
        </is>
      </c>
      <c r="C10" s="8" t="inlineStr">
        <is>
          <t>O Caixa Novato</t>
        </is>
      </c>
      <c r="D10" s="8" t="inlineStr">
        <is>
          <t>farmaceutica</t>
        </is>
      </c>
      <c r="E10" s="8" t="inlineStr">
        <is>
          <t>telefone</t>
        </is>
      </c>
      <c r="F10" s="8" t="inlineStr">
        <is>
          <t>indireta</t>
        </is>
      </c>
      <c r="G10" s="8" t="inlineStr">
        <is>
          <t>Meu coração não cabe no peito.</t>
        </is>
      </c>
      <c r="H10" s="8" t="inlineStr">
        <is>
          <t>subtrama</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is>
          <t>Telefonema relatado (crise do Novato). Novato é apoio, mas a destinatária é do bloco 3: sem a Farmacêutica, a ligação perde o par.</t>
        </is>
      </c>
    </row>
    <row r="11">
      <c r="A11" s="9" t="inlineStr">
        <is>
          <t>c0-010</t>
        </is>
      </c>
      <c r="B11" s="9" t="inlineStr">
        <is>
          <t>véspera ~19h12</t>
        </is>
      </c>
      <c r="C11" s="9" t="inlineStr">
        <is>
          <t>O Gerente</t>
        </is>
      </c>
      <c r="D11" s="9" t="inlineStr">
        <is>
          <t>subgerente</t>
        </is>
      </c>
      <c r="E11" s="9" t="inlineStr">
        <is>
          <t>presencial</t>
        </is>
      </c>
      <c r="F11" s="9" t="inlineStr">
        <is>
          <t>direta</t>
        </is>
      </c>
      <c r="G11" s="9" t="inlineStr">
        <is>
          <t>Se isso aparecer amanhã, não cai só você.</t>
        </is>
      </c>
      <c r="H11" s="9" t="inlineStr">
        <is>
          <t>subtrama</t>
        </is>
      </c>
      <c r="I11" s="9" t="inlineStr"/>
      <c r="J11" s="9" t="inlineStr"/>
      <c r="K11" s="9" t="inlineStr"/>
      <c r="L11" s="9" t="inlineStr">
        <is>
          <t>toda casa</t>
        </is>
      </c>
      <c r="M11" s="9" t="inlineStr">
        <is>
          <t>não</t>
        </is>
      </c>
      <c r="N11" s="9" t="inlineStr"/>
      <c r="O11" s="9" t="inlineStr"/>
      <c r="P11" s="9" t="inlineStr"/>
      <c r="Q11" s="9" t="inlineStr"/>
      <c r="R11" s="9" t="inlineStr"/>
      <c r="S11" s="9" t="inlineStr"/>
      <c r="T11" s="9" t="inlineStr">
        <is>
          <t>Discussão entreouvida pela Operadora (lembrança). O texto não atribui qual frase é de quem; atribuição ao Gerente é inferida.</t>
        </is>
      </c>
    </row>
    <row r="12">
      <c r="A12" s="8" t="inlineStr">
        <is>
          <t>c0-011</t>
        </is>
      </c>
      <c r="B12" s="8" t="inlineStr">
        <is>
          <t>véspera ~19h12</t>
        </is>
      </c>
      <c r="C12" s="8" t="inlineStr">
        <is>
          <t>O Subgerente</t>
        </is>
      </c>
      <c r="D12" s="8" t="inlineStr">
        <is>
          <t>gerente</t>
        </is>
      </c>
      <c r="E12" s="8" t="inlineStr">
        <is>
          <t>presencial</t>
        </is>
      </c>
      <c r="F12" s="8" t="inlineStr">
        <is>
          <t>direta</t>
        </is>
      </c>
      <c r="G12" s="8" t="inlineStr">
        <is>
          <t>Eu resolvo antes de abrir.</t>
        </is>
      </c>
      <c r="H12" s="8" t="inlineStr">
        <is>
          <t>subtrama</t>
        </is>
      </c>
      <c r="I12" s="8" t="inlineStr"/>
      <c r="J12" s="8" t="inlineStr"/>
      <c r="K12" s="8" t="inlineStr"/>
      <c r="L12" s="8" t="inlineStr">
        <is>
          <t>casa ≥ 8</t>
        </is>
      </c>
      <c r="M12" s="8" t="inlineStr">
        <is>
          <t>sim</t>
        </is>
      </c>
      <c r="N12" s="8" t="inlineStr"/>
      <c r="O12" s="8" t="inlineStr"/>
      <c r="P12" s="8" t="inlineStr"/>
      <c r="Q12" s="8" t="inlineStr"/>
      <c r="R12" s="8" t="inlineStr"/>
      <c r="S12" s="8" t="inlineStr"/>
      <c r="T12" s="8" t="inlineStr">
        <is>
          <t>Atribuição inferida (voz do Subgerente: oferece solução). Nas casas sem Subgerente a fala sai, mas a discussão Gerente×Subgerente é fato fixo: decidir se fica como lembrança da Operadora.</t>
        </is>
      </c>
    </row>
    <row r="13">
      <c r="A13" s="9" t="inlineStr">
        <is>
          <t>c0-012</t>
        </is>
      </c>
      <c r="B13" s="9" t="inlineStr">
        <is>
          <t>~7h45</t>
        </is>
      </c>
      <c r="C13" s="9" t="inlineStr">
        <is>
          <t>Registro / sistema</t>
        </is>
      </c>
      <c r="D13" s="9" t="inlineStr">
        <is>
          <t>tecnico</t>
        </is>
      </c>
      <c r="E13" s="9" t="inlineStr">
        <is>
          <t>telefone</t>
        </is>
      </c>
      <c r="F13" s="9" t="inlineStr">
        <is>
          <t>direta</t>
        </is>
      </c>
      <c r="G13" s="9" t="inlineStr">
        <is>
          <t>chego em quinze</t>
        </is>
      </c>
      <c r="H13" s="9" t="inlineStr">
        <is>
          <t>subtrama</t>
        </is>
      </c>
      <c r="I13" s="9" t="inlineStr">
        <is>
          <t>O Técnico estava fora</t>
        </is>
      </c>
      <c r="J13" s="9" t="inlineStr"/>
      <c r="K13" s="9" t="inlineStr"/>
      <c r="L13" s="9" t="inlineStr">
        <is>
          <t>toda casa</t>
        </is>
      </c>
      <c r="M13" s="9" t="inlineStr">
        <is>
          <t>não</t>
        </is>
      </c>
      <c r="N13" s="9" t="inlineStr"/>
      <c r="O13" s="9" t="inlineStr"/>
      <c r="P13" s="9" t="inlineStr"/>
      <c r="Q13" s="9" t="inlineStr"/>
      <c r="R13" s="9" t="inlineStr"/>
      <c r="S13" s="9" t="inlineStr"/>
      <c r="T13" s="9" t="inlineStr">
        <is>
          <t>Mensagem do motoboy (não é personagem) no telefone do Técnico; plantação da saída das 7h55.</t>
        </is>
      </c>
    </row>
    <row r="14">
      <c r="A14" s="8" t="inlineStr">
        <is>
          <t>c0-013</t>
        </is>
      </c>
      <c r="B14" s="8" t="inlineStr">
        <is>
          <t>7h58:05</t>
        </is>
      </c>
      <c r="C14" s="8" t="inlineStr">
        <is>
          <t>O Subgerente</t>
        </is>
      </c>
      <c r="D14" s="8" t="inlineStr">
        <is>
          <t>seguranca_interno</t>
        </is>
      </c>
      <c r="E14" s="8" t="inlineStr">
        <is>
          <t>rádio</t>
        </is>
      </c>
      <c r="F14" s="8" t="inlineStr">
        <is>
          <t>indireta</t>
        </is>
      </c>
      <c r="G14" s="8" t="inlineStr">
        <is>
          <t>Verifique a porta lateral.</t>
        </is>
      </c>
      <c r="H14" s="8" t="inlineStr">
        <is>
          <t>prova</t>
        </is>
      </c>
      <c r="I14" s="8" t="inlineStr">
        <is>
          <t>A ordem saiu da Gerência (estabilizador)</t>
        </is>
      </c>
      <c r="J14" s="8" t="inlineStr"/>
      <c r="K14" s="8" t="inlineStr"/>
      <c r="L14" s="8" t="inlineStr">
        <is>
          <t>casa ≥ 8</t>
        </is>
      </c>
      <c r="M14" s="8" t="inlineStr">
        <is>
          <t>não</t>
        </is>
      </c>
      <c r="N14" s="8" t="inlineStr"/>
      <c r="O14" s="8" t="inlineStr"/>
      <c r="P14" s="8" t="inlineStr"/>
      <c r="Q14" s="8" t="inlineStr"/>
      <c r="R14" s="8" t="inlineStr"/>
      <c r="S14" s="8" t="inlineStr"/>
      <c r="T14" s="8" t="inlineStr">
        <is>
          <t>Ordem falsa pelo rádio reserva (texto exato aparece no Cap. 2). Falante = impostor sorteado (G: gerente; V: caixa_veterano), mas o texto não marca ponto de ajuste.</t>
        </is>
      </c>
    </row>
    <row r="15">
      <c r="A15" s="9" t="inlineStr">
        <is>
          <t>c0-014</t>
        </is>
      </c>
      <c r="B15" s="9" t="inlineStr">
        <is>
          <t>8h02</t>
        </is>
      </c>
      <c r="C15" s="9" t="inlineStr">
        <is>
          <t>O Caixa Novato</t>
        </is>
      </c>
      <c r="D15" s="9" t="inlineStr">
        <is>
          <t>todos</t>
        </is>
      </c>
      <c r="E15" s="9" t="inlineStr">
        <is>
          <t>presencial</t>
        </is>
      </c>
      <c r="F15" s="9" t="inlineStr">
        <is>
          <t>direta</t>
        </is>
      </c>
      <c r="G15" s="9" t="inlineStr">
        <is>
          <t>Roubaram o dinheiro.</t>
        </is>
      </c>
      <c r="H15" s="9" t="inlineStr">
        <is>
          <t>pista falsa</t>
        </is>
      </c>
      <c r="I15" s="9" t="inlineStr"/>
      <c r="J15" s="9" t="inlineStr"/>
      <c r="K15" s="9" t="inlineStr"/>
      <c r="L15" s="9" t="inlineStr">
        <is>
          <t>toda casa</t>
        </is>
      </c>
      <c r="M15" s="9" t="inlineStr">
        <is>
          <t>não</t>
        </is>
      </c>
      <c r="N15" s="9" t="inlineStr"/>
      <c r="O15" s="9" t="inlineStr"/>
      <c r="P15" s="9" t="inlineStr"/>
      <c r="Q15" s="9" t="inlineStr"/>
      <c r="R15" s="9" t="inlineStr"/>
      <c r="S15" s="9" t="inlineStr"/>
      <c r="T15" s="9" t="inlineStr"/>
    </row>
  </sheetData>
  <autoFilter ref="A1:T1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4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c1-001</t>
        </is>
      </c>
      <c r="B2" s="8" t="inlineStr">
        <is>
          <t>~8h02</t>
        </is>
      </c>
      <c r="C2" s="8" t="inlineStr">
        <is>
          <t>A Auditora</t>
        </is>
      </c>
      <c r="D2" s="8" t="inlineStr">
        <is>
          <t>caixa_novato</t>
        </is>
      </c>
      <c r="E2" s="8" t="inlineStr">
        <is>
          <t>presencial</t>
        </is>
      </c>
      <c r="F2" s="8" t="inlineStr">
        <is>
          <t>direta</t>
        </is>
      </c>
      <c r="G2" s="8" t="inlineStr">
        <is>
          <t>O que você viu antes de gritar?</t>
        </is>
      </c>
      <c r="H2" s="8" t="inlineStr">
        <is>
          <t>ambiente</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row>
    <row r="3">
      <c r="A3" s="9" t="inlineStr">
        <is>
          <t>c1-002</t>
        </is>
      </c>
      <c r="B3" s="9" t="inlineStr">
        <is>
          <t>~8h02</t>
        </is>
      </c>
      <c r="C3" s="9" t="inlineStr">
        <is>
          <t>O Caixa Novato</t>
        </is>
      </c>
      <c r="D3" s="9" t="inlineStr">
        <is>
          <t>auditora</t>
        </is>
      </c>
      <c r="E3" s="9" t="inlineStr">
        <is>
          <t>presencial</t>
        </is>
      </c>
      <c r="F3" s="9" t="inlineStr">
        <is>
          <t>direta</t>
        </is>
      </c>
      <c r="G3" s="9" t="inlineStr">
        <is>
          <t>Isso.</t>
        </is>
      </c>
      <c r="H3" s="9" t="inlineStr">
        <is>
          <t>ambiente</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row>
    <row r="4">
      <c r="A4" s="8" t="inlineStr">
        <is>
          <t>c1-003</t>
        </is>
      </c>
      <c r="B4" s="8" t="inlineStr">
        <is>
          <t>~8h02</t>
        </is>
      </c>
      <c r="C4" s="8" t="inlineStr">
        <is>
          <t>A Auditora</t>
        </is>
      </c>
      <c r="D4" s="8" t="inlineStr">
        <is>
          <t>caixa_novato</t>
        </is>
      </c>
      <c r="E4" s="8" t="inlineStr">
        <is>
          <t>presencial</t>
        </is>
      </c>
      <c r="F4" s="8" t="inlineStr">
        <is>
          <t>direta</t>
        </is>
      </c>
      <c r="G4" s="8" t="inlineStr">
        <is>
          <t>Isso é uma conclusão. Quero uma imagem.</t>
        </is>
      </c>
      <c r="H4" s="8" t="inlineStr">
        <is>
          <t>ambiente</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row>
    <row r="5">
      <c r="A5" s="9" t="inlineStr">
        <is>
          <t>c1-004</t>
        </is>
      </c>
      <c r="B5" s="9" t="inlineStr">
        <is>
          <t>~8h02</t>
        </is>
      </c>
      <c r="C5" s="9" t="inlineStr">
        <is>
          <t>O Caixa Novato</t>
        </is>
      </c>
      <c r="D5" s="9" t="inlineStr">
        <is>
          <t>auditora</t>
        </is>
      </c>
      <c r="E5" s="9" t="inlineStr">
        <is>
          <t>presencial</t>
        </is>
      </c>
      <c r="F5" s="9" t="inlineStr">
        <is>
          <t>indireta</t>
        </is>
      </c>
      <c r="G5" s="9" t="inlineStr">
        <is>
          <t>Vi a porta entreaberta, a luz fria, a lona no chão, o lacre partido.</t>
        </is>
      </c>
      <c r="H5" s="9" t="inlineStr">
        <is>
          <t>ambiente</t>
        </is>
      </c>
      <c r="I5" s="9" t="inlineStr"/>
      <c r="J5" s="9" t="inlineStr"/>
      <c r="K5" s="9" t="inlineStr"/>
      <c r="L5" s="9" t="inlineStr">
        <is>
          <t>toda casa</t>
        </is>
      </c>
      <c r="M5" s="9" t="inlineStr">
        <is>
          <t>não</t>
        </is>
      </c>
      <c r="N5" s="9" t="inlineStr"/>
      <c r="O5" s="9" t="inlineStr"/>
      <c r="P5" s="9" t="inlineStr"/>
      <c r="Q5" s="9" t="inlineStr"/>
      <c r="R5" s="9" t="inlineStr"/>
      <c r="S5" s="9" t="inlineStr"/>
      <c r="T5" s="9" t="inlineStr"/>
    </row>
    <row r="6">
      <c r="A6" s="8" t="inlineStr">
        <is>
          <t>c1-005</t>
        </is>
      </c>
      <c r="B6" s="8" t="inlineStr">
        <is>
          <t>~8h03</t>
        </is>
      </c>
      <c r="C6" s="8" t="inlineStr">
        <is>
          <t>O Gerente</t>
        </is>
      </c>
      <c r="D6" s="8" t="inlineStr">
        <is>
          <t>todos</t>
        </is>
      </c>
      <c r="E6" s="8" t="inlineStr">
        <is>
          <t>presencial</t>
        </is>
      </c>
      <c r="F6" s="8" t="inlineStr">
        <is>
          <t>indireta</t>
        </is>
      </c>
      <c r="G6" s="8" t="inlineStr">
        <is>
          <t>Recuem todos. Segurança, feche o corredor; Caixa Veterano, confira os registros da Mesa; Operadora, preserve as imagens.</t>
        </is>
      </c>
      <c r="H6" s="8" t="inlineStr">
        <is>
          <t>ambiente</t>
        </is>
      </c>
      <c r="I6" s="8" t="inlineStr"/>
      <c r="J6" s="8" t="inlineStr"/>
      <c r="K6" s="8" t="inlineStr"/>
      <c r="L6" s="8" t="inlineStr">
        <is>
          <t>toda casa</t>
        </is>
      </c>
      <c r="M6" s="8" t="inlineStr">
        <is>
          <t>não</t>
        </is>
      </c>
      <c r="N6" s="8" t="inlineStr"/>
      <c r="O6" s="8" t="inlineStr"/>
      <c r="P6" s="8" t="inlineStr"/>
      <c r="Q6" s="8" t="inlineStr"/>
      <c r="R6" s="8" t="inlineStr"/>
      <c r="S6" s="8" t="inlineStr"/>
      <c r="T6" s="8" t="inlineStr"/>
    </row>
    <row r="7">
      <c r="A7" s="9" t="inlineStr">
        <is>
          <t>c1-006</t>
        </is>
      </c>
      <c r="B7" s="9" t="inlineStr">
        <is>
          <t>~8h03</t>
        </is>
      </c>
      <c r="C7" s="9" t="inlineStr">
        <is>
          <t>O Gerente</t>
        </is>
      </c>
      <c r="D7" s="9" t="inlineStr">
        <is>
          <t>todos</t>
        </is>
      </c>
      <c r="E7" s="9" t="inlineStr">
        <is>
          <t>presencial</t>
        </is>
      </c>
      <c r="F7" s="9" t="inlineStr">
        <is>
          <t>direta</t>
        </is>
      </c>
      <c r="G7" s="9" t="inlineStr">
        <is>
          <t>A agência fica isolada até segunda ordem. Ninguém entra, ninguém sai, ninguém telefona sem autorização.</t>
        </is>
      </c>
      <c r="H7" s="9" t="inlineStr">
        <is>
          <t>ambiente</t>
        </is>
      </c>
      <c r="I7" s="9" t="inlineStr"/>
      <c r="J7" s="9" t="inlineStr"/>
      <c r="K7" s="9" t="inlineStr"/>
      <c r="L7" s="9" t="inlineStr">
        <is>
          <t>toda casa</t>
        </is>
      </c>
      <c r="M7" s="9" t="inlineStr">
        <is>
          <t>não</t>
        </is>
      </c>
      <c r="N7" s="9" t="inlineStr"/>
      <c r="O7" s="9" t="inlineStr"/>
      <c r="P7" s="9" t="inlineStr"/>
      <c r="Q7" s="9" t="inlineStr"/>
      <c r="R7" s="9" t="inlineStr"/>
      <c r="S7" s="9" t="inlineStr"/>
      <c r="T7" s="9" t="inlineStr"/>
    </row>
    <row r="8">
      <c r="A8" s="8" t="inlineStr">
        <is>
          <t>c1-007</t>
        </is>
      </c>
      <c r="B8" s="8" t="inlineStr">
        <is>
          <t>~8h03</t>
        </is>
      </c>
      <c r="C8" s="8" t="inlineStr">
        <is>
          <t>A Cliente do Cofre</t>
        </is>
      </c>
      <c r="D8" s="8" t="inlineStr">
        <is>
          <t>gerente</t>
        </is>
      </c>
      <c r="E8" s="8" t="inlineStr">
        <is>
          <t>presencial</t>
        </is>
      </c>
      <c r="F8" s="8" t="inlineStr">
        <is>
          <t>direta</t>
        </is>
      </c>
      <c r="G8" s="8" t="inlineStr">
        <is>
          <t>Meus documentos estão naquela sala.</t>
        </is>
      </c>
      <c r="H8" s="8" t="inlineStr">
        <is>
          <t>subtrama</t>
        </is>
      </c>
      <c r="I8" s="8" t="inlineStr"/>
      <c r="J8" s="8" t="inlineStr"/>
      <c r="K8" s="8" t="inlineStr"/>
      <c r="L8" s="8" t="inlineStr">
        <is>
          <t>toda casa</t>
        </is>
      </c>
      <c r="M8" s="8" t="inlineStr">
        <is>
          <t>não</t>
        </is>
      </c>
      <c r="N8" s="8" t="inlineStr"/>
      <c r="O8" s="8" t="inlineStr"/>
      <c r="P8" s="8" t="inlineStr"/>
      <c r="Q8" s="8" t="inlineStr"/>
      <c r="R8" s="8" t="inlineStr"/>
      <c r="S8" s="8" t="inlineStr"/>
      <c r="T8" s="8" t="inlineStr"/>
    </row>
    <row r="9">
      <c r="A9" s="9" t="inlineStr">
        <is>
          <t>c1-008</t>
        </is>
      </c>
      <c r="B9" s="9" t="inlineStr">
        <is>
          <t>~8h03</t>
        </is>
      </c>
      <c r="C9" s="9" t="inlineStr">
        <is>
          <t>O Gerente</t>
        </is>
      </c>
      <c r="D9" s="9" t="inlineStr">
        <is>
          <t>cliente_cofre</t>
        </is>
      </c>
      <c r="E9" s="9" t="inlineStr">
        <is>
          <t>presencial</t>
        </is>
      </c>
      <c r="F9" s="9" t="inlineStr">
        <is>
          <t>direta</t>
        </is>
      </c>
      <c r="G9" s="9" t="inlineStr">
        <is>
          <t>Seus documentos estão seguros.</t>
        </is>
      </c>
      <c r="H9" s="9" t="inlineStr">
        <is>
          <t>subtrama</t>
        </is>
      </c>
      <c r="I9" s="9" t="inlineStr"/>
      <c r="J9" s="9" t="inlineStr"/>
      <c r="K9" s="9" t="inlineStr"/>
      <c r="L9" s="9" t="inlineStr">
        <is>
          <t>toda casa</t>
        </is>
      </c>
      <c r="M9" s="9" t="inlineStr">
        <is>
          <t>não</t>
        </is>
      </c>
      <c r="N9" s="9" t="inlineStr"/>
      <c r="O9" s="9" t="inlineStr"/>
      <c r="P9" s="9" t="inlineStr"/>
      <c r="Q9" s="9" t="inlineStr"/>
      <c r="R9" s="9" t="inlineStr"/>
      <c r="S9" s="9" t="inlineStr"/>
      <c r="T9" s="9" t="inlineStr"/>
    </row>
    <row r="10">
      <c r="A10" s="8" t="inlineStr">
        <is>
          <t>c1-009</t>
        </is>
      </c>
      <c r="B10" s="8" t="inlineStr">
        <is>
          <t>~8h03</t>
        </is>
      </c>
      <c r="C10" s="8" t="inlineStr">
        <is>
          <t>A Cliente do Cofre</t>
        </is>
      </c>
      <c r="D10" s="8" t="inlineStr">
        <is>
          <t>gerente</t>
        </is>
      </c>
      <c r="E10" s="8" t="inlineStr">
        <is>
          <t>presencial</t>
        </is>
      </c>
      <c r="F10" s="8" t="inlineStr">
        <is>
          <t>direta</t>
        </is>
      </c>
      <c r="G10" s="8" t="inlineStr">
        <is>
          <t>Foi o que disseram sobre o dinheiro.</t>
        </is>
      </c>
      <c r="H10" s="8" t="inlineStr">
        <is>
          <t>subtrama</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row>
    <row r="11">
      <c r="A11" s="9" t="inlineStr">
        <is>
          <t>c1-010</t>
        </is>
      </c>
      <c r="B11" s="9" t="inlineStr">
        <is>
          <t>8h05</t>
        </is>
      </c>
      <c r="C11" s="9" t="inlineStr">
        <is>
          <t>A Operadora da Central</t>
        </is>
      </c>
      <c r="D11" s="9" t="inlineStr">
        <is>
          <t>todos</t>
        </is>
      </c>
      <c r="E11" s="9" t="inlineStr">
        <is>
          <t>interfone</t>
        </is>
      </c>
      <c r="F11" s="9" t="inlineStr">
        <is>
          <t>indireta</t>
        </is>
      </c>
      <c r="G11" s="9" t="inlineStr">
        <is>
          <t>A câmera 3 ficou sem sinal durante oitenta e sete segundos.</t>
        </is>
      </c>
      <c r="H11" s="9" t="inlineStr">
        <is>
          <t>prova</t>
        </is>
      </c>
      <c r="I11" s="9" t="inlineStr"/>
      <c r="J11" s="9" t="inlineStr"/>
      <c r="K11" s="9" t="inlineStr"/>
      <c r="L11" s="9" t="inlineStr">
        <is>
          <t>toda casa</t>
        </is>
      </c>
      <c r="M11" s="9" t="inlineStr">
        <is>
          <t>não</t>
        </is>
      </c>
      <c r="N11" s="9" t="inlineStr"/>
      <c r="O11" s="9" t="inlineStr"/>
      <c r="P11" s="9" t="inlineStr"/>
      <c r="Q11" s="9" t="inlineStr"/>
      <c r="R11" s="9" t="inlineStr"/>
      <c r="S11" s="9" t="inlineStr"/>
      <c r="T11" s="9" t="inlineStr">
        <is>
          <t>Âncora 8h05 (janela sem imagem); fato fora da tabela de cobertura, fonte de núcleo.</t>
        </is>
      </c>
    </row>
    <row r="12">
      <c r="A12" s="8" t="inlineStr">
        <is>
          <t>c1-011</t>
        </is>
      </c>
      <c r="B12" s="8" t="inlineStr">
        <is>
          <t>~8h05</t>
        </is>
      </c>
      <c r="C12" s="8" t="inlineStr">
        <is>
          <t>O Técnico</t>
        </is>
      </c>
      <c r="D12" s="8" t="inlineStr">
        <is>
          <t>gerente</t>
        </is>
      </c>
      <c r="E12" s="8" t="inlineStr">
        <is>
          <t>presencial</t>
        </is>
      </c>
      <c r="F12" s="8" t="inlineStr">
        <is>
          <t>indireta</t>
        </is>
      </c>
      <c r="G12" s="8" t="inlineStr">
        <is>
          <t>Preciso passar.</t>
        </is>
      </c>
      <c r="H12" s="8" t="inlineStr">
        <is>
          <t>ambiente</t>
        </is>
      </c>
      <c r="I12" s="8" t="inlineStr"/>
      <c r="J12" s="8" t="inlineStr"/>
      <c r="K12" s="8" t="inlineStr"/>
      <c r="L12" s="8" t="inlineStr">
        <is>
          <t>toda casa</t>
        </is>
      </c>
      <c r="M12" s="8" t="inlineStr">
        <is>
          <t>não</t>
        </is>
      </c>
      <c r="N12" s="8" t="inlineStr"/>
      <c r="O12" s="8" t="inlineStr"/>
      <c r="P12" s="8" t="inlineStr"/>
      <c r="Q12" s="8" t="inlineStr"/>
      <c r="R12" s="8" t="inlineStr"/>
      <c r="S12" s="8" t="inlineStr"/>
      <c r="T12" s="8" t="inlineStr">
        <is>
          <t>'O Técnico pediu passagem'.</t>
        </is>
      </c>
    </row>
    <row r="13">
      <c r="A13" s="9" t="inlineStr">
        <is>
          <t>c1-012</t>
        </is>
      </c>
      <c r="B13" s="9" t="inlineStr">
        <is>
          <t>~8h05</t>
        </is>
      </c>
      <c r="C13" s="9" t="inlineStr">
        <is>
          <t>O Gerente</t>
        </is>
      </c>
      <c r="D13" s="9" t="inlineStr">
        <is>
          <t>tecnico</t>
        </is>
      </c>
      <c r="E13" s="9" t="inlineStr">
        <is>
          <t>presencial</t>
        </is>
      </c>
      <c r="F13" s="9" t="inlineStr">
        <is>
          <t>direta</t>
        </is>
      </c>
      <c r="G13" s="9" t="inlineStr">
        <is>
          <t>Ninguém toca em nada.</t>
        </is>
      </c>
      <c r="H13" s="9" t="inlineStr">
        <is>
          <t>ambiente</t>
        </is>
      </c>
      <c r="I13" s="9" t="inlineStr"/>
      <c r="J13" s="9" t="inlineStr"/>
      <c r="K13" s="9" t="inlineStr"/>
      <c r="L13" s="9" t="inlineStr">
        <is>
          <t>toda casa</t>
        </is>
      </c>
      <c r="M13" s="9" t="inlineStr">
        <is>
          <t>não</t>
        </is>
      </c>
      <c r="N13" s="9" t="inlineStr"/>
      <c r="O13" s="9" t="inlineStr"/>
      <c r="P13" s="9" t="inlineStr"/>
      <c r="Q13" s="9" t="inlineStr"/>
      <c r="R13" s="9" t="inlineStr"/>
      <c r="S13" s="9" t="inlineStr"/>
      <c r="T13" s="9" t="inlineStr"/>
    </row>
    <row r="14">
      <c r="A14" s="8" t="inlineStr">
        <is>
          <t>c1-013</t>
        </is>
      </c>
      <c r="B14" s="8" t="inlineStr">
        <is>
          <t>~8h05</t>
        </is>
      </c>
      <c r="C14" s="8" t="inlineStr">
        <is>
          <t>O Técnico</t>
        </is>
      </c>
      <c r="D14" s="8" t="inlineStr">
        <is>
          <t>gerente</t>
        </is>
      </c>
      <c r="E14" s="8" t="inlineStr">
        <is>
          <t>presencial</t>
        </is>
      </c>
      <c r="F14" s="8" t="inlineStr">
        <is>
          <t>direta</t>
        </is>
      </c>
      <c r="G14" s="8" t="inlineStr">
        <is>
          <t>Se o circuito está instável, o registro pode continuar se perdendo.</t>
        </is>
      </c>
      <c r="H14" s="8" t="inlineStr">
        <is>
          <t>ambiente</t>
        </is>
      </c>
      <c r="I14" s="8" t="inlineStr"/>
      <c r="J14" s="8" t="inlineStr"/>
      <c r="K14" s="8" t="inlineStr"/>
      <c r="L14" s="8" t="inlineStr">
        <is>
          <t>toda casa</t>
        </is>
      </c>
      <c r="M14" s="8" t="inlineStr">
        <is>
          <t>não</t>
        </is>
      </c>
      <c r="N14" s="8" t="inlineStr"/>
      <c r="O14" s="8" t="inlineStr"/>
      <c r="P14" s="8" t="inlineStr"/>
      <c r="Q14" s="8" t="inlineStr"/>
      <c r="R14" s="8" t="inlineStr"/>
      <c r="S14" s="8" t="inlineStr"/>
      <c r="T14" s="8" t="inlineStr"/>
    </row>
    <row r="15">
      <c r="A15" s="9" t="inlineStr">
        <is>
          <t>c1-014</t>
        </is>
      </c>
      <c r="B15" s="9" t="inlineStr">
        <is>
          <t>~8h05</t>
        </is>
      </c>
      <c r="C15" s="9" t="inlineStr">
        <is>
          <t>O Gerente</t>
        </is>
      </c>
      <c r="D15" s="9" t="inlineStr">
        <is>
          <t>tecnico</t>
        </is>
      </c>
      <c r="E15" s="9" t="inlineStr">
        <is>
          <t>presencial</t>
        </is>
      </c>
      <c r="F15" s="9" t="inlineStr">
        <is>
          <t>direta</t>
        </is>
      </c>
      <c r="G15" s="9" t="inlineStr">
        <is>
          <t>Ou pode ser alterado por quem entende dele.</t>
        </is>
      </c>
      <c r="H15" s="9" t="inlineStr">
        <is>
          <t>pista falsa</t>
        </is>
      </c>
      <c r="I15" s="9" t="inlineStr"/>
      <c r="J15" s="9" t="inlineStr"/>
      <c r="K15" s="9" t="inlineStr"/>
      <c r="L15" s="9" t="inlineStr">
        <is>
          <t>toda casa</t>
        </is>
      </c>
      <c r="M15" s="9" t="inlineStr">
        <is>
          <t>não</t>
        </is>
      </c>
      <c r="N15" s="9" t="inlineStr"/>
      <c r="O15" s="9" t="inlineStr"/>
      <c r="P15" s="9" t="inlineStr"/>
      <c r="Q15" s="9" t="inlineStr"/>
      <c r="R15" s="9" t="inlineStr"/>
      <c r="S15" s="9" t="inlineStr"/>
      <c r="T15" s="9" t="inlineStr">
        <is>
          <t>Primeira insinuação contra o falso culpado (Técnico).</t>
        </is>
      </c>
    </row>
    <row r="16">
      <c r="A16" s="8" t="inlineStr">
        <is>
          <t>c1-015</t>
        </is>
      </c>
      <c r="B16" s="8" t="inlineStr">
        <is>
          <t>~8h05</t>
        </is>
      </c>
      <c r="C16" s="8" t="inlineStr">
        <is>
          <t>O Funcionário da Limpeza</t>
        </is>
      </c>
      <c r="D16" s="8" t="inlineStr">
        <is>
          <t>todos</t>
        </is>
      </c>
      <c r="E16" s="8" t="inlineStr">
        <is>
          <t>presencial</t>
        </is>
      </c>
      <c r="F16" s="8" t="inlineStr">
        <is>
          <t>direta</t>
        </is>
      </c>
      <c r="G16" s="8" t="inlineStr">
        <is>
          <t>Passei o rodo aqui às sete e quarenta e seis.</t>
        </is>
      </c>
      <c r="H16" s="8" t="inlineStr">
        <is>
          <t>reforço</t>
        </is>
      </c>
      <c r="I16" s="8" t="inlineStr">
        <is>
          <t>Arquivo limpo e vazio às 7h46</t>
        </is>
      </c>
      <c r="J16" s="8" t="inlineStr"/>
      <c r="K16" s="8" t="inlineStr"/>
      <c r="L16" s="8" t="inlineStr">
        <is>
          <t>casa ≥ 8</t>
        </is>
      </c>
      <c r="M16" s="8" t="inlineStr">
        <is>
          <t>sim</t>
        </is>
      </c>
      <c r="N16" s="8" t="inlineStr"/>
      <c r="O16" s="8" t="inlineStr"/>
      <c r="P16" s="8" t="inlineStr"/>
      <c r="Q16" s="8" t="inlineStr"/>
      <c r="R16" s="8" t="inlineStr"/>
      <c r="S16" s="8" t="inlineStr"/>
      <c r="T16" s="8" t="inlineStr">
        <is>
          <t>Fonte primária na casa 6: Operadora (c1-020).</t>
        </is>
      </c>
    </row>
    <row r="17">
      <c r="A17" s="9" t="inlineStr">
        <is>
          <t>c1-016</t>
        </is>
      </c>
      <c r="B17" s="9" t="inlineStr">
        <is>
          <t>~8h05</t>
        </is>
      </c>
      <c r="C17" s="9" t="inlineStr">
        <is>
          <t>O Gerente</t>
        </is>
      </c>
      <c r="D17" s="9" t="inlineStr">
        <is>
          <t>limpeza</t>
        </is>
      </c>
      <c r="E17" s="9" t="inlineStr">
        <is>
          <t>presencial</t>
        </is>
      </c>
      <c r="F17" s="9" t="inlineStr">
        <is>
          <t>direta</t>
        </is>
      </c>
      <c r="G17" s="9" t="inlineStr">
        <is>
          <t>Tem certeza da hora?</t>
        </is>
      </c>
      <c r="H17" s="9" t="inlineStr">
        <is>
          <t>ambiente</t>
        </is>
      </c>
      <c r="I17" s="9" t="inlineStr"/>
      <c r="J17" s="9" t="inlineStr"/>
      <c r="K17" s="9" t="inlineStr"/>
      <c r="L17" s="9" t="inlineStr">
        <is>
          <t>toda casa</t>
        </is>
      </c>
      <c r="M17" s="9" t="inlineStr">
        <is>
          <t>não</t>
        </is>
      </c>
      <c r="N17" s="9" t="inlineStr"/>
      <c r="O17" s="9" t="inlineStr"/>
      <c r="P17" s="9" t="inlineStr"/>
      <c r="Q17" s="9" t="inlineStr"/>
      <c r="R17" s="9" t="inlineStr"/>
      <c r="S17" s="9" t="inlineStr"/>
      <c r="T17" s="9" t="inlineStr">
        <is>
          <t>Réplica a personagem de bloco: fica órfã sem a Limpeza.</t>
        </is>
      </c>
    </row>
    <row r="18">
      <c r="A18" s="8" t="inlineStr">
        <is>
          <t>c1-017</t>
        </is>
      </c>
      <c r="B18" s="8" t="inlineStr">
        <is>
          <t>~8h05</t>
        </is>
      </c>
      <c r="C18" s="8" t="inlineStr">
        <is>
          <t>O Funcionário da Limpeza</t>
        </is>
      </c>
      <c r="D18" s="8" t="inlineStr">
        <is>
          <t>gerente</t>
        </is>
      </c>
      <c r="E18" s="8" t="inlineStr">
        <is>
          <t>presencial</t>
        </is>
      </c>
      <c r="F18" s="8" t="inlineStr">
        <is>
          <t>direta</t>
        </is>
      </c>
      <c r="G18" s="8" t="inlineStr">
        <is>
          <t>A Central tocou a troca de turno. Eu estava terminando.</t>
        </is>
      </c>
      <c r="H18" s="8" t="inlineStr">
        <is>
          <t>reforço</t>
        </is>
      </c>
      <c r="I18" s="8" t="inlineStr">
        <is>
          <t>Arquivo limpo e vazio às 7h46</t>
        </is>
      </c>
      <c r="J18" s="8" t="inlineStr"/>
      <c r="K18" s="8" t="inlineStr"/>
      <c r="L18" s="8" t="inlineStr">
        <is>
          <t>casa ≥ 8</t>
        </is>
      </c>
      <c r="M18" s="8" t="inlineStr">
        <is>
          <t>sim</t>
        </is>
      </c>
      <c r="N18" s="8" t="inlineStr"/>
      <c r="O18" s="8" t="inlineStr"/>
      <c r="P18" s="8" t="inlineStr"/>
      <c r="Q18" s="8" t="inlineStr"/>
      <c r="R18" s="8" t="inlineStr"/>
      <c r="S18" s="8" t="inlineStr"/>
      <c r="T18" s="8" t="inlineStr"/>
    </row>
    <row r="19">
      <c r="A19" s="9" t="inlineStr">
        <is>
          <t>c1-018</t>
        </is>
      </c>
      <c r="B19" s="9" t="inlineStr">
        <is>
          <t>~8h05</t>
        </is>
      </c>
      <c r="C19" s="9" t="inlineStr">
        <is>
          <t>O Gerente</t>
        </is>
      </c>
      <c r="D19" s="9" t="inlineStr">
        <is>
          <t>limpeza</t>
        </is>
      </c>
      <c r="E19" s="9" t="inlineStr">
        <is>
          <t>presencial</t>
        </is>
      </c>
      <c r="F19" s="9" t="inlineStr">
        <is>
          <t>direta</t>
        </is>
      </c>
      <c r="G19" s="9" t="inlineStr">
        <is>
          <t>E o saco?</t>
        </is>
      </c>
      <c r="H19" s="9" t="inlineStr">
        <is>
          <t>ambiente</t>
        </is>
      </c>
      <c r="I19" s="9" t="inlineStr"/>
      <c r="J19" s="9" t="inlineStr"/>
      <c r="K19" s="9" t="inlineStr"/>
      <c r="L19" s="9" t="inlineStr">
        <is>
          <t>toda casa</t>
        </is>
      </c>
      <c r="M19" s="9" t="inlineStr">
        <is>
          <t>não</t>
        </is>
      </c>
      <c r="N19" s="9" t="inlineStr"/>
      <c r="O19" s="9" t="inlineStr"/>
      <c r="P19" s="9" t="inlineStr"/>
      <c r="Q19" s="9" t="inlineStr"/>
      <c r="R19" s="9" t="inlineStr"/>
      <c r="S19" s="9" t="inlineStr"/>
      <c r="T19" s="9" t="inlineStr">
        <is>
          <t>Fica órfã sem a Limpeza.</t>
        </is>
      </c>
    </row>
    <row r="20">
      <c r="A20" s="8" t="inlineStr">
        <is>
          <t>c1-019</t>
        </is>
      </c>
      <c r="B20" s="8" t="inlineStr">
        <is>
          <t>~8h05</t>
        </is>
      </c>
      <c r="C20" s="8" t="inlineStr">
        <is>
          <t>O Funcionário da Limpeza</t>
        </is>
      </c>
      <c r="D20" s="8" t="inlineStr">
        <is>
          <t>gerente</t>
        </is>
      </c>
      <c r="E20" s="8" t="inlineStr">
        <is>
          <t>presencial</t>
        </is>
      </c>
      <c r="F20" s="8" t="inlineStr">
        <is>
          <t>direta</t>
        </is>
      </c>
      <c r="G20" s="8" t="inlineStr">
        <is>
          <t>Não estava.</t>
        </is>
      </c>
      <c r="H20" s="8" t="inlineStr">
        <is>
          <t>reforço</t>
        </is>
      </c>
      <c r="I20" s="8" t="inlineStr">
        <is>
          <t>Arquivo limpo e vazio às 7h46</t>
        </is>
      </c>
      <c r="J20" s="8" t="inlineStr"/>
      <c r="K20" s="8" t="inlineStr"/>
      <c r="L20" s="8" t="inlineStr">
        <is>
          <t>casa ≥ 8</t>
        </is>
      </c>
      <c r="M20" s="8" t="inlineStr">
        <is>
          <t>sim</t>
        </is>
      </c>
      <c r="N20" s="8" t="inlineStr"/>
      <c r="O20" s="8" t="inlineStr"/>
      <c r="P20" s="8" t="inlineStr"/>
      <c r="Q20" s="8" t="inlineStr"/>
      <c r="R20" s="8" t="inlineStr"/>
      <c r="S20" s="8" t="inlineStr"/>
      <c r="T20" s="8" t="inlineStr"/>
    </row>
    <row r="21">
      <c r="A21" s="9" t="inlineStr">
        <is>
          <t>c1-020</t>
        </is>
      </c>
      <c r="B21" s="9" t="inlineStr">
        <is>
          <t>~8h06</t>
        </is>
      </c>
      <c r="C21" s="9" t="inlineStr">
        <is>
          <t>A Operadora da Central</t>
        </is>
      </c>
      <c r="D21" s="9" t="inlineStr">
        <is>
          <t>todos</t>
        </is>
      </c>
      <c r="E21" s="9" t="inlineStr">
        <is>
          <t>interfone</t>
        </is>
      </c>
      <c r="F21" s="9" t="inlineStr">
        <is>
          <t>indireta</t>
        </is>
      </c>
      <c r="G21" s="9" t="inlineStr">
        <is>
          <t>Confirmo a hora: na câmera 3, às sete e quarenta e seis, o balde saía do Arquivo Morto, e até a imagem cair, às sete e cinquenta e oito, ninguém mais entrou ali.</t>
        </is>
      </c>
      <c r="H21" s="9" t="inlineStr">
        <is>
          <t>prova</t>
        </is>
      </c>
      <c r="I21" s="9" t="inlineStr">
        <is>
          <t>Arquivo limpo e vazio às 7h46</t>
        </is>
      </c>
      <c r="J21" s="9" t="inlineStr"/>
      <c r="K21" s="9" t="inlineStr"/>
      <c r="L21" s="9" t="inlineStr">
        <is>
          <t>toda casa</t>
        </is>
      </c>
      <c r="M21" s="9" t="inlineStr">
        <is>
          <t>não</t>
        </is>
      </c>
      <c r="N21" s="9" t="inlineStr"/>
      <c r="O21" s="9" t="inlineStr"/>
      <c r="P21" s="9" t="inlineStr"/>
      <c r="Q21" s="9" t="inlineStr"/>
      <c r="R21" s="9" t="inlineStr"/>
      <c r="S21" s="9" t="inlineStr"/>
      <c r="T21" s="9" t="inlineStr">
        <is>
          <t>Fonte primária. Silencia que a câmera 3 voltou às 7h59:39 e deveria mostrar a Limpeza entrando no Arquivo às 8h01.</t>
        </is>
      </c>
    </row>
    <row r="22">
      <c r="A22" s="8" t="inlineStr">
        <is>
          <t>c1-021</t>
        </is>
      </c>
      <c r="B22" s="8" t="inlineStr">
        <is>
          <t>~8h06</t>
        </is>
      </c>
      <c r="C22" s="8" t="inlineStr">
        <is>
          <t>O Gerente</t>
        </is>
      </c>
      <c r="D22" s="8" t="inlineStr">
        <is>
          <t>limpeza</t>
        </is>
      </c>
      <c r="E22" s="8" t="inlineStr">
        <is>
          <t>presencial</t>
        </is>
      </c>
      <c r="F22" s="8" t="inlineStr">
        <is>
          <t>direta</t>
        </is>
      </c>
      <c r="G22" s="8" t="inlineStr">
        <is>
          <t>Quem tem a chave do armário daqui?</t>
        </is>
      </c>
      <c r="H22" s="8" t="inlineStr">
        <is>
          <t>subtrama</t>
        </is>
      </c>
      <c r="I22" s="8" t="inlineStr"/>
      <c r="J22" s="8" t="inlineStr"/>
      <c r="K22" s="8" t="inlineStr"/>
      <c r="L22" s="8" t="inlineStr">
        <is>
          <t>toda casa</t>
        </is>
      </c>
      <c r="M22" s="8" t="inlineStr">
        <is>
          <t>não</t>
        </is>
      </c>
      <c r="N22" s="8" t="inlineStr"/>
      <c r="O22" s="8" t="inlineStr"/>
      <c r="P22" s="8" t="inlineStr"/>
      <c r="Q22" s="8" t="inlineStr"/>
      <c r="R22" s="8" t="inlineStr"/>
      <c r="S22" s="8" t="inlineStr"/>
      <c r="T22" s="8" t="inlineStr">
        <is>
          <t>Pergunta dirigida à Limpeza; órfã sem ela (chave 17-B).</t>
        </is>
      </c>
    </row>
    <row r="23">
      <c r="A23" s="9" t="inlineStr">
        <is>
          <t>c1-022</t>
        </is>
      </c>
      <c r="B23" s="9" t="inlineStr">
        <is>
          <t>~8h06</t>
        </is>
      </c>
      <c r="C23" s="9" t="inlineStr">
        <is>
          <t>O Funcionário da Limpeza</t>
        </is>
      </c>
      <c r="D23" s="9" t="inlineStr">
        <is>
          <t>gerente</t>
        </is>
      </c>
      <c r="E23" s="9" t="inlineStr">
        <is>
          <t>presencial</t>
        </is>
      </c>
      <c r="F23" s="9" t="inlineStr">
        <is>
          <t>direta</t>
        </is>
      </c>
      <c r="G23" s="9" t="inlineStr">
        <is>
          <t>Eu.</t>
        </is>
      </c>
      <c r="H23" s="9" t="inlineStr">
        <is>
          <t>subtrama</t>
        </is>
      </c>
      <c r="I23" s="9" t="inlineStr"/>
      <c r="J23" s="9" t="inlineStr"/>
      <c r="K23" s="9" t="inlineStr"/>
      <c r="L23" s="9" t="inlineStr">
        <is>
          <t>casa ≥ 8</t>
        </is>
      </c>
      <c r="M23" s="9" t="inlineStr">
        <is>
          <t>sim</t>
        </is>
      </c>
      <c r="N23" s="9" t="inlineStr"/>
      <c r="O23" s="9" t="inlineStr"/>
      <c r="P23" s="9" t="inlineStr"/>
      <c r="Q23" s="9" t="inlineStr"/>
      <c r="R23" s="9" t="inlineStr"/>
      <c r="S23" s="9" t="inlineStr"/>
      <c r="T23" s="9" t="inlineStr"/>
    </row>
    <row r="24">
      <c r="A24" s="8" t="inlineStr">
        <is>
          <t>c1-023</t>
        </is>
      </c>
      <c r="B24" s="8" t="inlineStr">
        <is>
          <t>~8h06</t>
        </is>
      </c>
      <c r="C24" s="8" t="inlineStr">
        <is>
          <t>O Gerente</t>
        </is>
      </c>
      <c r="D24" s="8" t="inlineStr">
        <is>
          <t>limpeza</t>
        </is>
      </c>
      <c r="E24" s="8" t="inlineStr">
        <is>
          <t>presencial</t>
        </is>
      </c>
      <c r="F24" s="8" t="inlineStr">
        <is>
          <t>direta</t>
        </is>
      </c>
      <c r="G24" s="8" t="inlineStr">
        <is>
          <t>Só você?</t>
        </is>
      </c>
      <c r="H24" s="8" t="inlineStr">
        <is>
          <t>subtrama</t>
        </is>
      </c>
      <c r="I24" s="8" t="inlineStr"/>
      <c r="J24" s="8" t="inlineStr"/>
      <c r="K24" s="8" t="inlineStr"/>
      <c r="L24" s="8" t="inlineStr">
        <is>
          <t>toda casa</t>
        </is>
      </c>
      <c r="M24" s="8" t="inlineStr">
        <is>
          <t>não</t>
        </is>
      </c>
      <c r="N24" s="8" t="inlineStr"/>
      <c r="O24" s="8" t="inlineStr"/>
      <c r="P24" s="8" t="inlineStr"/>
      <c r="Q24" s="8" t="inlineStr"/>
      <c r="R24" s="8" t="inlineStr"/>
      <c r="S24" s="8" t="inlineStr"/>
      <c r="T24" s="8" t="inlineStr">
        <is>
          <t>Órfã sem a Limpeza.</t>
        </is>
      </c>
    </row>
    <row r="25">
      <c r="A25" s="9" t="inlineStr">
        <is>
          <t>c1-024</t>
        </is>
      </c>
      <c r="B25" s="9" t="inlineStr">
        <is>
          <t>~8h06</t>
        </is>
      </c>
      <c r="C25" s="9" t="inlineStr">
        <is>
          <t>O Funcionário da Limpeza</t>
        </is>
      </c>
      <c r="D25" s="9" t="inlineStr">
        <is>
          <t>gerente</t>
        </is>
      </c>
      <c r="E25" s="9" t="inlineStr">
        <is>
          <t>presencial</t>
        </is>
      </c>
      <c r="F25" s="9" t="inlineStr">
        <is>
          <t>direta</t>
        </is>
      </c>
      <c r="G25" s="9" t="inlineStr">
        <is>
          <t>Só eu.</t>
        </is>
      </c>
      <c r="H25" s="9" t="inlineStr">
        <is>
          <t>subtrama</t>
        </is>
      </c>
      <c r="I25" s="9" t="inlineStr"/>
      <c r="J25" s="9" t="inlineStr"/>
      <c r="K25" s="9" t="inlineStr"/>
      <c r="L25" s="9" t="inlineStr">
        <is>
          <t>casa ≥ 8</t>
        </is>
      </c>
      <c r="M25" s="9" t="inlineStr">
        <is>
          <t>sim</t>
        </is>
      </c>
      <c r="N25" s="9" t="inlineStr"/>
      <c r="O25" s="9" t="inlineStr"/>
      <c r="P25" s="9" t="inlineStr"/>
      <c r="Q25" s="9" t="inlineStr"/>
      <c r="R25" s="9" t="inlineStr"/>
      <c r="S25" s="9" t="inlineStr"/>
      <c r="T25" s="9" t="inlineStr">
        <is>
          <t>Mentira (emprestou a 17-B ao Subgerente 7h35-7h47). Sem bloco 1, a pista da 17-B não é plantada aqui.</t>
        </is>
      </c>
    </row>
    <row r="26">
      <c r="A26" s="8" t="inlineStr">
        <is>
          <t>c1-025</t>
        </is>
      </c>
      <c r="B26" s="8" t="inlineStr">
        <is>
          <t>~8h06</t>
        </is>
      </c>
      <c r="C26" s="8" t="inlineStr">
        <is>
          <t>A Auditora</t>
        </is>
      </c>
      <c r="D26" s="8" t="inlineStr">
        <is>
          <t>todos</t>
        </is>
      </c>
      <c r="E26" s="8" t="inlineStr">
        <is>
          <t>presencial</t>
        </is>
      </c>
      <c r="F26" s="8" t="inlineStr">
        <is>
          <t>indireta</t>
        </is>
      </c>
      <c r="G26" s="8" t="inlineStr">
        <is>
          <t>Preciso de uma lanterna.</t>
        </is>
      </c>
      <c r="H26" s="8" t="inlineStr">
        <is>
          <t>ambiente</t>
        </is>
      </c>
      <c r="I26" s="8" t="inlineStr"/>
      <c r="J26" s="8" t="inlineStr"/>
      <c r="K26" s="8" t="inlineStr"/>
      <c r="L26" s="8" t="inlineStr">
        <is>
          <t>toda casa</t>
        </is>
      </c>
      <c r="M26" s="8" t="inlineStr">
        <is>
          <t>não</t>
        </is>
      </c>
      <c r="N26" s="8" t="inlineStr"/>
      <c r="O26" s="8" t="inlineStr"/>
      <c r="P26" s="8" t="inlineStr"/>
      <c r="Q26" s="8" t="inlineStr"/>
      <c r="R26" s="8" t="inlineStr"/>
      <c r="S26" s="8" t="inlineStr"/>
      <c r="T26" s="8" t="inlineStr"/>
    </row>
    <row r="27">
      <c r="A27" s="9" t="inlineStr">
        <is>
          <t>c1-026</t>
        </is>
      </c>
      <c r="B27" s="9" t="inlineStr">
        <is>
          <t>~8h06</t>
        </is>
      </c>
      <c r="C27" s="9" t="inlineStr">
        <is>
          <t>A Cliente do Cofre</t>
        </is>
      </c>
      <c r="D27" s="9" t="inlineStr">
        <is>
          <t>todos</t>
        </is>
      </c>
      <c r="E27" s="9" t="inlineStr">
        <is>
          <t>presencial</t>
        </is>
      </c>
      <c r="F27" s="9" t="inlineStr">
        <is>
          <t>direta</t>
        </is>
      </c>
      <c r="G27" s="9" t="inlineStr">
        <is>
          <t>Eu vi esse saco ontem, na Antecâmara. Cheio. Tinha esse vinco perto da costura, como uma boca torta.</t>
        </is>
      </c>
      <c r="H27" s="9" t="inlineStr">
        <is>
          <t>prova</t>
        </is>
      </c>
      <c r="I27" s="9" t="inlineStr"/>
      <c r="J27" s="9" t="inlineStr"/>
      <c r="K27" s="9" t="inlineStr"/>
      <c r="L27" s="9" t="inlineStr">
        <is>
          <t>toda casa</t>
        </is>
      </c>
      <c r="M27" s="9" t="inlineStr">
        <is>
          <t>não</t>
        </is>
      </c>
      <c r="N27" s="9" t="inlineStr"/>
      <c r="O27" s="9" t="inlineStr"/>
      <c r="P27" s="9" t="inlineStr"/>
      <c r="Q27" s="9" t="inlineStr"/>
      <c r="R27" s="9" t="inlineStr"/>
      <c r="S27" s="9" t="inlineStr"/>
      <c r="T27" s="9" t="inlineStr">
        <is>
          <t>Reconhecimento do invólucro (vinco da véspera); fonte única, de núcleo.</t>
        </is>
      </c>
    </row>
    <row r="28">
      <c r="A28" s="8" t="inlineStr">
        <is>
          <t>c1-027</t>
        </is>
      </c>
      <c r="B28" s="8" t="inlineStr">
        <is>
          <t>~8h06</t>
        </is>
      </c>
      <c r="C28" s="8" t="inlineStr">
        <is>
          <t>O Gerente</t>
        </is>
      </c>
      <c r="D28" s="8" t="inlineStr">
        <is>
          <t>todos</t>
        </is>
      </c>
      <c r="E28" s="8" t="inlineStr">
        <is>
          <t>presencial</t>
        </is>
      </c>
      <c r="F28" s="8" t="inlineStr">
        <is>
          <t>direta</t>
        </is>
      </c>
      <c r="G28" s="8" t="inlineStr">
        <is>
          <t>Então é o malote. Houve subtração.</t>
        </is>
      </c>
      <c r="H28" s="8" t="inlineStr">
        <is>
          <t>pista falsa</t>
        </is>
      </c>
      <c r="I28" s="8" t="inlineStr"/>
      <c r="J28" s="8" t="inlineStr"/>
      <c r="K28" s="8" t="inlineStr"/>
      <c r="L28" s="8" t="inlineStr">
        <is>
          <t>toda casa</t>
        </is>
      </c>
      <c r="M28" s="8" t="inlineStr">
        <is>
          <t>não</t>
        </is>
      </c>
      <c r="N28" s="8" t="inlineStr"/>
      <c r="O28" s="8" t="inlineStr"/>
      <c r="P28" s="8" t="inlineStr"/>
      <c r="Q28" s="8" t="inlineStr"/>
      <c r="R28" s="8" t="inlineStr"/>
      <c r="S28" s="8" t="inlineStr"/>
      <c r="T28" s="8" t="inlineStr"/>
    </row>
    <row r="29">
      <c r="A29" s="9" t="inlineStr">
        <is>
          <t>c1-028</t>
        </is>
      </c>
      <c r="B29" s="9" t="inlineStr">
        <is>
          <t>~8h06</t>
        </is>
      </c>
      <c r="C29" s="9" t="inlineStr">
        <is>
          <t>A Auditora</t>
        </is>
      </c>
      <c r="D29" s="9" t="inlineStr">
        <is>
          <t>gerente</t>
        </is>
      </c>
      <c r="E29" s="9" t="inlineStr">
        <is>
          <t>presencial</t>
        </is>
      </c>
      <c r="F29" s="9" t="inlineStr">
        <is>
          <t>direta</t>
        </is>
      </c>
      <c r="G29" s="9" t="inlineStr">
        <is>
          <t>Houve o reconhecimento de um invólucro. Ainda não sabemos o que havia dentro, quando saiu, nem se foi este o volume entregue.</t>
        </is>
      </c>
      <c r="H29" s="9" t="inlineStr">
        <is>
          <t>ambiente</t>
        </is>
      </c>
      <c r="I29" s="9" t="inlineStr"/>
      <c r="J29" s="9" t="inlineStr"/>
      <c r="K29" s="9" t="inlineStr"/>
      <c r="L29" s="9" t="inlineStr">
        <is>
          <t>toda casa</t>
        </is>
      </c>
      <c r="M29" s="9" t="inlineStr">
        <is>
          <t>não</t>
        </is>
      </c>
      <c r="N29" s="9" t="inlineStr"/>
      <c r="O29" s="9" t="inlineStr"/>
      <c r="P29" s="9" t="inlineStr"/>
      <c r="Q29" s="9" t="inlineStr"/>
      <c r="R29" s="9" t="inlineStr"/>
      <c r="S29" s="9" t="inlineStr"/>
      <c r="T29" s="9" t="inlineStr"/>
    </row>
    <row r="30">
      <c r="A30" s="8" t="inlineStr">
        <is>
          <t>c1-029</t>
        </is>
      </c>
      <c r="B30" s="8" t="inlineStr">
        <is>
          <t>~8h06</t>
        </is>
      </c>
      <c r="C30" s="8" t="inlineStr">
        <is>
          <t>O Gerente</t>
        </is>
      </c>
      <c r="D30" s="8" t="inlineStr">
        <is>
          <t>auditora</t>
        </is>
      </c>
      <c r="E30" s="8" t="inlineStr">
        <is>
          <t>presencial</t>
        </is>
      </c>
      <c r="F30" s="8" t="inlineStr">
        <is>
          <t>direta</t>
        </is>
      </c>
      <c r="G30" s="8" t="inlineStr">
        <is>
          <t>Quatrocentos e oitenta mil. O sistema...</t>
        </is>
      </c>
      <c r="H30" s="8" t="inlineStr">
        <is>
          <t>ambiente</t>
        </is>
      </c>
      <c r="I30" s="8" t="inlineStr"/>
      <c r="J30" s="8" t="inlineStr"/>
      <c r="K30" s="8" t="inlineStr"/>
      <c r="L30" s="8" t="inlineStr">
        <is>
          <t>toda casa</t>
        </is>
      </c>
      <c r="M30" s="8" t="inlineStr">
        <is>
          <t>não</t>
        </is>
      </c>
      <c r="N30" s="8" t="inlineStr"/>
      <c r="O30" s="8" t="inlineStr"/>
      <c r="P30" s="8" t="inlineStr"/>
      <c r="Q30" s="8" t="inlineStr"/>
      <c r="R30" s="8" t="inlineStr"/>
      <c r="S30" s="8" t="inlineStr"/>
      <c r="T30" s="8" t="inlineStr"/>
    </row>
    <row r="31">
      <c r="A31" s="9" t="inlineStr">
        <is>
          <t>c1-030</t>
        </is>
      </c>
      <c r="B31" s="9" t="inlineStr">
        <is>
          <t>~8h06</t>
        </is>
      </c>
      <c r="C31" s="9" t="inlineStr">
        <is>
          <t>A Auditora</t>
        </is>
      </c>
      <c r="D31" s="9" t="inlineStr">
        <is>
          <t>gerente</t>
        </is>
      </c>
      <c r="E31" s="9" t="inlineStr">
        <is>
          <t>presencial</t>
        </is>
      </c>
      <c r="F31" s="9" t="inlineStr">
        <is>
          <t>direta</t>
        </is>
      </c>
      <c r="G31" s="9" t="inlineStr">
        <is>
          <t>O sistema declara. Não testemunha.</t>
        </is>
      </c>
      <c r="H31" s="9" t="inlineStr">
        <is>
          <t>ambiente</t>
        </is>
      </c>
      <c r="I31" s="9" t="inlineStr"/>
      <c r="J31" s="9" t="inlineStr"/>
      <c r="K31" s="9" t="inlineStr"/>
      <c r="L31" s="9" t="inlineStr">
        <is>
          <t>toda casa</t>
        </is>
      </c>
      <c r="M31" s="9" t="inlineStr">
        <is>
          <t>não</t>
        </is>
      </c>
      <c r="N31" s="9" t="inlineStr"/>
      <c r="O31" s="9" t="inlineStr"/>
      <c r="P31" s="9" t="inlineStr"/>
      <c r="Q31" s="9" t="inlineStr"/>
      <c r="R31" s="9" t="inlineStr"/>
      <c r="S31" s="9" t="inlineStr"/>
      <c r="T31" s="9" t="inlineStr"/>
    </row>
    <row r="32">
      <c r="A32" s="8" t="inlineStr">
        <is>
          <t>c1-031</t>
        </is>
      </c>
      <c r="B32" s="8" t="inlineStr">
        <is>
          <t>~8h07</t>
        </is>
      </c>
      <c r="C32" s="8" t="inlineStr">
        <is>
          <t>O Caixa Veterano</t>
        </is>
      </c>
      <c r="D32" s="8" t="inlineStr">
        <is>
          <t>todos</t>
        </is>
      </c>
      <c r="E32" s="8" t="inlineStr">
        <is>
          <t>presencial</t>
        </is>
      </c>
      <c r="F32" s="8" t="inlineStr">
        <is>
          <t>direta</t>
        </is>
      </c>
      <c r="G32" s="8" t="inlineStr">
        <is>
          <t>O malote que passou para a Eclusa estava com o lacre ML-8847.</t>
        </is>
      </c>
      <c r="H32" s="8" t="inlineStr">
        <is>
          <t>prova</t>
        </is>
      </c>
      <c r="I32" s="8" t="inlineStr"/>
      <c r="J32" s="8" t="inlineStr"/>
      <c r="K32" s="8" t="inlineStr"/>
      <c r="L32" s="8" t="inlineStr">
        <is>
          <t>toda casa</t>
        </is>
      </c>
      <c r="M32" s="8" t="inlineStr">
        <is>
          <t>não</t>
        </is>
      </c>
      <c r="N32" s="8" t="inlineStr"/>
      <c r="O32" s="8" t="inlineStr"/>
      <c r="P32" s="8" t="inlineStr"/>
      <c r="Q32" s="8" t="inlineStr"/>
      <c r="R32" s="8" t="inlineStr"/>
      <c r="S32" s="8" t="inlineStr"/>
      <c r="T32" s="8" t="inlineStr">
        <is>
          <t>Diferença de lacres (ML-8847 partiu); fonte de núcleo, confirmada pela Operadora às 8h07.</t>
        </is>
      </c>
    </row>
    <row r="33">
      <c r="A33" s="9" t="inlineStr">
        <is>
          <t>c1-032</t>
        </is>
      </c>
      <c r="B33" s="9" t="inlineStr">
        <is>
          <t>~8h07</t>
        </is>
      </c>
      <c r="C33" s="9" t="inlineStr">
        <is>
          <t>O Gerente</t>
        </is>
      </c>
      <c r="D33" s="9" t="inlineStr">
        <is>
          <t>todos</t>
        </is>
      </c>
      <c r="E33" s="9" t="inlineStr">
        <is>
          <t>presencial</t>
        </is>
      </c>
      <c r="F33" s="9" t="inlineStr">
        <is>
          <t>indireta</t>
        </is>
      </c>
      <c r="G33" s="9" t="inlineStr">
        <is>
          <t>Isso deve ser uma reetiquetagem operacional.</t>
        </is>
      </c>
      <c r="H33" s="9" t="inlineStr">
        <is>
          <t>pista falsa</t>
        </is>
      </c>
      <c r="I33" s="9" t="inlineStr"/>
      <c r="J33" s="9" t="inlineStr"/>
      <c r="K33" s="9" t="inlineStr"/>
      <c r="L33" s="9" t="inlineStr">
        <is>
          <t>toda casa</t>
        </is>
      </c>
      <c r="M33" s="9" t="inlineStr">
        <is>
          <t>não</t>
        </is>
      </c>
      <c r="N33" s="9" t="inlineStr"/>
      <c r="O33" s="9" t="inlineStr"/>
      <c r="P33" s="9" t="inlineStr"/>
      <c r="Q33" s="9" t="inlineStr"/>
      <c r="R33" s="9" t="inlineStr"/>
      <c r="S33" s="9" t="inlineStr"/>
      <c r="T33" s="9" t="inlineStr"/>
    </row>
    <row r="34">
      <c r="A34" s="8" t="inlineStr">
        <is>
          <t>c1-033</t>
        </is>
      </c>
      <c r="B34" s="8" t="inlineStr">
        <is>
          <t>~8h07</t>
        </is>
      </c>
      <c r="C34" s="8" t="inlineStr">
        <is>
          <t>O Motorista</t>
        </is>
      </c>
      <c r="D34" s="8" t="inlineStr">
        <is>
          <t>todos</t>
        </is>
      </c>
      <c r="E34" s="8" t="inlineStr">
        <is>
          <t>rádio</t>
        </is>
      </c>
      <c r="F34" s="8" t="inlineStr">
        <is>
          <t>direta</t>
        </is>
      </c>
      <c r="G34" s="8" t="inlineStr">
        <is>
          <t>Na via está ML-8842.</t>
        </is>
      </c>
      <c r="H34" s="8" t="inlineStr">
        <is>
          <t>prova</t>
        </is>
      </c>
      <c r="I34" s="8" t="inlineStr">
        <is>
          <t>Lacre ML-8842 na via de papel</t>
        </is>
      </c>
      <c r="J34" s="8" t="inlineStr"/>
      <c r="K34" s="8" t="inlineStr"/>
      <c r="L34" s="8" t="inlineStr">
        <is>
          <t>toda casa</t>
        </is>
      </c>
      <c r="M34" s="8" t="inlineStr">
        <is>
          <t>não</t>
        </is>
      </c>
      <c r="N34" s="8" t="inlineStr"/>
      <c r="O34" s="8" t="inlineStr"/>
      <c r="P34" s="8" t="inlineStr"/>
      <c r="Q34" s="8" t="inlineStr"/>
      <c r="R34" s="8" t="inlineStr"/>
      <c r="S34" s="8" t="inlineStr"/>
      <c r="T34" s="8" t="inlineStr">
        <is>
          <t>Fonte primária (apoio).</t>
        </is>
      </c>
    </row>
    <row r="35">
      <c r="A35" s="9" t="inlineStr">
        <is>
          <t>c1-034</t>
        </is>
      </c>
      <c r="B35" s="9" t="inlineStr">
        <is>
          <t>~8h07</t>
        </is>
      </c>
      <c r="C35" s="9" t="inlineStr">
        <is>
          <t>A Auditora</t>
        </is>
      </c>
      <c r="D35" s="9" t="inlineStr">
        <is>
          <t>seguranca_veiculo</t>
        </is>
      </c>
      <c r="E35" s="9" t="inlineStr">
        <is>
          <t>presencial</t>
        </is>
      </c>
      <c r="F35" s="9" t="inlineStr">
        <is>
          <t>direta</t>
        </is>
      </c>
      <c r="G35" s="9" t="inlineStr">
        <is>
          <t>E o senhor conferiu o quê?</t>
        </is>
      </c>
      <c r="H35" s="9" t="inlineStr">
        <is>
          <t>reforço</t>
        </is>
      </c>
      <c r="I35" s="9" t="inlineStr">
        <is>
          <t>Lacre ML-8842 na via de papel</t>
        </is>
      </c>
      <c r="J35" s="9" t="inlineStr"/>
      <c r="K35" s="9" t="inlineStr"/>
      <c r="L35" s="9" t="inlineStr">
        <is>
          <t>toda casa</t>
        </is>
      </c>
      <c r="M35" s="9" t="inlineStr">
        <is>
          <t>não</t>
        </is>
      </c>
      <c r="N35" s="9" t="inlineStr"/>
      <c r="O35" s="9" t="inlineStr"/>
      <c r="P35" s="9" t="inlineStr"/>
      <c r="Q35" s="9" t="inlineStr"/>
      <c r="R35" s="9" t="inlineStr"/>
      <c r="S35" s="9" t="inlineStr"/>
      <c r="T35" s="9" t="inlineStr">
        <is>
          <t>Pergunta órfã sem o Segurança do Veículo.</t>
        </is>
      </c>
    </row>
    <row r="36">
      <c r="A36" s="8" t="inlineStr">
        <is>
          <t>c1-035</t>
        </is>
      </c>
      <c r="B36" s="8" t="inlineStr">
        <is>
          <t>~8h07</t>
        </is>
      </c>
      <c r="C36" s="8" t="inlineStr">
        <is>
          <t>O Segurança do Veículo</t>
        </is>
      </c>
      <c r="D36" s="8" t="inlineStr">
        <is>
          <t>auditora</t>
        </is>
      </c>
      <c r="E36" s="8" t="inlineStr">
        <is>
          <t>presencial</t>
        </is>
      </c>
      <c r="F36" s="8" t="inlineStr">
        <is>
          <t>direta</t>
        </is>
      </c>
      <c r="G36" s="8" t="inlineStr">
        <is>
          <t>A tela da Mesa.</t>
        </is>
      </c>
      <c r="H36" s="8" t="inlineStr">
        <is>
          <t>reforço</t>
        </is>
      </c>
      <c r="I36" s="8" t="inlineStr">
        <is>
          <t>Lacre ML-8842 na via de papel</t>
        </is>
      </c>
      <c r="J36" s="8" t="inlineStr"/>
      <c r="K36" s="8" t="inlineStr"/>
      <c r="L36" s="8" t="inlineStr">
        <is>
          <t>casa ≥ 10</t>
        </is>
      </c>
      <c r="M36" s="8" t="inlineStr">
        <is>
          <t>sim</t>
        </is>
      </c>
      <c r="N36" s="8" t="inlineStr"/>
      <c r="O36" s="8" t="inlineStr"/>
      <c r="P36" s="8" t="inlineStr"/>
      <c r="Q36" s="8" t="inlineStr"/>
      <c r="R36" s="8" t="inlineStr"/>
      <c r="S36" s="8" t="inlineStr"/>
      <c r="T36" s="8" t="inlineStr"/>
    </row>
    <row r="37">
      <c r="A37" s="9" t="inlineStr">
        <is>
          <t>c1-036</t>
        </is>
      </c>
      <c r="B37" s="9" t="inlineStr">
        <is>
          <t>~8h07</t>
        </is>
      </c>
      <c r="C37" s="9" t="inlineStr">
        <is>
          <t>O Motorista</t>
        </is>
      </c>
      <c r="D37" s="9" t="inlineStr">
        <is>
          <t>todos</t>
        </is>
      </c>
      <c r="E37" s="9" t="inlineStr">
        <is>
          <t>rádio</t>
        </is>
      </c>
      <c r="F37" s="9" t="inlineStr">
        <is>
          <t>indireta</t>
        </is>
      </c>
      <c r="G37" s="9" t="inlineStr">
        <is>
          <t>Um carro parou duas vezes na esquina. A base recomenda retirada.</t>
        </is>
      </c>
      <c r="H37" s="9" t="inlineStr">
        <is>
          <t>subtrama</t>
        </is>
      </c>
      <c r="I37" s="9" t="inlineStr"/>
      <c r="J37" s="9" t="inlineStr"/>
      <c r="K37" s="9" t="inlineStr"/>
      <c r="L37" s="9" t="inlineStr">
        <is>
          <t>toda casa</t>
        </is>
      </c>
      <c r="M37" s="9" t="inlineStr">
        <is>
          <t>não</t>
        </is>
      </c>
      <c r="N37" s="9" t="inlineStr"/>
      <c r="O37" s="9" t="inlineStr"/>
      <c r="P37" s="9" t="inlineStr"/>
      <c r="Q37" s="9" t="inlineStr"/>
      <c r="R37" s="9" t="inlineStr"/>
      <c r="S37" s="9" t="inlineStr"/>
      <c r="T37" s="9" t="inlineStr">
        <is>
          <t>Perigo na rua; protocolo impede partida.</t>
        </is>
      </c>
    </row>
    <row r="38">
      <c r="A38" s="8" t="inlineStr">
        <is>
          <t>c1-037</t>
        </is>
      </c>
      <c r="B38" s="8" t="inlineStr">
        <is>
          <t>~8h07</t>
        </is>
      </c>
      <c r="C38" s="8" t="inlineStr">
        <is>
          <t>A Auditora</t>
        </is>
      </c>
      <c r="D38" s="8" t="inlineStr">
        <is>
          <t>todos</t>
        </is>
      </c>
      <c r="E38" s="8" t="inlineStr">
        <is>
          <t>presencial</t>
        </is>
      </c>
      <c r="F38" s="8" t="inlineStr">
        <is>
          <t>direta</t>
        </is>
      </c>
      <c r="G38" s="8" t="inlineStr">
        <is>
          <t>Quem imprimiu etiquetas esta manhã?</t>
        </is>
      </c>
      <c r="H38" s="8" t="inlineStr">
        <is>
          <t>prova</t>
        </is>
      </c>
      <c r="I38" s="8" t="inlineStr"/>
      <c r="J38" s="8" t="inlineStr"/>
      <c r="K38" s="8" t="inlineStr"/>
      <c r="L38" s="8" t="inlineStr">
        <is>
          <t>toda casa</t>
        </is>
      </c>
      <c r="M38" s="8" t="inlineStr">
        <is>
          <t>não</t>
        </is>
      </c>
      <c r="N38" s="8" t="inlineStr"/>
      <c r="O38" s="8" t="inlineStr"/>
      <c r="P38" s="8" t="inlineStr"/>
      <c r="Q38" s="8" t="inlineStr"/>
      <c r="R38" s="8" t="inlineStr"/>
      <c r="S38" s="8" t="inlineStr"/>
      <c r="T38" s="8" t="inlineStr">
        <is>
          <t>Fragmento térmico na cola do lacre.</t>
        </is>
      </c>
    </row>
    <row r="39">
      <c r="A39" s="9" t="inlineStr">
        <is>
          <t>c1-038</t>
        </is>
      </c>
      <c r="B39" s="9" t="inlineStr">
        <is>
          <t>~8h07</t>
        </is>
      </c>
      <c r="C39" s="9" t="inlineStr">
        <is>
          <t>O Caixa Veterano</t>
        </is>
      </c>
      <c r="D39" s="9" t="inlineStr">
        <is>
          <t>auditora</t>
        </is>
      </c>
      <c r="E39" s="9" t="inlineStr">
        <is>
          <t>presencial</t>
        </is>
      </c>
      <c r="F39" s="9" t="inlineStr">
        <is>
          <t>indireta</t>
        </is>
      </c>
      <c r="G39" s="9" t="inlineStr">
        <is>
          <t>A impressora de etiquetas fica na Gerência e só sai do modo de economia às sete e cinquenta e três. Eu não imprimi nada.</t>
        </is>
      </c>
      <c r="H39" s="9" t="inlineStr">
        <is>
          <t>prova</t>
        </is>
      </c>
      <c r="I39" s="9" t="inlineStr"/>
      <c r="J39" s="9" t="inlineStr"/>
      <c r="K39" s="9" t="inlineStr"/>
      <c r="L39" s="9" t="inlineStr">
        <is>
          <t>toda casa</t>
        </is>
      </c>
      <c r="M39" s="9" t="inlineStr">
        <is>
          <t>não</t>
        </is>
      </c>
      <c r="N39" s="9" t="inlineStr"/>
      <c r="O39" s="9" t="inlineStr"/>
      <c r="P39" s="9" t="inlineStr"/>
      <c r="Q39" s="9" t="inlineStr"/>
      <c r="R39" s="9" t="inlineStr"/>
      <c r="S39" s="9" t="inlineStr"/>
      <c r="T39" s="9" t="inlineStr">
        <is>
          <t>Fala fixa; na partida V é dita pelo impostor (impressão foi agendada às 6h58, não 'impressa' por ele) — tecnicamente não se desmente.</t>
        </is>
      </c>
    </row>
    <row r="40">
      <c r="A40" s="8" t="inlineStr">
        <is>
          <t>c1-039</t>
        </is>
      </c>
      <c r="B40" s="8" t="inlineStr">
        <is>
          <t>~8h07</t>
        </is>
      </c>
      <c r="C40" s="8" t="inlineStr">
        <is>
          <t>O Caixa Novato</t>
        </is>
      </c>
      <c r="D40" s="8" t="inlineStr">
        <is>
          <t>auditora</t>
        </is>
      </c>
      <c r="E40" s="8" t="inlineStr">
        <is>
          <t>presencial</t>
        </is>
      </c>
      <c r="F40" s="8" t="inlineStr">
        <is>
          <t>indireta</t>
        </is>
      </c>
      <c r="G40" s="8" t="inlineStr">
        <is>
          <t>Eu nem sei a senha.</t>
        </is>
      </c>
      <c r="H40" s="8" t="inlineStr">
        <is>
          <t>pista falsa</t>
        </is>
      </c>
      <c r="I40" s="8" t="inlineStr"/>
      <c r="J40" s="8" t="inlineStr"/>
      <c r="K40" s="8" t="inlineStr"/>
      <c r="L40" s="8" t="inlineStr">
        <is>
          <t>toda casa</t>
        </is>
      </c>
      <c r="M40" s="8" t="inlineStr">
        <is>
          <t>não</t>
        </is>
      </c>
      <c r="N40" s="8" t="inlineStr"/>
      <c r="O40" s="8" t="inlineStr"/>
      <c r="P40" s="8" t="inlineStr"/>
      <c r="Q40" s="8" t="inlineStr"/>
      <c r="R40" s="8" t="inlineStr"/>
      <c r="S40" s="8" t="inlineStr"/>
      <c r="T40" s="8" t="inlineStr"/>
    </row>
    <row r="41">
      <c r="A41" s="9" t="inlineStr">
        <is>
          <t>c1-040</t>
        </is>
      </c>
      <c r="B41" s="9" t="inlineStr">
        <is>
          <t>~8h07</t>
        </is>
      </c>
      <c r="C41" s="9" t="inlineStr">
        <is>
          <t>A Operadora da Central</t>
        </is>
      </c>
      <c r="D41" s="9" t="inlineStr">
        <is>
          <t>auditora</t>
        </is>
      </c>
      <c r="E41" s="9" t="inlineStr">
        <is>
          <t>interfone</t>
        </is>
      </c>
      <c r="F41" s="9" t="inlineStr">
        <is>
          <t>indireta</t>
        </is>
      </c>
      <c r="G41" s="9" t="inlineStr">
        <is>
          <t>Preciso de tempo para consultar a fila.</t>
        </is>
      </c>
      <c r="H41" s="9" t="inlineStr">
        <is>
          <t>ambiente</t>
        </is>
      </c>
      <c r="I41" s="9" t="inlineStr"/>
      <c r="J41" s="9" t="inlineStr"/>
      <c r="K41" s="9" t="inlineStr"/>
      <c r="L41" s="9" t="inlineStr">
        <is>
          <t>toda casa</t>
        </is>
      </c>
      <c r="M41" s="9" t="inlineStr">
        <is>
          <t>não</t>
        </is>
      </c>
      <c r="N41" s="9" t="inlineStr"/>
      <c r="O41" s="9" t="inlineStr"/>
      <c r="P41" s="9" t="inlineStr"/>
      <c r="Q41" s="9" t="inlineStr"/>
      <c r="R41" s="9" t="inlineStr"/>
      <c r="S41" s="9" t="inlineStr"/>
      <c r="T41" s="9" t="inlineStr"/>
    </row>
    <row r="42">
      <c r="A42" s="8" t="inlineStr">
        <is>
          <t>c1-041</t>
        </is>
      </c>
      <c r="B42" s="8" t="inlineStr">
        <is>
          <t>8h07</t>
        </is>
      </c>
      <c r="C42" s="8" t="inlineStr">
        <is>
          <t>A Operadora da Central</t>
        </is>
      </c>
      <c r="D42" s="8" t="inlineStr">
        <is>
          <t>todos</t>
        </is>
      </c>
      <c r="E42" s="8" t="inlineStr">
        <is>
          <t>interfone</t>
        </is>
      </c>
      <c r="F42" s="8" t="inlineStr">
        <is>
          <t>indireta</t>
        </is>
      </c>
      <c r="G42" s="8" t="inlineStr">
        <is>
          <t>Confirmo: o malote 41 atravessou a Eclusa às oito horas com ML-8847, e a troca de lacre consta no sistema, sem nome.</t>
        </is>
      </c>
      <c r="H42" s="8" t="inlineStr">
        <is>
          <t>prova</t>
        </is>
      </c>
      <c r="I42" s="8" t="inlineStr"/>
      <c r="J42" s="8" t="inlineStr"/>
      <c r="K42" s="8" t="inlineStr"/>
      <c r="L42" s="8" t="inlineStr">
        <is>
          <t>toda casa</t>
        </is>
      </c>
      <c r="M42" s="8" t="inlineStr">
        <is>
          <t>não</t>
        </is>
      </c>
      <c r="N42" s="8" t="inlineStr"/>
      <c r="O42" s="8" t="inlineStr"/>
      <c r="P42" s="8" t="inlineStr"/>
      <c r="Q42" s="8" t="inlineStr"/>
      <c r="R42" s="8" t="inlineStr"/>
      <c r="S42" s="8" t="inlineStr"/>
      <c r="T42" s="8" t="inlineStr">
        <is>
          <t>Âncora 8h07; fonte primária (registro via Operadora). Canal não explicitado (interfone inferido).</t>
        </is>
      </c>
    </row>
    <row r="43">
      <c r="A43" s="9" t="inlineStr">
        <is>
          <t>c1-042</t>
        </is>
      </c>
      <c r="B43" s="9" t="inlineStr">
        <is>
          <t>~8h08</t>
        </is>
      </c>
      <c r="C43" s="9" t="inlineStr">
        <is>
          <t>O Caixa Novato</t>
        </is>
      </c>
      <c r="D43" s="9" t="inlineStr">
        <is>
          <t>todos</t>
        </is>
      </c>
      <c r="E43" s="9" t="inlineStr">
        <is>
          <t>presencial</t>
        </is>
      </c>
      <c r="F43" s="9" t="inlineStr">
        <is>
          <t>direta</t>
        </is>
      </c>
      <c r="G43" s="9" t="inlineStr">
        <is>
          <t>Essa pasta não é minha.</t>
        </is>
      </c>
      <c r="H43" s="9" t="inlineStr">
        <is>
          <t>pista falsa</t>
        </is>
      </c>
      <c r="I43" s="9" t="inlineStr"/>
      <c r="J43" s="9" t="inlineStr"/>
      <c r="K43" s="9" t="inlineStr"/>
      <c r="L43" s="9" t="inlineStr">
        <is>
          <t>toda casa</t>
        </is>
      </c>
      <c r="M43" s="9" t="inlineStr">
        <is>
          <t>não</t>
        </is>
      </c>
      <c r="N43" s="9" t="inlineStr"/>
      <c r="O43" s="9" t="inlineStr"/>
      <c r="P43" s="9" t="inlineStr"/>
      <c r="Q43" s="9" t="inlineStr"/>
      <c r="R43" s="9" t="inlineStr"/>
      <c r="S43" s="9" t="inlineStr"/>
      <c r="T43" s="9" t="inlineStr">
        <is>
          <t>Pasta azul trocada (chave 17-B e senha da Estagiária).</t>
        </is>
      </c>
    </row>
    <row r="44">
      <c r="A44" s="8" t="inlineStr">
        <is>
          <t>c1-043</t>
        </is>
      </c>
      <c r="B44" s="8" t="inlineStr">
        <is>
          <t>~8h08</t>
        </is>
      </c>
      <c r="C44" s="8" t="inlineStr">
        <is>
          <t>O Gerente</t>
        </is>
      </c>
      <c r="D44" s="8" t="inlineStr">
        <is>
          <t>caixa_novato</t>
        </is>
      </c>
      <c r="E44" s="8" t="inlineStr">
        <is>
          <t>presencial</t>
        </is>
      </c>
      <c r="F44" s="8" t="inlineStr">
        <is>
          <t>direta</t>
        </is>
      </c>
      <c r="G44" s="8" t="inlineStr">
        <is>
          <t>Então é de quem?</t>
        </is>
      </c>
      <c r="H44" s="8" t="inlineStr">
        <is>
          <t>pista falsa</t>
        </is>
      </c>
      <c r="I44" s="8" t="inlineStr"/>
      <c r="J44" s="8" t="inlineStr"/>
      <c r="K44" s="8" t="inlineStr"/>
      <c r="L44" s="8" t="inlineStr">
        <is>
          <t>toda casa</t>
        </is>
      </c>
      <c r="M44" s="8" t="inlineStr">
        <is>
          <t>não</t>
        </is>
      </c>
      <c r="N44" s="8" t="inlineStr"/>
      <c r="O44" s="8" t="inlineStr"/>
      <c r="P44" s="8" t="inlineStr"/>
      <c r="Q44" s="8" t="inlineStr"/>
      <c r="R44" s="8" t="inlineStr"/>
      <c r="S44" s="8" t="inlineStr"/>
      <c r="T44" s="8" t="inlineStr">
        <is>
          <t>A resposta é gestual (Estagiária abre a própria pasta); sem bloco 3 a troca de pastas fica sem dona.</t>
        </is>
      </c>
    </row>
    <row r="45">
      <c r="A45" s="9" t="inlineStr">
        <is>
          <t>c1-044</t>
        </is>
      </c>
      <c r="B45" s="9" t="inlineStr">
        <is>
          <t>8h10</t>
        </is>
      </c>
      <c r="C45" s="9" t="inlineStr">
        <is>
          <t>O Monitor Remoto</t>
        </is>
      </c>
      <c r="D45" s="9" t="inlineStr">
        <is>
          <t>todos</t>
        </is>
      </c>
      <c r="E45" s="9" t="inlineStr">
        <is>
          <t>mensagem sem origem</t>
        </is>
      </c>
      <c r="F45" s="9" t="inlineStr">
        <is>
          <t>direta</t>
        </is>
      </c>
      <c r="G45" s="9" t="inlineStr">
        <is>
          <t>Procurem quem abriu antes.</t>
        </is>
      </c>
      <c r="H45" s="9" t="inlineStr">
        <is>
          <t>prova</t>
        </is>
      </c>
      <c r="I45" s="9" t="inlineStr">
        <is>
          <t>Porta lateral às 6h36 e 7h06</t>
        </is>
      </c>
      <c r="J45" s="9" t="inlineStr"/>
      <c r="K45" s="9" t="inlineStr"/>
      <c r="L45" s="9" t="inlineStr">
        <is>
          <t>toda casa</t>
        </is>
      </c>
      <c r="M45" s="9" t="inlineStr">
        <is>
          <t>não</t>
        </is>
      </c>
      <c r="N45" s="9" t="inlineStr"/>
      <c r="O45" s="9" t="inlineStr"/>
      <c r="P45" s="9" t="inlineStr"/>
      <c r="Q45" s="9" t="inlineStr"/>
      <c r="R45" s="9" t="inlineStr"/>
      <c r="S45" s="9" t="inlineStr"/>
      <c r="T45" s="9" t="inlineStr">
        <is>
          <t>Rádio da Central, sem origem. Intenção: a porta lateral aberta antes das chegadas; o grupo lê como o Novato (efeito de pista falsa). Monitor é do bloco 'completa': na casa 6 a mensagem precisa chegar mesmo assim (ela é anônima).</t>
        </is>
      </c>
    </row>
  </sheetData>
  <autoFilter ref="A1:T4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47"/>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c2-001</t>
        </is>
      </c>
      <c r="B2" s="8" t="inlineStr">
        <is>
          <t>8h18</t>
        </is>
      </c>
      <c r="C2" s="8" t="inlineStr">
        <is>
          <t>O Subgerente</t>
        </is>
      </c>
      <c r="D2" s="8" t="inlineStr">
        <is>
          <t>seguranca_interno</t>
        </is>
      </c>
      <c r="E2" s="8" t="inlineStr">
        <is>
          <t>registro</t>
        </is>
      </c>
      <c r="F2" s="8" t="inlineStr">
        <is>
          <t>direta</t>
        </is>
      </c>
      <c r="G2" s="8" t="inlineStr">
        <is>
          <t>Porta lateral. Possível tentativa.</t>
        </is>
      </c>
      <c r="H2" s="8" t="inlineStr">
        <is>
          <t>prova</t>
        </is>
      </c>
      <c r="I2" s="8" t="inlineStr">
        <is>
          <t>A ordem saiu da Gerência (estabilizador)</t>
        </is>
      </c>
      <c r="J2" s="8" t="inlineStr"/>
      <c r="K2" s="8" t="inlineStr"/>
      <c r="L2" s="8" t="inlineStr">
        <is>
          <t>casa ≥ 8</t>
        </is>
      </c>
      <c r="M2" s="8" t="inlineStr">
        <is>
          <t>não</t>
        </is>
      </c>
      <c r="N2" s="8" t="inlineStr"/>
      <c r="O2" s="8" t="inlineStr"/>
      <c r="P2" s="8" t="inlineStr"/>
      <c r="Q2" s="8" t="inlineStr"/>
      <c r="R2" s="8" t="inlineStr"/>
      <c r="S2" s="8" t="inlineStr"/>
      <c r="T2" s="8" t="inlineStr">
        <is>
          <t>Gravação do rádio reserva (7h58:05) reproduzida pela Operadora. Falante = impostor sorteado (G: gerente; V: caixa_veterano); voz irreconhecível; não marcado como ponto de ajuste.</t>
        </is>
      </c>
    </row>
    <row r="3">
      <c r="A3" s="9" t="inlineStr">
        <is>
          <t>c2-002</t>
        </is>
      </c>
      <c r="B3" s="9" t="inlineStr">
        <is>
          <t>~8h18</t>
        </is>
      </c>
      <c r="C3" s="9" t="inlineStr">
        <is>
          <t>O Operador de Rádio</t>
        </is>
      </c>
      <c r="D3" s="9" t="inlineStr">
        <is>
          <t>todos</t>
        </is>
      </c>
      <c r="E3" s="9" t="inlineStr">
        <is>
          <t>rádio</t>
        </is>
      </c>
      <c r="F3" s="9" t="inlineStr">
        <is>
          <t>direta</t>
        </is>
      </c>
      <c r="G3" s="9" t="inlineStr">
        <is>
          <t>A base não transmitiu. Nosso canal com vocês encerrou às sete e quarenta e nove.</t>
        </is>
      </c>
      <c r="H3" s="9" t="inlineStr">
        <is>
          <t>prova</t>
        </is>
      </c>
      <c r="I3" s="9" t="inlineStr">
        <is>
          <t>A ordem saiu da Gerência (estabilizador)</t>
        </is>
      </c>
      <c r="J3" s="9" t="inlineStr"/>
      <c r="K3" s="9" t="inlineStr"/>
      <c r="L3" s="9" t="inlineStr">
        <is>
          <t>toda casa</t>
        </is>
      </c>
      <c r="M3" s="9" t="inlineStr">
        <is>
          <t>não</t>
        </is>
      </c>
      <c r="N3" s="9" t="inlineStr"/>
      <c r="O3" s="9" t="inlineStr"/>
      <c r="P3" s="9" t="inlineStr"/>
      <c r="Q3" s="9" t="inlineStr"/>
      <c r="R3" s="9" t="inlineStr"/>
      <c r="S3" s="9" t="inlineStr"/>
      <c r="T3" s="9" t="inlineStr">
        <is>
          <t>Vigia, mas do bloco 'completa': sem ele na casa 6, o Motorista pode dizer o mesmo.</t>
        </is>
      </c>
    </row>
    <row r="4">
      <c r="A4" s="8" t="inlineStr">
        <is>
          <t>c2-003</t>
        </is>
      </c>
      <c r="B4" s="8" t="inlineStr">
        <is>
          <t>~8h18</t>
        </is>
      </c>
      <c r="C4" s="8" t="inlineStr">
        <is>
          <t>O Gerente</t>
        </is>
      </c>
      <c r="D4" s="8" t="inlineStr">
        <is>
          <t>tecnico</t>
        </is>
      </c>
      <c r="E4" s="8" t="inlineStr">
        <is>
          <t>presencial</t>
        </is>
      </c>
      <c r="F4" s="8" t="inlineStr">
        <is>
          <t>indireta</t>
        </is>
      </c>
      <c r="G4" s="8" t="inlineStr">
        <is>
          <t>Esse áudio pode ter sido adulterado?</t>
        </is>
      </c>
      <c r="H4" s="8" t="inlineStr">
        <is>
          <t>ambiente</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row>
    <row r="5">
      <c r="A5" s="9" t="inlineStr">
        <is>
          <t>c2-004</t>
        </is>
      </c>
      <c r="B5" s="9" t="inlineStr">
        <is>
          <t>~8h18</t>
        </is>
      </c>
      <c r="C5" s="9" t="inlineStr">
        <is>
          <t>O Técnico</t>
        </is>
      </c>
      <c r="D5" s="9" t="inlineStr">
        <is>
          <t>gerente</t>
        </is>
      </c>
      <c r="E5" s="9" t="inlineStr">
        <is>
          <t>presencial</t>
        </is>
      </c>
      <c r="F5" s="9" t="inlineStr">
        <is>
          <t>indireta</t>
        </is>
      </c>
      <c r="G5" s="9" t="inlineStr">
        <is>
          <t>Tudo pode; o problema é o rastro.</t>
        </is>
      </c>
      <c r="H5" s="9" t="inlineStr">
        <is>
          <t>ambiente</t>
        </is>
      </c>
      <c r="I5" s="9" t="inlineStr"/>
      <c r="J5" s="9" t="inlineStr"/>
      <c r="K5" s="9" t="inlineStr"/>
      <c r="L5" s="9" t="inlineStr">
        <is>
          <t>toda casa</t>
        </is>
      </c>
      <c r="M5" s="9" t="inlineStr">
        <is>
          <t>não</t>
        </is>
      </c>
      <c r="N5" s="9" t="inlineStr"/>
      <c r="O5" s="9" t="inlineStr"/>
      <c r="P5" s="9" t="inlineStr"/>
      <c r="Q5" s="9" t="inlineStr"/>
      <c r="R5" s="9" t="inlineStr"/>
      <c r="S5" s="9" t="inlineStr"/>
      <c r="T5" s="9" t="inlineStr"/>
    </row>
    <row r="6">
      <c r="A6" s="8" t="inlineStr">
        <is>
          <t>c2-005</t>
        </is>
      </c>
      <c r="B6" s="8" t="inlineStr">
        <is>
          <t>~8h19</t>
        </is>
      </c>
      <c r="C6" s="8" t="inlineStr">
        <is>
          <t>O Técnico</t>
        </is>
      </c>
      <c r="D6" s="8" t="inlineStr">
        <is>
          <t>todos</t>
        </is>
      </c>
      <c r="E6" s="8" t="inlineStr">
        <is>
          <t>presencial</t>
        </is>
      </c>
      <c r="F6" s="8" t="inlineStr">
        <is>
          <t>direta</t>
        </is>
      </c>
      <c r="G6" s="8" t="inlineStr">
        <is>
          <t>É o estabilizador da impressora de etiquetas, o da Gerência. Fui eu que instalei. Pulsa assim desde o primeiro dia.</t>
        </is>
      </c>
      <c r="H6" s="8" t="inlineStr">
        <is>
          <t>prova</t>
        </is>
      </c>
      <c r="I6" s="8" t="inlineStr">
        <is>
          <t>A ordem saiu da Gerência (estabilizador)</t>
        </is>
      </c>
      <c r="J6" s="8" t="inlineStr"/>
      <c r="K6" s="8" t="inlineStr"/>
      <c r="L6" s="8" t="inlineStr">
        <is>
          <t>toda casa</t>
        </is>
      </c>
      <c r="M6" s="8" t="inlineStr">
        <is>
          <t>não</t>
        </is>
      </c>
      <c r="N6" s="8" t="inlineStr"/>
      <c r="O6" s="8" t="inlineStr"/>
      <c r="P6" s="8" t="inlineStr"/>
      <c r="Q6" s="8" t="inlineStr"/>
      <c r="R6" s="8" t="inlineStr"/>
      <c r="S6" s="8" t="inlineStr"/>
      <c r="T6" s="8" t="inlineStr">
        <is>
          <t>Fonte primária.</t>
        </is>
      </c>
    </row>
    <row r="7">
      <c r="A7" s="9" t="inlineStr">
        <is>
          <t>c2-006</t>
        </is>
      </c>
      <c r="B7" s="9" t="inlineStr">
        <is>
          <t>~8h19</t>
        </is>
      </c>
      <c r="C7" s="9" t="inlineStr">
        <is>
          <t>A Estagiária</t>
        </is>
      </c>
      <c r="D7" s="9" t="inlineStr">
        <is>
          <t>todos</t>
        </is>
      </c>
      <c r="E7" s="9" t="inlineStr">
        <is>
          <t>presencial</t>
        </is>
      </c>
      <c r="F7" s="9" t="inlineStr">
        <is>
          <t>indireta</t>
        </is>
      </c>
      <c r="G7" s="9" t="inlineStr">
        <is>
          <t>Confirmo: é o estabilizador da Gerência.</t>
        </is>
      </c>
      <c r="H7" s="9" t="inlineStr">
        <is>
          <t>reforço</t>
        </is>
      </c>
      <c r="I7" s="9" t="inlineStr">
        <is>
          <t>A ordem saiu da Gerência (estabilizador)</t>
        </is>
      </c>
      <c r="J7" s="9" t="inlineStr"/>
      <c r="K7" s="9" t="inlineStr"/>
      <c r="L7" s="9" t="inlineStr">
        <is>
          <t>casa ≥ 12</t>
        </is>
      </c>
      <c r="M7" s="9" t="inlineStr">
        <is>
          <t>sim</t>
        </is>
      </c>
      <c r="N7" s="9" t="inlineStr"/>
      <c r="O7" s="9" t="inlineStr"/>
      <c r="P7" s="9" t="inlineStr"/>
      <c r="Q7" s="9" t="inlineStr"/>
      <c r="R7" s="9" t="inlineStr"/>
      <c r="S7" s="9" t="inlineStr"/>
      <c r="T7" s="9" t="inlineStr">
        <is>
          <t>Confirmação só com a cabeça.</t>
        </is>
      </c>
    </row>
    <row r="8">
      <c r="A8" s="8" t="inlineStr">
        <is>
          <t>c2-007</t>
        </is>
      </c>
      <c r="B8" s="8" t="inlineStr">
        <is>
          <t>~8h20</t>
        </is>
      </c>
      <c r="C8" s="8" t="inlineStr">
        <is>
          <t>O Segurança Interno</t>
        </is>
      </c>
      <c r="D8" s="8" t="inlineStr">
        <is>
          <t>todos</t>
        </is>
      </c>
      <c r="E8" s="8" t="inlineStr">
        <is>
          <t>presencial</t>
        </is>
      </c>
      <c r="F8" s="8" t="inlineStr">
        <is>
          <t>indireta</t>
        </is>
      </c>
      <c r="G8" s="8" t="inlineStr">
        <is>
          <t>Corri da Antecâmara à porta lateral. Pelo vidro, vi um homem de capa, de costas, conversando com um motoboy que tinha uma caixa no bagageiro. Bati no vidro; o homem ergueu a mão sem se virar. Não abri a porta. Esperei o motoboy partir, registrei 'sem tentativa' e voltei à Antecâmara. O malote estava na plataforma, lacrado.</t>
        </is>
      </c>
      <c r="H8" s="8" t="inlineStr">
        <is>
          <t>prova</t>
        </is>
      </c>
      <c r="I8" s="8" t="inlineStr">
        <is>
          <t>O Técnico estava fora</t>
        </is>
      </c>
      <c r="J8" s="8" t="inlineStr"/>
      <c r="K8" s="8" t="inlineStr"/>
      <c r="L8" s="8" t="inlineStr">
        <is>
          <t>toda casa</t>
        </is>
      </c>
      <c r="M8" s="8" t="inlineStr">
        <is>
          <t>não</t>
        </is>
      </c>
      <c r="N8" s="8" t="inlineStr"/>
      <c r="O8" s="8" t="inlineStr"/>
      <c r="P8" s="8" t="inlineStr"/>
      <c r="Q8" s="8" t="inlineStr"/>
      <c r="R8" s="8" t="inlineStr"/>
      <c r="S8" s="8" t="inlineStr"/>
      <c r="T8" s="8" t="inlineStr">
        <is>
          <t>Plantação da exclusão do Técnico (colhida no Cap. 6); aqui a 'capa' ecoa a figura das 6h28 e funciona como pista falsa.</t>
        </is>
      </c>
    </row>
    <row r="9">
      <c r="A9" s="9" t="inlineStr">
        <is>
          <t>c2-008</t>
        </is>
      </c>
      <c r="B9" s="9" t="inlineStr">
        <is>
          <t>~8h20</t>
        </is>
      </c>
      <c r="C9" s="9" t="inlineStr">
        <is>
          <t>O Gerente</t>
        </is>
      </c>
      <c r="D9" s="9" t="inlineStr">
        <is>
          <t>seguranca_interno</t>
        </is>
      </c>
      <c r="E9" s="9" t="inlineStr">
        <is>
          <t>presencial</t>
        </is>
      </c>
      <c r="F9" s="9" t="inlineStr">
        <is>
          <t>direta</t>
        </is>
      </c>
      <c r="G9" s="9" t="inlineStr">
        <is>
          <t>E o rádio? Estava onde?</t>
        </is>
      </c>
      <c r="H9" s="9" t="inlineStr">
        <is>
          <t>ambiente</t>
        </is>
      </c>
      <c r="I9" s="9" t="inlineStr"/>
      <c r="J9" s="9" t="inlineStr"/>
      <c r="K9" s="9" t="inlineStr"/>
      <c r="L9" s="9" t="inlineStr">
        <is>
          <t>toda casa</t>
        </is>
      </c>
      <c r="M9" s="9" t="inlineStr">
        <is>
          <t>não</t>
        </is>
      </c>
      <c r="N9" s="9" t="inlineStr"/>
      <c r="O9" s="9" t="inlineStr"/>
      <c r="P9" s="9" t="inlineStr"/>
      <c r="Q9" s="9" t="inlineStr"/>
      <c r="R9" s="9" t="inlineStr"/>
      <c r="S9" s="9" t="inlineStr"/>
      <c r="T9" s="9" t="inlineStr"/>
    </row>
    <row r="10">
      <c r="A10" s="8" t="inlineStr">
        <is>
          <t>c2-009</t>
        </is>
      </c>
      <c r="B10" s="8" t="inlineStr">
        <is>
          <t>~8h20</t>
        </is>
      </c>
      <c r="C10" s="8" t="inlineStr">
        <is>
          <t>O Segurança Interno</t>
        </is>
      </c>
      <c r="D10" s="8" t="inlineStr">
        <is>
          <t>gerente</t>
        </is>
      </c>
      <c r="E10" s="8" t="inlineStr">
        <is>
          <t>presencial</t>
        </is>
      </c>
      <c r="F10" s="8" t="inlineStr">
        <is>
          <t>direta</t>
        </is>
      </c>
      <c r="G10" s="8" t="inlineStr">
        <is>
          <t>No aparador da Gerência. Fora do carregador.</t>
        </is>
      </c>
      <c r="H10" s="8" t="inlineStr">
        <is>
          <t>prova</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row>
    <row r="11">
      <c r="A11" s="9" t="inlineStr">
        <is>
          <t>c2-010</t>
        </is>
      </c>
      <c r="B11" s="9" t="inlineStr">
        <is>
          <t>~8h20</t>
        </is>
      </c>
      <c r="C11" s="9" t="inlineStr">
        <is>
          <t>O Gerente</t>
        </is>
      </c>
      <c r="D11" s="9" t="inlineStr">
        <is>
          <t>seguranca_interno</t>
        </is>
      </c>
      <c r="E11" s="9" t="inlineStr">
        <is>
          <t>presencial</t>
        </is>
      </c>
      <c r="F11" s="9" t="inlineStr">
        <is>
          <t>direta</t>
        </is>
      </c>
      <c r="G11" s="9" t="inlineStr">
        <is>
          <t>Um erro seu abriu a janela.</t>
        </is>
      </c>
      <c r="H11" s="9" t="inlineStr">
        <is>
          <t>ambiente</t>
        </is>
      </c>
      <c r="I11" s="9" t="inlineStr"/>
      <c r="J11" s="9" t="inlineStr"/>
      <c r="K11" s="9" t="inlineStr"/>
      <c r="L11" s="9" t="inlineStr">
        <is>
          <t>toda casa</t>
        </is>
      </c>
      <c r="M11" s="9" t="inlineStr">
        <is>
          <t>não</t>
        </is>
      </c>
      <c r="N11" s="9" t="inlineStr"/>
      <c r="O11" s="9" t="inlineStr"/>
      <c r="P11" s="9" t="inlineStr"/>
      <c r="Q11" s="9" t="inlineStr"/>
      <c r="R11" s="9" t="inlineStr"/>
      <c r="S11" s="9" t="inlineStr"/>
      <c r="T11" s="9" t="inlineStr"/>
    </row>
    <row r="12">
      <c r="A12" s="8" t="inlineStr">
        <is>
          <t>c2-011</t>
        </is>
      </c>
      <c r="B12" s="8" t="inlineStr">
        <is>
          <t>~8h20</t>
        </is>
      </c>
      <c r="C12" s="8" t="inlineStr">
        <is>
          <t>O Segurança Interno</t>
        </is>
      </c>
      <c r="D12" s="8" t="inlineStr">
        <is>
          <t>gerente</t>
        </is>
      </c>
      <c r="E12" s="8" t="inlineStr">
        <is>
          <t>presencial</t>
        </is>
      </c>
      <c r="F12" s="8" t="inlineStr">
        <is>
          <t>direta</t>
        </is>
      </c>
      <c r="G12" s="8" t="inlineStr">
        <is>
          <t>E alguém estava esperando por ela.</t>
        </is>
      </c>
      <c r="H12" s="8" t="inlineStr">
        <is>
          <t>ambiente</t>
        </is>
      </c>
      <c r="I12" s="8" t="inlineStr"/>
      <c r="J12" s="8" t="inlineStr"/>
      <c r="K12" s="8" t="inlineStr"/>
      <c r="L12" s="8" t="inlineStr">
        <is>
          <t>toda casa</t>
        </is>
      </c>
      <c r="M12" s="8" t="inlineStr">
        <is>
          <t>não</t>
        </is>
      </c>
      <c r="N12" s="8" t="inlineStr"/>
      <c r="O12" s="8" t="inlineStr"/>
      <c r="P12" s="8" t="inlineStr"/>
      <c r="Q12" s="8" t="inlineStr"/>
      <c r="R12" s="8" t="inlineStr"/>
      <c r="S12" s="8" t="inlineStr"/>
      <c r="T12" s="8" t="inlineStr"/>
    </row>
    <row r="13">
      <c r="A13" s="9" t="inlineStr">
        <is>
          <t>c2-012</t>
        </is>
      </c>
      <c r="B13" s="9" t="inlineStr">
        <is>
          <t>~8h21</t>
        </is>
      </c>
      <c r="C13" s="9" t="inlineStr">
        <is>
          <t>A Operadora da Central</t>
        </is>
      </c>
      <c r="D13" s="9" t="inlineStr">
        <is>
          <t>todos</t>
        </is>
      </c>
      <c r="E13" s="9" t="inlineStr">
        <is>
          <t>presencial</t>
        </is>
      </c>
      <c r="F13" s="9" t="inlineStr">
        <is>
          <t>direta</t>
        </is>
      </c>
      <c r="G13" s="9" t="inlineStr">
        <is>
          <t>Testei o rádio ontem, às dezenove e doze.</t>
        </is>
      </c>
      <c r="H13" s="9" t="inlineStr">
        <is>
          <t>pista falsa</t>
        </is>
      </c>
      <c r="I13" s="9" t="inlineStr"/>
      <c r="J13" s="9" t="inlineStr"/>
      <c r="K13" s="9" t="inlineStr"/>
      <c r="L13" s="9" t="inlineStr">
        <is>
          <t>toda casa</t>
        </is>
      </c>
      <c r="M13" s="9" t="inlineStr">
        <is>
          <t>não</t>
        </is>
      </c>
      <c r="N13" s="9" t="inlineStr"/>
      <c r="O13" s="9" t="inlineStr"/>
      <c r="P13" s="9" t="inlineStr"/>
      <c r="Q13" s="9" t="inlineStr"/>
      <c r="R13" s="9" t="inlineStr"/>
      <c r="S13" s="9" t="inlineStr"/>
      <c r="T13" s="9" t="inlineStr">
        <is>
          <t>Explica a lasca de esmalte lilás no botão.</t>
        </is>
      </c>
    </row>
    <row r="14">
      <c r="A14" s="8" t="inlineStr">
        <is>
          <t>c2-013</t>
        </is>
      </c>
      <c r="B14" s="8" t="inlineStr">
        <is>
          <t>~8h21</t>
        </is>
      </c>
      <c r="C14" s="8" t="inlineStr">
        <is>
          <t>O Gerente</t>
        </is>
      </c>
      <c r="D14" s="8" t="inlineStr">
        <is>
          <t>operadora</t>
        </is>
      </c>
      <c r="E14" s="8" t="inlineStr">
        <is>
          <t>presencial</t>
        </is>
      </c>
      <c r="F14" s="8" t="inlineStr">
        <is>
          <t>direta</t>
        </is>
      </c>
      <c r="G14" s="8" t="inlineStr">
        <is>
          <t>E não registrou por quê?</t>
        </is>
      </c>
      <c r="H14" s="8" t="inlineStr">
        <is>
          <t>subtrama</t>
        </is>
      </c>
      <c r="I14" s="8" t="inlineStr"/>
      <c r="J14" s="8" t="inlineStr"/>
      <c r="K14" s="8" t="inlineStr"/>
      <c r="L14" s="8" t="inlineStr">
        <is>
          <t>toda casa</t>
        </is>
      </c>
      <c r="M14" s="8" t="inlineStr">
        <is>
          <t>não</t>
        </is>
      </c>
      <c r="N14" s="8" t="inlineStr"/>
      <c r="O14" s="8" t="inlineStr"/>
      <c r="P14" s="8" t="inlineStr"/>
      <c r="Q14" s="8" t="inlineStr"/>
      <c r="R14" s="8" t="inlineStr"/>
      <c r="S14" s="8" t="inlineStr"/>
      <c r="T14" s="8" t="inlineStr"/>
    </row>
    <row r="15">
      <c r="A15" s="9" t="inlineStr">
        <is>
          <t>c2-014</t>
        </is>
      </c>
      <c r="B15" s="9" t="inlineStr">
        <is>
          <t>~8h21</t>
        </is>
      </c>
      <c r="C15" s="9" t="inlineStr">
        <is>
          <t>A Operadora da Central</t>
        </is>
      </c>
      <c r="D15" s="9" t="inlineStr">
        <is>
          <t>gerente</t>
        </is>
      </c>
      <c r="E15" s="9" t="inlineStr">
        <is>
          <t>presencial</t>
        </is>
      </c>
      <c r="F15" s="9" t="inlineStr">
        <is>
          <t>indireta</t>
        </is>
      </c>
      <c r="G15" s="9" t="inlineStr">
        <is>
          <t>Foi a bateria, a rotina, a pressa.</t>
        </is>
      </c>
      <c r="H15" s="9" t="inlineStr">
        <is>
          <t>subtrama</t>
        </is>
      </c>
      <c r="I15" s="9" t="inlineStr"/>
      <c r="J15" s="9" t="inlineStr"/>
      <c r="K15" s="9" t="inlineStr"/>
      <c r="L15" s="9" t="inlineStr">
        <is>
          <t>toda casa</t>
        </is>
      </c>
      <c r="M15" s="9" t="inlineStr">
        <is>
          <t>não</t>
        </is>
      </c>
      <c r="N15" s="9" t="inlineStr"/>
      <c r="O15" s="9" t="inlineStr"/>
      <c r="P15" s="9" t="inlineStr"/>
      <c r="Q15" s="9" t="inlineStr"/>
      <c r="R15" s="9" t="inlineStr"/>
      <c r="S15" s="9" t="inlineStr"/>
      <c r="T15" s="9" t="inlineStr">
        <is>
          <t>Respostas verdadeiras que cobrem a omissão.</t>
        </is>
      </c>
    </row>
    <row r="16">
      <c r="A16" s="8" t="inlineStr">
        <is>
          <t>c2-015</t>
        </is>
      </c>
      <c r="B16" s="8" t="inlineStr">
        <is>
          <t>~8h21</t>
        </is>
      </c>
      <c r="C16" s="8" t="inlineStr">
        <is>
          <t>A Auditora</t>
        </is>
      </c>
      <c r="D16" s="8" t="inlineStr">
        <is>
          <t>operadora</t>
        </is>
      </c>
      <c r="E16" s="8" t="inlineStr">
        <is>
          <t>presencial</t>
        </is>
      </c>
      <c r="F16" s="8" t="inlineStr">
        <is>
          <t>indireta</t>
        </is>
      </c>
      <c r="G16" s="8" t="inlineStr">
        <is>
          <t>Entregue-me o seu bloco particular.</t>
        </is>
      </c>
      <c r="H16" s="8" t="inlineStr">
        <is>
          <t>subtrama</t>
        </is>
      </c>
      <c r="I16" s="8" t="inlineStr"/>
      <c r="J16" s="8" t="inlineStr"/>
      <c r="K16" s="8" t="inlineStr"/>
      <c r="L16" s="8" t="inlineStr">
        <is>
          <t>toda casa</t>
        </is>
      </c>
      <c r="M16" s="8" t="inlineStr">
        <is>
          <t>não</t>
        </is>
      </c>
      <c r="N16" s="8" t="inlineStr"/>
      <c r="O16" s="8" t="inlineStr"/>
      <c r="P16" s="8" t="inlineStr"/>
      <c r="Q16" s="8" t="inlineStr"/>
      <c r="R16" s="8" t="inlineStr"/>
      <c r="S16" s="8" t="inlineStr"/>
      <c r="T16" s="8" t="inlineStr"/>
    </row>
    <row r="17">
      <c r="A17" s="9" t="inlineStr">
        <is>
          <t>c2-016</t>
        </is>
      </c>
      <c r="B17" s="9" t="inlineStr">
        <is>
          <t>~8h22</t>
        </is>
      </c>
      <c r="C17" s="9" t="inlineStr">
        <is>
          <t>A Cliente do Cofre</t>
        </is>
      </c>
      <c r="D17" s="9" t="inlineStr">
        <is>
          <t>gerente</t>
        </is>
      </c>
      <c r="E17" s="9" t="inlineStr">
        <is>
          <t>presencial</t>
        </is>
      </c>
      <c r="F17" s="9" t="inlineStr">
        <is>
          <t>indireta</t>
        </is>
      </c>
      <c r="G17" s="9" t="inlineStr">
        <is>
          <t>Preciso ir ao banheiro.</t>
        </is>
      </c>
      <c r="H17" s="9" t="inlineStr">
        <is>
          <t>subtrama</t>
        </is>
      </c>
      <c r="I17" s="9" t="inlineStr"/>
      <c r="J17" s="9" t="inlineStr"/>
      <c r="K17" s="9" t="inlineStr"/>
      <c r="L17" s="9" t="inlineStr">
        <is>
          <t>toda casa</t>
        </is>
      </c>
      <c r="M17" s="9" t="inlineStr">
        <is>
          <t>não</t>
        </is>
      </c>
      <c r="N17" s="9" t="inlineStr"/>
      <c r="O17" s="9" t="inlineStr"/>
      <c r="P17" s="9" t="inlineStr"/>
      <c r="Q17" s="9" t="inlineStr"/>
      <c r="R17" s="9" t="inlineStr"/>
      <c r="S17" s="9" t="inlineStr"/>
      <c r="T17" s="9" t="inlineStr"/>
    </row>
    <row r="18">
      <c r="A18" s="8" t="inlineStr">
        <is>
          <t>c2-017</t>
        </is>
      </c>
      <c r="B18" s="8" t="inlineStr">
        <is>
          <t>~8h22</t>
        </is>
      </c>
      <c r="C18" s="8" t="inlineStr">
        <is>
          <t>O Gerente</t>
        </is>
      </c>
      <c r="D18" s="8" t="inlineStr">
        <is>
          <t>cliente_cofre</t>
        </is>
      </c>
      <c r="E18" s="8" t="inlineStr">
        <is>
          <t>presencial</t>
        </is>
      </c>
      <c r="F18" s="8" t="inlineStr">
        <is>
          <t>indireta</t>
        </is>
      </c>
      <c r="G18" s="8" t="inlineStr">
        <is>
          <t>Não.</t>
        </is>
      </c>
      <c r="H18" s="8" t="inlineStr">
        <is>
          <t>subtrama</t>
        </is>
      </c>
      <c r="I18" s="8" t="inlineStr"/>
      <c r="J18" s="8" t="inlineStr"/>
      <c r="K18" s="8" t="inlineStr"/>
      <c r="L18" s="8" t="inlineStr">
        <is>
          <t>toda casa</t>
        </is>
      </c>
      <c r="M18" s="8" t="inlineStr">
        <is>
          <t>não</t>
        </is>
      </c>
      <c r="N18" s="8" t="inlineStr"/>
      <c r="O18" s="8" t="inlineStr"/>
      <c r="P18" s="8" t="inlineStr"/>
      <c r="Q18" s="8" t="inlineStr"/>
      <c r="R18" s="8" t="inlineStr"/>
      <c r="S18" s="8" t="inlineStr"/>
      <c r="T18" s="8" t="inlineStr"/>
    </row>
    <row r="19">
      <c r="A19" s="9" t="inlineStr">
        <is>
          <t>c2-018</t>
        </is>
      </c>
      <c r="B19" s="9" t="inlineStr">
        <is>
          <t>~8h22</t>
        </is>
      </c>
      <c r="C19" s="9" t="inlineStr">
        <is>
          <t>A Cliente do Cofre</t>
        </is>
      </c>
      <c r="D19" s="9" t="inlineStr">
        <is>
          <t>gerente</t>
        </is>
      </c>
      <c r="E19" s="9" t="inlineStr">
        <is>
          <t>presencial</t>
        </is>
      </c>
      <c r="F19" s="9" t="inlineStr">
        <is>
          <t>indireta</t>
        </is>
      </c>
      <c r="G19" s="9" t="inlineStr">
        <is>
          <t>Não sou funcionária nem suspeita.</t>
        </is>
      </c>
      <c r="H19" s="9" t="inlineStr">
        <is>
          <t>subtrama</t>
        </is>
      </c>
      <c r="I19" s="9" t="inlineStr"/>
      <c r="J19" s="9" t="inlineStr"/>
      <c r="K19" s="9" t="inlineStr"/>
      <c r="L19" s="9" t="inlineStr">
        <is>
          <t>toda casa</t>
        </is>
      </c>
      <c r="M19" s="9" t="inlineStr">
        <is>
          <t>não</t>
        </is>
      </c>
      <c r="N19" s="9" t="inlineStr"/>
      <c r="O19" s="9" t="inlineStr"/>
      <c r="P19" s="9" t="inlineStr"/>
      <c r="Q19" s="9" t="inlineStr"/>
      <c r="R19" s="9" t="inlineStr"/>
      <c r="S19" s="9" t="inlineStr"/>
      <c r="T19" s="9" t="inlineStr"/>
    </row>
    <row r="20">
      <c r="A20" s="8" t="inlineStr">
        <is>
          <t>c2-019</t>
        </is>
      </c>
      <c r="B20" s="8" t="inlineStr">
        <is>
          <t>~8h22</t>
        </is>
      </c>
      <c r="C20" s="8" t="inlineStr">
        <is>
          <t>A Auditora</t>
        </is>
      </c>
      <c r="D20" s="8" t="inlineStr">
        <is>
          <t>cliente_cofre</t>
        </is>
      </c>
      <c r="E20" s="8" t="inlineStr">
        <is>
          <t>presencial</t>
        </is>
      </c>
      <c r="F20" s="8" t="inlineStr">
        <is>
          <t>indireta</t>
        </is>
      </c>
      <c r="G20" s="8" t="inlineStr">
        <is>
          <t>Neste momento, todos são testemunhas retidas, inclusive eu.</t>
        </is>
      </c>
      <c r="H20" s="8" t="inlineStr">
        <is>
          <t>ambiente</t>
        </is>
      </c>
      <c r="I20" s="8" t="inlineStr"/>
      <c r="J20" s="8" t="inlineStr"/>
      <c r="K20" s="8" t="inlineStr"/>
      <c r="L20" s="8" t="inlineStr">
        <is>
          <t>toda casa</t>
        </is>
      </c>
      <c r="M20" s="8" t="inlineStr">
        <is>
          <t>não</t>
        </is>
      </c>
      <c r="N20" s="8" t="inlineStr"/>
      <c r="O20" s="8" t="inlineStr"/>
      <c r="P20" s="8" t="inlineStr"/>
      <c r="Q20" s="8" t="inlineStr"/>
      <c r="R20" s="8" t="inlineStr"/>
      <c r="S20" s="8" t="inlineStr"/>
      <c r="T20" s="8" t="inlineStr"/>
    </row>
    <row r="21">
      <c r="A21" s="9" t="inlineStr">
        <is>
          <t>c2-020</t>
        </is>
      </c>
      <c r="B21" s="9" t="inlineStr">
        <is>
          <t>~8h22</t>
        </is>
      </c>
      <c r="C21" s="9" t="inlineStr">
        <is>
          <t>O Caixa Novato</t>
        </is>
      </c>
      <c r="D21" s="9" t="inlineStr">
        <is>
          <t>todos</t>
        </is>
      </c>
      <c r="E21" s="9" t="inlineStr">
        <is>
          <t>presencial</t>
        </is>
      </c>
      <c r="F21" s="9" t="inlineStr">
        <is>
          <t>indireta</t>
        </is>
      </c>
      <c r="G21" s="9" t="inlineStr">
        <is>
          <t>Vi outro fio de lã vermelha, igual a esse, perto do saco.</t>
        </is>
      </c>
      <c r="H21" s="9" t="inlineStr">
        <is>
          <t>pista falsa</t>
        </is>
      </c>
      <c r="I21" s="9" t="inlineStr"/>
      <c r="J21" s="9" t="inlineStr"/>
      <c r="K21" s="9" t="inlineStr"/>
      <c r="L21" s="9" t="inlineStr">
        <is>
          <t>toda casa</t>
        </is>
      </c>
      <c r="M21" s="9" t="inlineStr">
        <is>
          <t>não</t>
        </is>
      </c>
      <c r="N21" s="9" t="inlineStr"/>
      <c r="O21" s="9" t="inlineStr"/>
      <c r="P21" s="9" t="inlineStr"/>
      <c r="Q21" s="9" t="inlineStr"/>
      <c r="R21" s="9" t="inlineStr"/>
      <c r="S21" s="9" t="inlineStr"/>
      <c r="T21" s="9" t="inlineStr"/>
    </row>
    <row r="22">
      <c r="A22" s="8" t="inlineStr">
        <is>
          <t>c2-021</t>
        </is>
      </c>
      <c r="B22" s="8" t="inlineStr">
        <is>
          <t>~8h22</t>
        </is>
      </c>
      <c r="C22" s="8" t="inlineStr">
        <is>
          <t>O Gerente</t>
        </is>
      </c>
      <c r="D22" s="8" t="inlineStr">
        <is>
          <t>cliente_cofre</t>
        </is>
      </c>
      <c r="E22" s="8" t="inlineStr">
        <is>
          <t>presencial</t>
        </is>
      </c>
      <c r="F22" s="8" t="inlineStr">
        <is>
          <t>direta</t>
        </is>
      </c>
      <c r="G22" s="8" t="inlineStr">
        <is>
          <t>Abra a pasta.</t>
        </is>
      </c>
      <c r="H22" s="8" t="inlineStr">
        <is>
          <t>subtrama</t>
        </is>
      </c>
      <c r="I22" s="8" t="inlineStr"/>
      <c r="J22" s="8" t="inlineStr"/>
      <c r="K22" s="8" t="inlineStr"/>
      <c r="L22" s="8" t="inlineStr">
        <is>
          <t>toda casa</t>
        </is>
      </c>
      <c r="M22" s="8" t="inlineStr">
        <is>
          <t>não</t>
        </is>
      </c>
      <c r="N22" s="8" t="inlineStr"/>
      <c r="O22" s="8" t="inlineStr"/>
      <c r="P22" s="8" t="inlineStr"/>
      <c r="Q22" s="8" t="inlineStr"/>
      <c r="R22" s="8" t="inlineStr"/>
      <c r="S22" s="8" t="inlineStr"/>
      <c r="T22" s="8" t="inlineStr"/>
    </row>
    <row r="23">
      <c r="A23" s="9" t="inlineStr">
        <is>
          <t>c2-022</t>
        </is>
      </c>
      <c r="B23" s="9" t="inlineStr">
        <is>
          <t>~8h22</t>
        </is>
      </c>
      <c r="C23" s="9" t="inlineStr">
        <is>
          <t>A Cliente do Cofre</t>
        </is>
      </c>
      <c r="D23" s="9" t="inlineStr">
        <is>
          <t>gerente</t>
        </is>
      </c>
      <c r="E23" s="9" t="inlineStr">
        <is>
          <t>presencial</t>
        </is>
      </c>
      <c r="F23" s="9" t="inlineStr">
        <is>
          <t>direta</t>
        </is>
      </c>
      <c r="G23" s="9" t="inlineStr">
        <is>
          <t>Não.</t>
        </is>
      </c>
      <c r="H23" s="9" t="inlineStr">
        <is>
          <t>subtrama</t>
        </is>
      </c>
      <c r="I23" s="9" t="inlineStr"/>
      <c r="J23" s="9" t="inlineStr"/>
      <c r="K23" s="9" t="inlineStr"/>
      <c r="L23" s="9" t="inlineStr">
        <is>
          <t>toda casa</t>
        </is>
      </c>
      <c r="M23" s="9" t="inlineStr">
        <is>
          <t>não</t>
        </is>
      </c>
      <c r="N23" s="9" t="inlineStr"/>
      <c r="O23" s="9" t="inlineStr"/>
      <c r="P23" s="9" t="inlineStr"/>
      <c r="Q23" s="9" t="inlineStr"/>
      <c r="R23" s="9" t="inlineStr"/>
      <c r="S23" s="9" t="inlineStr"/>
      <c r="T23" s="9" t="inlineStr"/>
    </row>
    <row r="24">
      <c r="A24" s="8" t="inlineStr">
        <is>
          <t>c2-023</t>
        </is>
      </c>
      <c r="B24" s="8" t="inlineStr">
        <is>
          <t>~8h22</t>
        </is>
      </c>
      <c r="C24" s="8" t="inlineStr">
        <is>
          <t>O Gerente</t>
        </is>
      </c>
      <c r="D24" s="8" t="inlineStr">
        <is>
          <t>cliente_cofre</t>
        </is>
      </c>
      <c r="E24" s="8" t="inlineStr">
        <is>
          <t>presencial</t>
        </is>
      </c>
      <c r="F24" s="8" t="inlineStr">
        <is>
          <t>direta</t>
        </is>
      </c>
      <c r="G24" s="8" t="inlineStr">
        <is>
          <t>Se não há nada relacionado...</t>
        </is>
      </c>
      <c r="H24" s="8" t="inlineStr">
        <is>
          <t>subtrama</t>
        </is>
      </c>
      <c r="I24" s="8" t="inlineStr"/>
      <c r="J24" s="8" t="inlineStr"/>
      <c r="K24" s="8" t="inlineStr"/>
      <c r="L24" s="8" t="inlineStr">
        <is>
          <t>toda casa</t>
        </is>
      </c>
      <c r="M24" s="8" t="inlineStr">
        <is>
          <t>não</t>
        </is>
      </c>
      <c r="N24" s="8" t="inlineStr"/>
      <c r="O24" s="8" t="inlineStr"/>
      <c r="P24" s="8" t="inlineStr"/>
      <c r="Q24" s="8" t="inlineStr"/>
      <c r="R24" s="8" t="inlineStr"/>
      <c r="S24" s="8" t="inlineStr"/>
      <c r="T24" s="8" t="inlineStr"/>
    </row>
    <row r="25">
      <c r="A25" s="9" t="inlineStr">
        <is>
          <t>c2-024</t>
        </is>
      </c>
      <c r="B25" s="9" t="inlineStr">
        <is>
          <t>~8h22</t>
        </is>
      </c>
      <c r="C25" s="9" t="inlineStr">
        <is>
          <t>A Cliente do Cofre</t>
        </is>
      </c>
      <c r="D25" s="9" t="inlineStr">
        <is>
          <t>gerente</t>
        </is>
      </c>
      <c r="E25" s="9" t="inlineStr">
        <is>
          <t>presencial</t>
        </is>
      </c>
      <c r="F25" s="9" t="inlineStr">
        <is>
          <t>direta</t>
        </is>
      </c>
      <c r="G25" s="9" t="inlineStr">
        <is>
          <t>Há coisas que não têm relação com o senhor e ainda assim são da minha vida.</t>
        </is>
      </c>
      <c r="H25" s="9" t="inlineStr">
        <is>
          <t>subtrama</t>
        </is>
      </c>
      <c r="I25" s="9" t="inlineStr"/>
      <c r="J25" s="9" t="inlineStr"/>
      <c r="K25" s="9" t="inlineStr"/>
      <c r="L25" s="9" t="inlineStr">
        <is>
          <t>toda casa</t>
        </is>
      </c>
      <c r="M25" s="9" t="inlineStr">
        <is>
          <t>não</t>
        </is>
      </c>
      <c r="N25" s="9" t="inlineStr"/>
      <c r="O25" s="9" t="inlineStr"/>
      <c r="P25" s="9" t="inlineStr"/>
      <c r="Q25" s="9" t="inlineStr"/>
      <c r="R25" s="9" t="inlineStr"/>
      <c r="S25" s="9" t="inlineStr"/>
      <c r="T25" s="9" t="inlineStr"/>
    </row>
    <row r="26">
      <c r="A26" s="8" t="inlineStr">
        <is>
          <t>c2-025</t>
        </is>
      </c>
      <c r="B26" s="8" t="inlineStr">
        <is>
          <t>~8h23</t>
        </is>
      </c>
      <c r="C26" s="8" t="inlineStr">
        <is>
          <t>A Auditora</t>
        </is>
      </c>
      <c r="D26" s="8" t="inlineStr">
        <is>
          <t>todos</t>
        </is>
      </c>
      <c r="E26" s="8" t="inlineStr">
        <is>
          <t>presencial</t>
        </is>
      </c>
      <c r="F26" s="8" t="inlineStr">
        <is>
          <t>indireta</t>
        </is>
      </c>
      <c r="G26" s="8" t="inlineStr">
        <is>
          <t>A pasta será preservada, fechada, até existir um nexo real.</t>
        </is>
      </c>
      <c r="H26" s="8" t="inlineStr">
        <is>
          <t>subtrama</t>
        </is>
      </c>
      <c r="I26" s="8" t="inlineStr"/>
      <c r="J26" s="8" t="inlineStr"/>
      <c r="K26" s="8" t="inlineStr"/>
      <c r="L26" s="8" t="inlineStr">
        <is>
          <t>toda casa</t>
        </is>
      </c>
      <c r="M26" s="8" t="inlineStr">
        <is>
          <t>não</t>
        </is>
      </c>
      <c r="N26" s="8" t="inlineStr"/>
      <c r="O26" s="8" t="inlineStr"/>
      <c r="P26" s="8" t="inlineStr"/>
      <c r="Q26" s="8" t="inlineStr"/>
      <c r="R26" s="8" t="inlineStr"/>
      <c r="S26" s="8" t="inlineStr"/>
      <c r="T26" s="8" t="inlineStr"/>
    </row>
    <row r="27">
      <c r="A27" s="9" t="inlineStr">
        <is>
          <t>c2-026</t>
        </is>
      </c>
      <c r="B27" s="9" t="inlineStr">
        <is>
          <t>~8h23</t>
        </is>
      </c>
      <c r="C27" s="9" t="inlineStr">
        <is>
          <t>A Cliente do Cofre</t>
        </is>
      </c>
      <c r="D27" s="9" t="inlineStr">
        <is>
          <t>auditora</t>
        </is>
      </c>
      <c r="E27" s="9" t="inlineStr">
        <is>
          <t>presencial</t>
        </is>
      </c>
      <c r="F27" s="9" t="inlineStr">
        <is>
          <t>indireta</t>
        </is>
      </c>
      <c r="G27" s="9" t="inlineStr">
        <is>
          <t>Obrigada.</t>
        </is>
      </c>
      <c r="H27" s="9" t="inlineStr">
        <is>
          <t>subtrama</t>
        </is>
      </c>
      <c r="I27" s="9" t="inlineStr"/>
      <c r="J27" s="9" t="inlineStr"/>
      <c r="K27" s="9" t="inlineStr"/>
      <c r="L27" s="9" t="inlineStr">
        <is>
          <t>toda casa</t>
        </is>
      </c>
      <c r="M27" s="9" t="inlineStr">
        <is>
          <t>não</t>
        </is>
      </c>
      <c r="N27" s="9" t="inlineStr"/>
      <c r="O27" s="9" t="inlineStr"/>
      <c r="P27" s="9" t="inlineStr"/>
      <c r="Q27" s="9" t="inlineStr"/>
      <c r="R27" s="9" t="inlineStr"/>
      <c r="S27" s="9" t="inlineStr"/>
      <c r="T27" s="9" t="inlineStr">
        <is>
          <t>'Agradeceu sem gratidão'.</t>
        </is>
      </c>
    </row>
    <row r="28">
      <c r="A28" s="8" t="inlineStr">
        <is>
          <t>c2-027</t>
        </is>
      </c>
      <c r="B28" s="8" t="inlineStr">
        <is>
          <t>~8h24</t>
        </is>
      </c>
      <c r="C28" s="8" t="inlineStr">
        <is>
          <t>Registro / sistema</t>
        </is>
      </c>
      <c r="D28" s="8" t="inlineStr">
        <is>
          <t>todos</t>
        </is>
      </c>
      <c r="E28" s="8" t="inlineStr">
        <is>
          <t>registro</t>
        </is>
      </c>
      <c r="F28" s="8" t="inlineStr">
        <is>
          <t>indireta</t>
        </is>
      </c>
      <c r="G28" s="8" t="inlineStr">
        <is>
          <t>Rádio reserva pareado às 7h57:55 por cartão de proximidade da faixa administrativa; dois últimos dígitos corrompidos.</t>
        </is>
      </c>
      <c r="H28" s="8" t="inlineStr">
        <is>
          <t>prova</t>
        </is>
      </c>
      <c r="I28" s="8" t="inlineStr"/>
      <c r="J28" s="8" t="inlineStr"/>
      <c r="K28" s="8" t="inlineStr"/>
      <c r="L28" s="8" t="inlineStr">
        <is>
          <t>toda casa</t>
        </is>
      </c>
      <c r="M28" s="8" t="inlineStr">
        <is>
          <t>não</t>
        </is>
      </c>
      <c r="N28" s="8" t="inlineStr"/>
      <c r="O28" s="8" t="inlineStr"/>
      <c r="P28" s="8" t="inlineStr"/>
      <c r="Q28" s="8" t="inlineStr"/>
      <c r="R28" s="8" t="inlineStr"/>
      <c r="S28" s="8" t="inlineStr"/>
      <c r="T28" s="8" t="inlineStr">
        <is>
          <t>Histórico do rádio lido pela Estagiária (bloco 3) na Central. Na casa 6 precisa ser lido pela Operadora. Plantação de A7 (cartão), que fecha no Cap. 7.</t>
        </is>
      </c>
    </row>
    <row r="29">
      <c r="A29" s="9" t="inlineStr">
        <is>
          <t>c2-028</t>
        </is>
      </c>
      <c r="B29" s="9" t="inlineStr">
        <is>
          <t>~8h24</t>
        </is>
      </c>
      <c r="C29" s="9" t="inlineStr">
        <is>
          <t>A Auditora</t>
        </is>
      </c>
      <c r="D29" s="9" t="inlineStr">
        <is>
          <t>estagiaria</t>
        </is>
      </c>
      <c r="E29" s="9" t="inlineStr">
        <is>
          <t>presencial</t>
        </is>
      </c>
      <c r="F29" s="9" t="inlineStr">
        <is>
          <t>direta</t>
        </is>
      </c>
      <c r="G29" s="9" t="inlineStr">
        <is>
          <t>Quem tem cartão nessa faixa?</t>
        </is>
      </c>
      <c r="H29" s="9" t="inlineStr">
        <is>
          <t>prova</t>
        </is>
      </c>
      <c r="I29" s="9" t="inlineStr"/>
      <c r="J29" s="9" t="inlineStr"/>
      <c r="K29" s="9" t="inlineStr"/>
      <c r="L29" s="9" t="inlineStr">
        <is>
          <t>toda casa</t>
        </is>
      </c>
      <c r="M29" s="9" t="inlineStr">
        <is>
          <t>não</t>
        </is>
      </c>
      <c r="N29" s="9" t="inlineStr"/>
      <c r="O29" s="9" t="inlineStr"/>
      <c r="P29" s="9" t="inlineStr"/>
      <c r="Q29" s="9" t="inlineStr"/>
      <c r="R29" s="9" t="inlineStr"/>
      <c r="S29" s="9" t="inlineStr"/>
      <c r="T29" s="9" t="inlineStr"/>
    </row>
    <row r="30">
      <c r="A30" s="8" t="inlineStr">
        <is>
          <t>c2-029</t>
        </is>
      </c>
      <c r="B30" s="8" t="inlineStr">
        <is>
          <t>~8h24</t>
        </is>
      </c>
      <c r="C30" s="8" t="inlineStr">
        <is>
          <t>A Estagiária</t>
        </is>
      </c>
      <c r="D30" s="8" t="inlineStr">
        <is>
          <t>auditora</t>
        </is>
      </c>
      <c r="E30" s="8" t="inlineStr">
        <is>
          <t>presencial</t>
        </is>
      </c>
      <c r="F30" s="8" t="inlineStr">
        <is>
          <t>direta</t>
        </is>
      </c>
      <c r="G30" s="8" t="inlineStr">
        <is>
          <t>O Gerente, o Subgerente, o tesoureiro e a manutenção.</t>
        </is>
      </c>
      <c r="H30" s="8" t="inlineStr">
        <is>
          <t>prova</t>
        </is>
      </c>
      <c r="I30" s="8" t="inlineStr"/>
      <c r="J30" s="8" t="inlineStr"/>
      <c r="K30" s="8" t="inlineStr"/>
      <c r="L30" s="8" t="inlineStr">
        <is>
          <t>casa ≥ 12</t>
        </is>
      </c>
      <c r="M30" s="8" t="inlineStr">
        <is>
          <t>não</t>
        </is>
      </c>
      <c r="N30" s="8" t="inlineStr"/>
      <c r="O30" s="8" t="inlineStr"/>
      <c r="P30" s="8" t="inlineStr"/>
      <c r="Q30" s="8" t="inlineStr"/>
      <c r="R30" s="8" t="inlineStr"/>
      <c r="S30" s="8" t="inlineStr"/>
      <c r="T30" s="11" t="inlineStr">
        <is>
          <t>Fonte única da composição da faixa administrativa. SEM FONTE PRIMÁRIA NA CASA 6 (passar à Operadora). Nas casas sem Subgerente, ele continua citado (existe no mundo).</t>
        </is>
      </c>
    </row>
    <row r="31">
      <c r="A31" s="9" t="inlineStr">
        <is>
          <t>c2-030</t>
        </is>
      </c>
      <c r="B31" s="9" t="inlineStr">
        <is>
          <t>~8h24</t>
        </is>
      </c>
      <c r="C31" s="9" t="inlineStr">
        <is>
          <t>O Técnico</t>
        </is>
      </c>
      <c r="D31" s="9" t="inlineStr">
        <is>
          <t>todos</t>
        </is>
      </c>
      <c r="E31" s="9" t="inlineStr">
        <is>
          <t>presencial</t>
        </is>
      </c>
      <c r="F31" s="9" t="inlineStr">
        <is>
          <t>indireta</t>
        </is>
      </c>
      <c r="G31" s="9" t="inlineStr">
        <is>
          <t>O meu cartão está na maleta.</t>
        </is>
      </c>
      <c r="H31" s="9" t="inlineStr">
        <is>
          <t>pista falsa</t>
        </is>
      </c>
      <c r="I31" s="9" t="inlineStr"/>
      <c r="J31" s="9" t="inlineStr"/>
      <c r="K31" s="9" t="inlineStr"/>
      <c r="L31" s="9" t="inlineStr">
        <is>
          <t>toda casa</t>
        </is>
      </c>
      <c r="M31" s="9" t="inlineStr">
        <is>
          <t>não</t>
        </is>
      </c>
      <c r="N31" s="9" t="inlineStr"/>
      <c r="O31" s="9" t="inlineStr"/>
      <c r="P31" s="9" t="inlineStr"/>
      <c r="Q31" s="9" t="inlineStr"/>
      <c r="R31" s="9" t="inlineStr"/>
      <c r="S31" s="9" t="inlineStr"/>
      <c r="T31" s="9" t="inlineStr"/>
    </row>
    <row r="32">
      <c r="A32" s="8" t="inlineStr">
        <is>
          <t>c2-031</t>
        </is>
      </c>
      <c r="B32" s="8" t="inlineStr">
        <is>
          <t>~8h24</t>
        </is>
      </c>
      <c r="C32" s="8" t="inlineStr">
        <is>
          <t>O Gerente</t>
        </is>
      </c>
      <c r="D32" s="8" t="inlineStr">
        <is>
          <t>todos</t>
        </is>
      </c>
      <c r="E32" s="8" t="inlineStr">
        <is>
          <t>presencial</t>
        </is>
      </c>
      <c r="F32" s="8" t="inlineStr">
        <is>
          <t>indireta</t>
        </is>
      </c>
      <c r="G32" s="8" t="inlineStr">
        <is>
          <t>Busquem a maleta e deixem-na fechada sobre a Mesa.</t>
        </is>
      </c>
      <c r="H32" s="8" t="inlineStr">
        <is>
          <t>pista falsa</t>
        </is>
      </c>
      <c r="I32" s="8" t="inlineStr"/>
      <c r="J32" s="8" t="inlineStr"/>
      <c r="K32" s="8" t="inlineStr"/>
      <c r="L32" s="8" t="inlineStr">
        <is>
          <t>toda casa</t>
        </is>
      </c>
      <c r="M32" s="8" t="inlineStr">
        <is>
          <t>não</t>
        </is>
      </c>
      <c r="N32" s="8" t="inlineStr"/>
      <c r="O32" s="8" t="inlineStr"/>
      <c r="P32" s="8" t="inlineStr"/>
      <c r="Q32" s="8" t="inlineStr"/>
      <c r="R32" s="8" t="inlineStr"/>
      <c r="S32" s="8" t="inlineStr"/>
      <c r="T32" s="8" t="inlineStr">
        <is>
          <t>Maleta fica 'sob os olhos do Segurança do Veículo' (bloco 2).</t>
        </is>
      </c>
    </row>
    <row r="33">
      <c r="A33" s="9" t="inlineStr">
        <is>
          <t>c2-032</t>
        </is>
      </c>
      <c r="B33" s="9" t="inlineStr">
        <is>
          <t>~8h25</t>
        </is>
      </c>
      <c r="C33" s="9" t="inlineStr">
        <is>
          <t>O Subgerente</t>
        </is>
      </c>
      <c r="D33" s="9" t="inlineStr">
        <is>
          <t>todos</t>
        </is>
      </c>
      <c r="E33" s="9" t="inlineStr">
        <is>
          <t>presencial</t>
        </is>
      </c>
      <c r="F33" s="9" t="inlineStr">
        <is>
          <t>direta</t>
        </is>
      </c>
      <c r="G33" s="9" t="inlineStr">
        <is>
          <t>Talvez tenham clonado algum.</t>
        </is>
      </c>
      <c r="H33" s="9" t="inlineStr">
        <is>
          <t>pista falsa</t>
        </is>
      </c>
      <c r="I33" s="9" t="inlineStr"/>
      <c r="J33" s="9" t="inlineStr"/>
      <c r="K33" s="9" t="inlineStr"/>
      <c r="L33" s="9" t="inlineStr">
        <is>
          <t>casa ≥ 8</t>
        </is>
      </c>
      <c r="M33" s="9" t="inlineStr">
        <is>
          <t>sim</t>
        </is>
      </c>
      <c r="N33" s="9" t="inlineStr"/>
      <c r="O33" s="9" t="inlineStr"/>
      <c r="P33" s="9" t="inlineStr"/>
      <c r="Q33" s="9" t="inlineStr"/>
      <c r="R33" s="9" t="inlineStr"/>
      <c r="S33" s="9" t="inlineStr"/>
      <c r="T33" s="9" t="inlineStr">
        <is>
          <t>Sai nas casas sem Subgerente (canone.md).</t>
        </is>
      </c>
    </row>
    <row r="34">
      <c r="A34" s="8" t="inlineStr">
        <is>
          <t>c2-033</t>
        </is>
      </c>
      <c r="B34" s="8" t="inlineStr">
        <is>
          <t>~8h25</t>
        </is>
      </c>
      <c r="C34" s="8" t="inlineStr">
        <is>
          <t>O Técnico</t>
        </is>
      </c>
      <c r="D34" s="8" t="inlineStr">
        <is>
          <t>subgerente</t>
        </is>
      </c>
      <c r="E34" s="8" t="inlineStr">
        <is>
          <t>presencial</t>
        </is>
      </c>
      <c r="F34" s="8" t="inlineStr">
        <is>
          <t>direta</t>
        </is>
      </c>
      <c r="G34" s="8" t="inlineStr">
        <is>
          <t>Possível. Com equipamento.</t>
        </is>
      </c>
      <c r="H34" s="8" t="inlineStr">
        <is>
          <t>pista falsa</t>
        </is>
      </c>
      <c r="I34" s="8" t="inlineStr"/>
      <c r="J34" s="8" t="inlineStr"/>
      <c r="K34" s="8" t="inlineStr"/>
      <c r="L34" s="8" t="inlineStr">
        <is>
          <t>toda casa</t>
        </is>
      </c>
      <c r="M34" s="8" t="inlineStr">
        <is>
          <t>não</t>
        </is>
      </c>
      <c r="N34" s="8" t="inlineStr"/>
      <c r="O34" s="8" t="inlineStr"/>
      <c r="P34" s="8" t="inlineStr"/>
      <c r="Q34" s="8" t="inlineStr"/>
      <c r="R34" s="8" t="inlineStr"/>
      <c r="S34" s="8" t="inlineStr"/>
      <c r="T34" s="8" t="inlineStr">
        <is>
          <t>Réplica ao Subgerente: sem ele, fica órfã e o peso sobre a maleta precisa de outro gatilho.</t>
        </is>
      </c>
    </row>
    <row r="35">
      <c r="A35" s="12" t="inlineStr">
        <is>
          <t>c2-034</t>
        </is>
      </c>
      <c r="B35" s="12" t="inlineStr">
        <is>
          <t>~8h26</t>
        </is>
      </c>
      <c r="C35" s="12" t="inlineStr">
        <is>
          <t>A Farmacêutica</t>
        </is>
      </c>
      <c r="D35" s="12" t="inlineStr">
        <is>
          <t>subgerente</t>
        </is>
      </c>
      <c r="E35" s="12" t="inlineStr">
        <is>
          <t>presencial</t>
        </is>
      </c>
      <c r="F35" s="12" t="inlineStr">
        <is>
          <t>direta</t>
        </is>
      </c>
      <c r="G35" s="12" t="inlineStr">
        <is>
          <t>Cortou-se?</t>
        </is>
      </c>
      <c r="H35" s="12" t="inlineStr">
        <is>
          <t>reforço</t>
        </is>
      </c>
      <c r="I35" s="12" t="inlineStr">
        <is>
          <t>Fita estreita A3</t>
        </is>
      </c>
      <c r="J35" s="12" t="inlineStr">
        <is>
          <t>A3</t>
        </is>
      </c>
      <c r="K35" s="12" t="inlineStr">
        <is>
          <t>G: pergunta ao Gerente (fita estreita no indicador do Gerente); V: ao Caixa Veterano (indicador do Caixa Veterano).</t>
        </is>
      </c>
      <c r="L35" s="12" t="inlineStr">
        <is>
          <t>casa ≥ 12</t>
        </is>
      </c>
      <c r="M35" s="12" t="inlineStr">
        <is>
          <t>sim</t>
        </is>
      </c>
      <c r="N35" s="12" t="inlineStr"/>
      <c r="O35" s="12" t="inlineStr"/>
      <c r="P35" s="12" t="inlineStr"/>
      <c r="Q35" s="12" t="inlineStr"/>
      <c r="R35" s="12" t="inlineStr"/>
      <c r="S35" s="12" t="inlineStr"/>
      <c r="T35" s="12" t="inlineStr">
        <is>
          <t>Plantação da fita estreita depende só da Farmacêutica (bloco 3): nas casas 6 e 8 não há plantação no Cap. 2.</t>
        </is>
      </c>
    </row>
    <row r="36">
      <c r="A36" s="12" t="inlineStr">
        <is>
          <t>c2-035</t>
        </is>
      </c>
      <c r="B36" s="12" t="inlineStr">
        <is>
          <t>~8h26</t>
        </is>
      </c>
      <c r="C36" s="12" t="inlineStr">
        <is>
          <t>O Subgerente</t>
        </is>
      </c>
      <c r="D36" s="12" t="inlineStr">
        <is>
          <t>farmaceutica</t>
        </is>
      </c>
      <c r="E36" s="12" t="inlineStr">
        <is>
          <t>presencial</t>
        </is>
      </c>
      <c r="F36" s="12" t="inlineStr">
        <is>
          <t>direta</t>
        </is>
      </c>
      <c r="G36" s="12" t="inlineStr">
        <is>
          <t>Numa caixa de papelão.</t>
        </is>
      </c>
      <c r="H36" s="12" t="inlineStr">
        <is>
          <t>reforço</t>
        </is>
      </c>
      <c r="I36" s="12" t="inlineStr">
        <is>
          <t>Fita estreita A3</t>
        </is>
      </c>
      <c r="J36" s="12" t="inlineStr">
        <is>
          <t>A3</t>
        </is>
      </c>
      <c r="K36" s="12" t="inlineStr">
        <is>
          <t>G: responde o Gerente; V: responde o Caixa Veterano.</t>
        </is>
      </c>
      <c r="L36" s="12" t="inlineStr">
        <is>
          <t>casa ≥ 8</t>
        </is>
      </c>
      <c r="M36" s="12" t="inlineStr">
        <is>
          <t>sim</t>
        </is>
      </c>
      <c r="N36" s="12" t="inlineStr"/>
      <c r="O36" s="12" t="inlineStr"/>
      <c r="P36" s="12" t="inlineStr"/>
      <c r="Q36" s="12" t="inlineStr"/>
      <c r="R36" s="12" t="inlineStr"/>
      <c r="S36" s="12" t="inlineStr"/>
      <c r="T36" s="12" t="inlineStr">
        <is>
          <t>Na referência, o Subgerente; nas partidas G/V o falante é de núcleo, mas a fala só existe se a Farmacêutica perguntar.</t>
        </is>
      </c>
    </row>
    <row r="37">
      <c r="A37" s="9" t="inlineStr">
        <is>
          <t>c2-036</t>
        </is>
      </c>
      <c r="B37" s="9" t="inlineStr">
        <is>
          <t>~8h26</t>
        </is>
      </c>
      <c r="C37" s="9" t="inlineStr">
        <is>
          <t>A Farmacêutica</t>
        </is>
      </c>
      <c r="D37" s="9" t="inlineStr">
        <is>
          <t>caixa_novato</t>
        </is>
      </c>
      <c r="E37" s="9" t="inlineStr">
        <is>
          <t>presencial</t>
        </is>
      </c>
      <c r="F37" s="9" t="inlineStr">
        <is>
          <t>direta</t>
        </is>
      </c>
      <c r="G37" s="9" t="inlineStr">
        <is>
          <t>E você?</t>
        </is>
      </c>
      <c r="H37" s="9" t="inlineStr">
        <is>
          <t>reforço</t>
        </is>
      </c>
      <c r="I37" s="9" t="inlineStr">
        <is>
          <t>Fita estreita A3</t>
        </is>
      </c>
      <c r="J37" s="9" t="inlineStr"/>
      <c r="K37" s="9" t="inlineStr"/>
      <c r="L37" s="9" t="inlineStr">
        <is>
          <t>casa ≥ 12</t>
        </is>
      </c>
      <c r="M37" s="9" t="inlineStr">
        <is>
          <t>sim</t>
        </is>
      </c>
      <c r="N37" s="9" t="inlineStr"/>
      <c r="O37" s="9" t="inlineStr"/>
      <c r="P37" s="9" t="inlineStr"/>
      <c r="Q37" s="9" t="inlineStr"/>
      <c r="R37" s="9" t="inlineStr"/>
      <c r="S37" s="9" t="inlineStr"/>
      <c r="T37" s="9" t="inlineStr"/>
    </row>
    <row r="38">
      <c r="A38" s="8" t="inlineStr">
        <is>
          <t>c2-037</t>
        </is>
      </c>
      <c r="B38" s="8" t="inlineStr">
        <is>
          <t>~8h26</t>
        </is>
      </c>
      <c r="C38" s="8" t="inlineStr">
        <is>
          <t>O Caixa Novato</t>
        </is>
      </c>
      <c r="D38" s="8" t="inlineStr">
        <is>
          <t>farmaceutica</t>
        </is>
      </c>
      <c r="E38" s="8" t="inlineStr">
        <is>
          <t>presencial</t>
        </is>
      </c>
      <c r="F38" s="8" t="inlineStr">
        <is>
          <t>direta</t>
        </is>
      </c>
      <c r="G38" s="8" t="inlineStr">
        <is>
          <t>Numa nota nova. Peguei a fita no kit da Gerência.</t>
        </is>
      </c>
      <c r="H38" s="8" t="inlineStr">
        <is>
          <t>pista falsa</t>
        </is>
      </c>
      <c r="I38" s="8" t="inlineStr">
        <is>
          <t>Fita estreita A3</t>
        </is>
      </c>
      <c r="J38" s="8" t="inlineStr"/>
      <c r="K38" s="8" t="inlineStr"/>
      <c r="L38" s="8" t="inlineStr">
        <is>
          <t>toda casa</t>
        </is>
      </c>
      <c r="M38" s="8" t="inlineStr">
        <is>
          <t>não</t>
        </is>
      </c>
      <c r="N38" s="8" t="inlineStr"/>
      <c r="O38" s="8" t="inlineStr"/>
      <c r="P38" s="8" t="inlineStr"/>
      <c r="Q38" s="8" t="inlineStr"/>
      <c r="R38" s="8" t="inlineStr"/>
      <c r="S38" s="8" t="inlineStr"/>
      <c r="T38" s="8" t="inlineStr">
        <is>
          <t>Fita larga do kit (colhida no Cap. 7, cupom × kit). Depende da pergunta da Farmacêutica: na casa 6 precisa de outro interlocutor.</t>
        </is>
      </c>
    </row>
    <row r="39">
      <c r="A39" s="9" t="inlineStr">
        <is>
          <t>c2-038</t>
        </is>
      </c>
      <c r="B39" s="9" t="inlineStr">
        <is>
          <t>8h29</t>
        </is>
      </c>
      <c r="C39" s="9" t="inlineStr">
        <is>
          <t>O Operador de Rádio</t>
        </is>
      </c>
      <c r="D39" s="9" t="inlineStr">
        <is>
          <t>todos</t>
        </is>
      </c>
      <c r="E39" s="9" t="inlineStr">
        <is>
          <t>rádio</t>
        </is>
      </c>
      <c r="F39" s="9" t="inlineStr">
        <is>
          <t>indireta</t>
        </is>
      </c>
      <c r="G39" s="9" t="inlineStr">
        <is>
          <t>Envio o registro bruto da antecipação: chamada às seis e cinquenta e dois, de ramal interno, com código de tesouraria, quarenta e três segundos, sem gravação de voz. Origem: o telefone da Sala da Gerência.</t>
        </is>
      </c>
      <c r="H39" s="9" t="inlineStr">
        <is>
          <t>prova</t>
        </is>
      </c>
      <c r="I39" s="9" t="inlineStr"/>
      <c r="J39" s="9" t="inlineStr"/>
      <c r="K39" s="9" t="inlineStr"/>
      <c r="L39" s="9" t="inlineStr">
        <is>
          <t>toda casa</t>
        </is>
      </c>
      <c r="M39" s="9" t="inlineStr">
        <is>
          <t>não</t>
        </is>
      </c>
      <c r="N39" s="9" t="inlineStr"/>
      <c r="O39" s="9" t="inlineStr"/>
      <c r="P39" s="9" t="inlineStr"/>
      <c r="Q39" s="9" t="inlineStr"/>
      <c r="R39" s="9" t="inlineStr"/>
      <c r="S39" s="9" t="inlineStr"/>
      <c r="T39" s="9" t="inlineStr">
        <is>
          <t>Âncora 8h29. Operador de Rádio é do bloco 'completa': na casa 6 o registro precisa chegar por outro canal (Motorista/registro).</t>
        </is>
      </c>
    </row>
    <row r="40">
      <c r="A40" s="8" t="inlineStr">
        <is>
          <t>c2-039</t>
        </is>
      </c>
      <c r="B40" s="8" t="inlineStr">
        <is>
          <t>~8h30</t>
        </is>
      </c>
      <c r="C40" s="8" t="inlineStr">
        <is>
          <t>Registro / sistema</t>
        </is>
      </c>
      <c r="D40" s="8" t="inlineStr">
        <is>
          <t>todos</t>
        </is>
      </c>
      <c r="E40" s="8" t="inlineStr">
        <is>
          <t>registro</t>
        </is>
      </c>
      <c r="F40" s="8" t="inlineStr">
        <is>
          <t>indireta</t>
        </is>
      </c>
      <c r="G40" s="8" t="inlineStr">
        <is>
          <t>Crachás da Porta Giratória: Segurança Interno e Funcionário da Limpeza 7h10; Gerente 7h12; Subgerente 7h16; Caixa Veterano 7h21.</t>
        </is>
      </c>
      <c r="H40" s="8" t="inlineStr">
        <is>
          <t>prova</t>
        </is>
      </c>
      <c r="I40" s="8" t="inlineStr"/>
      <c r="J40" s="8" t="inlineStr"/>
      <c r="K40" s="8" t="inlineStr"/>
      <c r="L40" s="8" t="inlineStr">
        <is>
          <t>toda casa</t>
        </is>
      </c>
      <c r="M40" s="8" t="inlineStr">
        <is>
          <t>não</t>
        </is>
      </c>
      <c r="N40" s="8" t="inlineStr"/>
      <c r="O40" s="8" t="inlineStr"/>
      <c r="P40" s="8" t="inlineStr"/>
      <c r="Q40" s="8" t="inlineStr"/>
      <c r="R40" s="8" t="inlineStr"/>
      <c r="S40" s="8" t="inlineStr"/>
      <c r="T40" s="8" t="inlineStr">
        <is>
          <t>Lido pela Operadora. Não lista Operadora, Estagiária, Caixa Novato nem o Técnico (porta lateral 7h40).</t>
        </is>
      </c>
    </row>
    <row r="41">
      <c r="A41" s="9" t="inlineStr">
        <is>
          <t>c2-040</t>
        </is>
      </c>
      <c r="B41" s="9" t="inlineStr">
        <is>
          <t>~8h30</t>
        </is>
      </c>
      <c r="C41" s="9" t="inlineStr">
        <is>
          <t>A Auditora</t>
        </is>
      </c>
      <c r="D41" s="9" t="inlineStr">
        <is>
          <t>todos</t>
        </is>
      </c>
      <c r="E41" s="9" t="inlineStr">
        <is>
          <t>presencial</t>
        </is>
      </c>
      <c r="F41" s="9" t="inlineStr">
        <is>
          <t>direta</t>
        </is>
      </c>
      <c r="G41" s="9" t="inlineStr">
        <is>
          <t>Então às seis e cinquenta e dois alguém estava na Gerência, antes de qualquer crachá do dia.</t>
        </is>
      </c>
      <c r="H41" s="9" t="inlineStr">
        <is>
          <t>prova</t>
        </is>
      </c>
      <c r="I41" s="9" t="inlineStr"/>
      <c r="J41" s="9" t="inlineStr"/>
      <c r="K41" s="9" t="inlineStr"/>
      <c r="L41" s="9" t="inlineStr">
        <is>
          <t>toda casa</t>
        </is>
      </c>
      <c r="M41" s="9" t="inlineStr">
        <is>
          <t>não</t>
        </is>
      </c>
      <c r="N41" s="9" t="inlineStr"/>
      <c r="O41" s="9" t="inlineStr"/>
      <c r="P41" s="9" t="inlineStr"/>
      <c r="Q41" s="9" t="inlineStr"/>
      <c r="R41" s="9" t="inlineStr"/>
      <c r="S41" s="9" t="inlineStr"/>
      <c r="T41" s="9" t="inlineStr"/>
    </row>
    <row r="42">
      <c r="A42" s="8" t="inlineStr">
        <is>
          <t>c2-041</t>
        </is>
      </c>
      <c r="B42" s="8" t="inlineStr">
        <is>
          <t>~8h31</t>
        </is>
      </c>
      <c r="C42" s="8" t="inlineStr">
        <is>
          <t>A Operadora da Central</t>
        </is>
      </c>
      <c r="D42" s="8" t="inlineStr">
        <is>
          <t>auditora</t>
        </is>
      </c>
      <c r="E42" s="8" t="inlineStr">
        <is>
          <t>presencial</t>
        </is>
      </c>
      <c r="F42" s="8" t="inlineStr">
        <is>
          <t>direta</t>
        </is>
      </c>
      <c r="G42" s="8" t="inlineStr">
        <is>
          <t>Tem mais uma coisa.</t>
        </is>
      </c>
      <c r="H42" s="8" t="inlineStr">
        <is>
          <t>subtrama</t>
        </is>
      </c>
      <c r="I42" s="8" t="inlineStr"/>
      <c r="J42" s="8" t="inlineStr"/>
      <c r="K42" s="8" t="inlineStr"/>
      <c r="L42" s="8" t="inlineStr">
        <is>
          <t>toda casa</t>
        </is>
      </c>
      <c r="M42" s="8" t="inlineStr">
        <is>
          <t>não</t>
        </is>
      </c>
      <c r="N42" s="8" t="inlineStr"/>
      <c r="O42" s="8" t="inlineStr"/>
      <c r="P42" s="8" t="inlineStr"/>
      <c r="Q42" s="8" t="inlineStr"/>
      <c r="R42" s="8" t="inlineStr"/>
      <c r="S42" s="8" t="inlineStr"/>
      <c r="T42" s="8" t="inlineStr"/>
    </row>
    <row r="43">
      <c r="A43" s="9" t="inlineStr">
        <is>
          <t>c2-042</t>
        </is>
      </c>
      <c r="B43" s="9" t="inlineStr">
        <is>
          <t>~8h31</t>
        </is>
      </c>
      <c r="C43" s="9" t="inlineStr">
        <is>
          <t>A Operadora da Central</t>
        </is>
      </c>
      <c r="D43" s="9" t="inlineStr">
        <is>
          <t>auditora</t>
        </is>
      </c>
      <c r="E43" s="9" t="inlineStr">
        <is>
          <t>presencial</t>
        </is>
      </c>
      <c r="F43" s="9" t="inlineStr">
        <is>
          <t>direta</t>
        </is>
      </c>
      <c r="G43" s="9" t="inlineStr">
        <is>
          <t>Se isso aparecer amanhã, não cai só você.</t>
        </is>
      </c>
      <c r="H43" s="9" t="inlineStr">
        <is>
          <t>subtrama</t>
        </is>
      </c>
      <c r="I43" s="9" t="inlineStr"/>
      <c r="J43" s="9" t="inlineStr"/>
      <c r="K43" s="9" t="inlineStr"/>
      <c r="L43" s="9" t="inlineStr">
        <is>
          <t>toda casa</t>
        </is>
      </c>
      <c r="M43" s="9" t="inlineStr">
        <is>
          <t>não</t>
        </is>
      </c>
      <c r="N43" s="9" t="inlineStr"/>
      <c r="O43" s="9" t="inlineStr"/>
      <c r="P43" s="9" t="inlineStr"/>
      <c r="Q43" s="9" t="inlineStr"/>
      <c r="R43" s="9" t="inlineStr"/>
      <c r="S43" s="9" t="inlineStr"/>
      <c r="T43" s="9" t="inlineStr">
        <is>
          <t>Leitura da frase apagada na véspera (falante original não atribuído).</t>
        </is>
      </c>
    </row>
    <row r="44">
      <c r="A44" s="8" t="inlineStr">
        <is>
          <t>c2-043</t>
        </is>
      </c>
      <c r="B44" s="8" t="inlineStr">
        <is>
          <t>~8h31</t>
        </is>
      </c>
      <c r="C44" s="8" t="inlineStr">
        <is>
          <t>A Auditora</t>
        </is>
      </c>
      <c r="D44" s="8" t="inlineStr">
        <is>
          <t>todos</t>
        </is>
      </c>
      <c r="E44" s="8" t="inlineStr">
        <is>
          <t>presencial</t>
        </is>
      </c>
      <c r="F44" s="8" t="inlineStr">
        <is>
          <t>direta</t>
        </is>
      </c>
      <c r="G44" s="8" t="inlineStr">
        <is>
          <t>Era sobre o quê?</t>
        </is>
      </c>
      <c r="H44" s="8" t="inlineStr">
        <is>
          <t>subtrama</t>
        </is>
      </c>
      <c r="I44" s="8" t="inlineStr"/>
      <c r="J44" s="8" t="inlineStr"/>
      <c r="K44" s="8" t="inlineStr"/>
      <c r="L44" s="8" t="inlineStr">
        <is>
          <t>toda casa</t>
        </is>
      </c>
      <c r="M44" s="8" t="inlineStr">
        <is>
          <t>não</t>
        </is>
      </c>
      <c r="N44" s="8" t="inlineStr"/>
      <c r="O44" s="8" t="inlineStr"/>
      <c r="P44" s="8" t="inlineStr"/>
      <c r="Q44" s="8" t="inlineStr"/>
      <c r="R44" s="8" t="inlineStr"/>
      <c r="S44" s="8" t="inlineStr"/>
      <c r="T44" s="8" t="inlineStr"/>
    </row>
    <row r="45">
      <c r="A45" s="9" t="inlineStr">
        <is>
          <t>c2-044</t>
        </is>
      </c>
      <c r="B45" s="9" t="inlineStr">
        <is>
          <t>~8h31</t>
        </is>
      </c>
      <c r="C45" s="9" t="inlineStr">
        <is>
          <t>O Gerente</t>
        </is>
      </c>
      <c r="D45" s="9" t="inlineStr">
        <is>
          <t>auditora</t>
        </is>
      </c>
      <c r="E45" s="9" t="inlineStr">
        <is>
          <t>presencial</t>
        </is>
      </c>
      <c r="F45" s="9" t="inlineStr">
        <is>
          <t>direta</t>
        </is>
      </c>
      <c r="G45" s="9" t="inlineStr">
        <is>
          <t>Manutenção.</t>
        </is>
      </c>
      <c r="H45" s="9" t="inlineStr">
        <is>
          <t>subtrama</t>
        </is>
      </c>
      <c r="I45" s="9" t="inlineStr"/>
      <c r="J45" s="9" t="inlineStr"/>
      <c r="K45" s="9" t="inlineStr"/>
      <c r="L45" s="9" t="inlineStr">
        <is>
          <t>toda casa</t>
        </is>
      </c>
      <c r="M45" s="9" t="inlineStr">
        <is>
          <t>não</t>
        </is>
      </c>
      <c r="N45" s="9" t="inlineStr"/>
      <c r="O45" s="9" t="inlineStr"/>
      <c r="P45" s="9" t="inlineStr"/>
      <c r="Q45" s="9" t="inlineStr"/>
      <c r="R45" s="9" t="inlineStr"/>
      <c r="S45" s="9" t="inlineStr"/>
      <c r="T45" s="9" t="inlineStr">
        <is>
          <t>Sem o Subgerente, perde-se o contraste das 'duas respostas'.</t>
        </is>
      </c>
    </row>
    <row r="46">
      <c r="A46" s="8" t="inlineStr">
        <is>
          <t>c2-045</t>
        </is>
      </c>
      <c r="B46" s="8" t="inlineStr">
        <is>
          <t>~8h31</t>
        </is>
      </c>
      <c r="C46" s="8" t="inlineStr">
        <is>
          <t>O Subgerente</t>
        </is>
      </c>
      <c r="D46" s="8" t="inlineStr">
        <is>
          <t>auditora</t>
        </is>
      </c>
      <c r="E46" s="8" t="inlineStr">
        <is>
          <t>presencial</t>
        </is>
      </c>
      <c r="F46" s="8" t="inlineStr">
        <is>
          <t>direta</t>
        </is>
      </c>
      <c r="G46" s="8" t="inlineStr">
        <is>
          <t>Pessoal.</t>
        </is>
      </c>
      <c r="H46" s="8" t="inlineStr">
        <is>
          <t>subtrama</t>
        </is>
      </c>
      <c r="I46" s="8" t="inlineStr"/>
      <c r="J46" s="8" t="inlineStr"/>
      <c r="K46" s="8" t="inlineStr"/>
      <c r="L46" s="8" t="inlineStr">
        <is>
          <t>casa ≥ 8</t>
        </is>
      </c>
      <c r="M46" s="8" t="inlineStr">
        <is>
          <t>sim</t>
        </is>
      </c>
      <c r="N46" s="8" t="inlineStr"/>
      <c r="O46" s="8" t="inlineStr"/>
      <c r="P46" s="8" t="inlineStr"/>
      <c r="Q46" s="8" t="inlineStr"/>
      <c r="R46" s="8" t="inlineStr"/>
      <c r="S46" s="8" t="inlineStr"/>
      <c r="T46" s="8" t="inlineStr">
        <is>
          <t>Sai nas casas sem Subgerente (canone.md); o parágrafo 'Duas respostas para uma única conversa' precisa ser reescrito.</t>
        </is>
      </c>
    </row>
    <row r="47">
      <c r="A47" s="9" t="inlineStr">
        <is>
          <t>c2-046</t>
        </is>
      </c>
      <c r="B47" s="9" t="inlineStr">
        <is>
          <t>8h35</t>
        </is>
      </c>
      <c r="C47" s="9" t="inlineStr">
        <is>
          <t>Registro / sistema</t>
        </is>
      </c>
      <c r="D47" s="9" t="inlineStr">
        <is>
          <t>todos</t>
        </is>
      </c>
      <c r="E47" s="9" t="inlineStr">
        <is>
          <t>registro</t>
        </is>
      </c>
      <c r="F47" s="9" t="inlineStr">
        <is>
          <t>indireta</t>
        </is>
      </c>
      <c r="G47" s="9" t="inlineStr">
        <is>
          <t>ML-8847</t>
        </is>
      </c>
      <c r="H47" s="9" t="inlineStr">
        <is>
          <t>prova</t>
        </is>
      </c>
      <c r="I47" s="9" t="inlineStr"/>
      <c r="J47" s="9" t="inlineStr"/>
      <c r="K47" s="9" t="inlineStr"/>
      <c r="L47" s="9" t="inlineStr">
        <is>
          <t>toda casa</t>
        </is>
      </c>
      <c r="M47" s="9" t="inlineStr">
        <is>
          <t>não</t>
        </is>
      </c>
      <c r="N47" s="9" t="inlineStr"/>
      <c r="O47" s="9" t="inlineStr"/>
      <c r="P47" s="9" t="inlineStr"/>
      <c r="Q47" s="9" t="inlineStr"/>
      <c r="R47" s="9" t="inlineStr"/>
      <c r="S47" s="9" t="inlineStr"/>
      <c r="T47" s="9" t="inlineStr">
        <is>
          <t>Impressora da Gerência imprime sozinha uma faixa branca e a etiqueta ML-8847; autoria oculta: reimpressão remota do Monitor Remoto (origem 'rede de segurança regional').</t>
        </is>
      </c>
    </row>
  </sheetData>
  <autoFilter ref="A1:T4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3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c3-001</t>
        </is>
      </c>
      <c r="B2" s="8" t="inlineStr">
        <is>
          <t>~8h35</t>
        </is>
      </c>
      <c r="C2" s="8" t="inlineStr">
        <is>
          <t>O Gerente</t>
        </is>
      </c>
      <c r="D2" s="8" t="inlineStr">
        <is>
          <t>todos</t>
        </is>
      </c>
      <c r="E2" s="8" t="inlineStr">
        <is>
          <t>presencial</t>
        </is>
      </c>
      <c r="F2" s="8" t="inlineStr">
        <is>
          <t>indireta</t>
        </is>
      </c>
      <c r="G2" s="8" t="inlineStr">
        <is>
          <t>Recolham todos os cartões de acesso.</t>
        </is>
      </c>
      <c r="H2" s="8" t="inlineStr">
        <is>
          <t>subtrama</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row>
    <row r="3">
      <c r="A3" s="9" t="inlineStr">
        <is>
          <t>c3-002</t>
        </is>
      </c>
      <c r="B3" s="9" t="inlineStr">
        <is>
          <t>~8h35</t>
        </is>
      </c>
      <c r="C3" s="9" t="inlineStr">
        <is>
          <t>A Auditora</t>
        </is>
      </c>
      <c r="D3" s="9" t="inlineStr">
        <is>
          <t>gerente</t>
        </is>
      </c>
      <c r="E3" s="9" t="inlineStr">
        <is>
          <t>presencial</t>
        </is>
      </c>
      <c r="F3" s="9" t="inlineStr">
        <is>
          <t>indireta</t>
        </is>
      </c>
      <c r="G3" s="9" t="inlineStr">
        <is>
          <t>Recuso. Sem registrar quem entrega qual cartão e a que horas, a coleta destrói a cadeia de prova.</t>
        </is>
      </c>
      <c r="H3" s="9" t="inlineStr">
        <is>
          <t>subtrama</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row>
    <row r="4">
      <c r="A4" s="8" t="inlineStr">
        <is>
          <t>c3-003</t>
        </is>
      </c>
      <c r="B4" s="8" t="inlineStr">
        <is>
          <t>~8h36</t>
        </is>
      </c>
      <c r="C4" s="8" t="inlineStr">
        <is>
          <t>O Caixa Veterano</t>
        </is>
      </c>
      <c r="D4" s="8" t="inlineStr">
        <is>
          <t>todos</t>
        </is>
      </c>
      <c r="E4" s="8" t="inlineStr">
        <is>
          <t>presencial</t>
        </is>
      </c>
      <c r="F4" s="8" t="inlineStr">
        <is>
          <t>direta</t>
        </is>
      </c>
      <c r="G4" s="8" t="inlineStr">
        <is>
          <t>Houve uma reimpressão naquela noite. Com o sistema fechado.</t>
        </is>
      </c>
      <c r="H4" s="8" t="inlineStr">
        <is>
          <t>prova</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is>
          <t>Pista genuína fora da tabela de cobertura (planta a duplicidade de onze dias antes).</t>
        </is>
      </c>
    </row>
    <row r="5">
      <c r="A5" s="9" t="inlineStr">
        <is>
          <t>c3-004</t>
        </is>
      </c>
      <c r="B5" s="9" t="inlineStr">
        <is>
          <t>8h38</t>
        </is>
      </c>
      <c r="C5" s="9" t="inlineStr">
        <is>
          <t>A Operadora da Central</t>
        </is>
      </c>
      <c r="D5" s="9" t="inlineStr">
        <is>
          <t>todos</t>
        </is>
      </c>
      <c r="E5" s="9" t="inlineStr">
        <is>
          <t>presencial</t>
        </is>
      </c>
      <c r="F5" s="9" t="inlineStr">
        <is>
          <t>indireta</t>
        </is>
      </c>
      <c r="G5" s="9" t="inlineStr">
        <is>
          <t>Na fila deste terminal: a etiqueta das 7h53 não foi impressa por ninguém às 7h53. Foi agendada às 6h58, neste mesmo terminal, pela conta admin.local. No mesmo minuto, a mesma conta alterou o registro da remessa: onde se lia ML-8842, passou a constar ML-8847.</t>
        </is>
      </c>
      <c r="H5" s="9" t="inlineStr">
        <is>
          <t>prova</t>
        </is>
      </c>
      <c r="I5" s="9" t="inlineStr">
        <is>
          <t>Tarefa das 6h58 e lacre trocado no registro</t>
        </is>
      </c>
      <c r="J5" s="9" t="inlineStr"/>
      <c r="K5" s="9" t="inlineStr"/>
      <c r="L5" s="9" t="inlineStr">
        <is>
          <t>toda casa</t>
        </is>
      </c>
      <c r="M5" s="9" t="inlineStr">
        <is>
          <t>não</t>
        </is>
      </c>
      <c r="N5" s="9" t="inlineStr"/>
      <c r="O5" s="9" t="inlineStr"/>
      <c r="P5" s="9" t="inlineStr"/>
      <c r="Q5" s="9" t="inlineStr"/>
      <c r="R5" s="9" t="inlineStr"/>
      <c r="S5" s="9" t="inlineStr"/>
      <c r="T5" s="9" t="inlineStr">
        <is>
          <t>Fonte: fila do terminal da Gerência, lida pela Operadora com a Auditora anotando; no texto o conteúdo vem pelo narrador — atribuído à Operadora, fonte primária da tabela.</t>
        </is>
      </c>
    </row>
    <row r="6">
      <c r="A6" s="8" t="inlineStr">
        <is>
          <t>c3-005</t>
        </is>
      </c>
      <c r="B6" s="8" t="inlineStr">
        <is>
          <t>8h38</t>
        </is>
      </c>
      <c r="C6" s="8" t="inlineStr">
        <is>
          <t>A Operadora da Central</t>
        </is>
      </c>
      <c r="D6" s="8" t="inlineStr">
        <is>
          <t>todos</t>
        </is>
      </c>
      <c r="E6" s="8" t="inlineStr">
        <is>
          <t>presencial</t>
        </is>
      </c>
      <c r="F6" s="8" t="inlineStr">
        <is>
          <t>direta</t>
        </is>
      </c>
      <c r="G6" s="8" t="inlineStr">
        <is>
          <t>Por isso a tela da Mesa mostrava o lacre novo. O sistema já esperava por ele.</t>
        </is>
      </c>
      <c r="H6" s="8" t="inlineStr">
        <is>
          <t>prova</t>
        </is>
      </c>
      <c r="I6" s="8" t="inlineStr">
        <is>
          <t>Tarefa das 6h58 e lacre trocado no registro</t>
        </is>
      </c>
      <c r="J6" s="8" t="inlineStr"/>
      <c r="K6" s="8" t="inlineStr"/>
      <c r="L6" s="8" t="inlineStr">
        <is>
          <t>toda casa</t>
        </is>
      </c>
      <c r="M6" s="8" t="inlineStr">
        <is>
          <t>não</t>
        </is>
      </c>
      <c r="N6" s="8" t="inlineStr"/>
      <c r="O6" s="8" t="inlineStr"/>
      <c r="P6" s="8" t="inlineStr"/>
      <c r="Q6" s="8" t="inlineStr"/>
      <c r="R6" s="8" t="inlineStr"/>
      <c r="S6" s="8" t="inlineStr"/>
      <c r="T6" s="8" t="inlineStr"/>
    </row>
    <row r="7">
      <c r="A7" s="9" t="inlineStr">
        <is>
          <t>c3-006</t>
        </is>
      </c>
      <c r="B7" s="9" t="inlineStr">
        <is>
          <t>8h38</t>
        </is>
      </c>
      <c r="C7" s="9" t="inlineStr">
        <is>
          <t>Registro / sistema</t>
        </is>
      </c>
      <c r="D7" s="9" t="inlineStr">
        <is>
          <t>todos</t>
        </is>
      </c>
      <c r="E7" s="9" t="inlineStr">
        <is>
          <t>registro</t>
        </is>
      </c>
      <c r="F7" s="9" t="inlineStr">
        <is>
          <t>indireta</t>
        </is>
      </c>
      <c r="G7" s="9" t="inlineStr">
        <is>
          <t>Reimpressão das 8h35 — origem: "acesso remoto de suporte". Sem indicação de onde.</t>
        </is>
      </c>
      <c r="H7" s="9" t="inlineStr">
        <is>
          <t>prova</t>
        </is>
      </c>
      <c r="I7" s="9" t="inlineStr"/>
      <c r="J7" s="9" t="inlineStr"/>
      <c r="K7" s="9" t="inlineStr"/>
      <c r="L7" s="9" t="inlineStr">
        <is>
          <t>toda casa</t>
        </is>
      </c>
      <c r="M7" s="9" t="inlineStr">
        <is>
          <t>não</t>
        </is>
      </c>
      <c r="N7" s="9" t="inlineStr"/>
      <c r="O7" s="9" t="inlineStr"/>
      <c r="P7" s="9" t="inlineStr"/>
      <c r="Q7" s="9" t="inlineStr"/>
      <c r="R7" s="9" t="inlineStr"/>
      <c r="S7" s="9" t="inlineStr"/>
      <c r="T7" s="9" t="inlineStr">
        <is>
          <t>Registro da fila da impressora; a origem é o oculto (Monitor Remoto), não identificado. Pista genuína fora da tabela.</t>
        </is>
      </c>
    </row>
    <row r="8">
      <c r="A8" s="8" t="inlineStr">
        <is>
          <t>c3-007</t>
        </is>
      </c>
      <c r="B8" s="8" t="inlineStr">
        <is>
          <t>~8h39</t>
        </is>
      </c>
      <c r="C8" s="8" t="inlineStr">
        <is>
          <t>A Auditora</t>
        </is>
      </c>
      <c r="D8" s="8" t="inlineStr">
        <is>
          <t>todos</t>
        </is>
      </c>
      <c r="E8" s="8" t="inlineStr">
        <is>
          <t>presencial</t>
        </is>
      </c>
      <c r="F8" s="8" t="inlineStr">
        <is>
          <t>direta</t>
        </is>
      </c>
      <c r="G8" s="8" t="inlineStr">
        <is>
          <t>Quem conhece a senha dessa conta?</t>
        </is>
      </c>
      <c r="H8" s="8" t="inlineStr">
        <is>
          <t>prova</t>
        </is>
      </c>
      <c r="I8" s="8" t="inlineStr">
        <is>
          <t>Senha ditada diante da tesouraria</t>
        </is>
      </c>
      <c r="J8" s="8" t="inlineStr"/>
      <c r="K8" s="8" t="inlineStr"/>
      <c r="L8" s="8" t="inlineStr">
        <is>
          <t>toda casa</t>
        </is>
      </c>
      <c r="M8" s="8" t="inlineStr">
        <is>
          <t>não</t>
        </is>
      </c>
      <c r="N8" s="8" t="inlineStr"/>
      <c r="O8" s="8" t="inlineStr"/>
      <c r="P8" s="8" t="inlineStr"/>
      <c r="Q8" s="8" t="inlineStr"/>
      <c r="R8" s="8" t="inlineStr"/>
      <c r="S8" s="8" t="inlineStr"/>
      <c r="T8" s="8" t="inlineStr"/>
    </row>
    <row r="9">
      <c r="A9" s="9" t="inlineStr">
        <is>
          <t>c3-008</t>
        </is>
      </c>
      <c r="B9" s="9" t="inlineStr">
        <is>
          <t>~8h39</t>
        </is>
      </c>
      <c r="C9" s="9" t="inlineStr">
        <is>
          <t>O Técnico</t>
        </is>
      </c>
      <c r="D9" s="9" t="inlineStr">
        <is>
          <t>auditora</t>
        </is>
      </c>
      <c r="E9" s="9" t="inlineStr">
        <is>
          <t>presencial</t>
        </is>
      </c>
      <c r="F9" s="9" t="inlineStr">
        <is>
          <t>direta</t>
        </is>
      </c>
      <c r="G9" s="9" t="inlineStr">
        <is>
          <t>Ninguém deveria. Fui eu que a criei, para manutenção. Mas numa pane, meses atrás, ditei em voz alta para quem estava em volta: o Gerente, o Subgerente, o tesoureiro e a estagiária.</t>
        </is>
      </c>
      <c r="H9" s="9" t="inlineStr">
        <is>
          <t>prova</t>
        </is>
      </c>
      <c r="I9" s="9" t="inlineStr">
        <is>
          <t>Senha ditada diante da tesouraria</t>
        </is>
      </c>
      <c r="J9" s="9" t="inlineStr"/>
      <c r="K9" s="9" t="inlineStr"/>
      <c r="L9" s="9" t="inlineStr">
        <is>
          <t>toda casa</t>
        </is>
      </c>
      <c r="M9" s="9" t="inlineStr">
        <is>
          <t>não</t>
        </is>
      </c>
      <c r="N9" s="9" t="inlineStr"/>
      <c r="O9" s="9" t="inlineStr"/>
      <c r="P9" s="9" t="inlineStr"/>
      <c r="Q9" s="9" t="inlineStr"/>
      <c r="R9" s="9" t="inlineStr"/>
      <c r="S9" s="9" t="inlineStr"/>
      <c r="T9" s="9" t="inlineStr">
        <is>
          <t>Fonte primária da senha.</t>
        </is>
      </c>
    </row>
    <row r="10">
      <c r="A10" s="8" t="inlineStr">
        <is>
          <t>c3-009</t>
        </is>
      </c>
      <c r="B10" s="8" t="inlineStr">
        <is>
          <t>~8h39</t>
        </is>
      </c>
      <c r="C10" s="8" t="inlineStr">
        <is>
          <t>O Caixa Novato</t>
        </is>
      </c>
      <c r="D10" s="8" t="inlineStr">
        <is>
          <t>todos</t>
        </is>
      </c>
      <c r="E10" s="8" t="inlineStr">
        <is>
          <t>presencial</t>
        </is>
      </c>
      <c r="F10" s="8" t="inlineStr">
        <is>
          <t>direta</t>
        </is>
      </c>
      <c r="G10" s="8" t="inlineStr">
        <is>
          <t>É esta?</t>
        </is>
      </c>
      <c r="H10" s="8" t="inlineStr">
        <is>
          <t>reforço</t>
        </is>
      </c>
      <c r="I10" s="8" t="inlineStr">
        <is>
          <t>Senha ditada diante da tesouraria</t>
        </is>
      </c>
      <c r="J10" s="8" t="inlineStr"/>
      <c r="K10" s="8" t="inlineStr"/>
      <c r="L10" s="8" t="inlineStr">
        <is>
          <t>toda casa</t>
        </is>
      </c>
      <c r="M10" s="8" t="inlineStr">
        <is>
          <t>não</t>
        </is>
      </c>
      <c r="N10" s="8" t="inlineStr"/>
      <c r="O10" s="8" t="inlineStr"/>
      <c r="P10" s="8" t="inlineStr"/>
      <c r="Q10" s="8" t="inlineStr"/>
      <c r="R10" s="8" t="inlineStr"/>
      <c r="S10" s="8" t="inlineStr"/>
      <c r="T10" s="8" t="inlineStr">
        <is>
          <t>Mostra o papel dobrado da pasta azul trocada (apoio; fica em toda casa).</t>
        </is>
      </c>
    </row>
    <row r="11">
      <c r="A11" s="9" t="inlineStr">
        <is>
          <t>c3-010</t>
        </is>
      </c>
      <c r="B11" s="9" t="inlineStr">
        <is>
          <t>~8h39</t>
        </is>
      </c>
      <c r="C11" s="9" t="inlineStr">
        <is>
          <t>A Estagiária</t>
        </is>
      </c>
      <c r="D11" s="9" t="inlineStr">
        <is>
          <t>todos</t>
        </is>
      </c>
      <c r="E11" s="9" t="inlineStr">
        <is>
          <t>presencial</t>
        </is>
      </c>
      <c r="F11" s="9" t="inlineStr">
        <is>
          <t>indireta</t>
        </is>
      </c>
      <c r="G11" s="9" t="inlineStr">
        <is>
          <t>É esta, sim. Anotei porque ninguém me disse onde guardar, e nunca a usei.</t>
        </is>
      </c>
      <c r="H11" s="9" t="inlineStr">
        <is>
          <t>reforço</t>
        </is>
      </c>
      <c r="I11" s="9" t="inlineStr">
        <is>
          <t>Senha ditada diante da tesouraria</t>
        </is>
      </c>
      <c r="J11" s="9" t="inlineStr"/>
      <c r="K11" s="9" t="inlineStr"/>
      <c r="L11" s="9" t="inlineStr">
        <is>
          <t>casa ≥ 12</t>
        </is>
      </c>
      <c r="M11" s="9" t="inlineStr">
        <is>
          <t>sim</t>
        </is>
      </c>
      <c r="N11" s="9" t="inlineStr"/>
      <c r="O11" s="9" t="inlineStr"/>
      <c r="P11" s="9" t="inlineStr"/>
      <c r="Q11" s="9" t="inlineStr"/>
      <c r="R11" s="9" t="inlineStr"/>
      <c r="S11" s="9" t="inlineStr"/>
      <c r="T11" s="9" t="inlineStr">
        <is>
          <t>Sem a Estagiária, ninguém confirma de quem é a letra do papel; a fala seguinte da Auditora fica sem base na casa de 6.</t>
        </is>
      </c>
    </row>
    <row r="12">
      <c r="A12" s="8" t="inlineStr">
        <is>
          <t>c3-011</t>
        </is>
      </c>
      <c r="B12" s="8" t="inlineStr">
        <is>
          <t>~8h40</t>
        </is>
      </c>
      <c r="C12" s="8" t="inlineStr">
        <is>
          <t>A Auditora</t>
        </is>
      </c>
      <c r="D12" s="8" t="inlineStr">
        <is>
          <t>todos</t>
        </is>
      </c>
      <c r="E12" s="8" t="inlineStr">
        <is>
          <t>presencial</t>
        </is>
      </c>
      <c r="F12" s="8" t="inlineStr">
        <is>
          <t>direta</t>
        </is>
      </c>
      <c r="G12" s="8" t="inlineStr">
        <is>
          <t>Então cinco pessoas ouviram. E uma delas a escreveu num papel que passou a manhã com outra.</t>
        </is>
      </c>
      <c r="H12" s="8" t="inlineStr">
        <is>
          <t>prova</t>
        </is>
      </c>
      <c r="I12" s="8" t="inlineStr">
        <is>
          <t>Senha ditada diante da tesouraria</t>
        </is>
      </c>
      <c r="J12" s="8" t="inlineStr"/>
      <c r="K12" s="8" t="inlineStr"/>
      <c r="L12" s="8" t="inlineStr">
        <is>
          <t>toda casa</t>
        </is>
      </c>
      <c r="M12" s="8" t="inlineStr">
        <is>
          <t>não</t>
        </is>
      </c>
      <c r="N12" s="8" t="inlineStr"/>
      <c r="O12" s="8" t="inlineStr"/>
      <c r="P12" s="8" t="inlineStr"/>
      <c r="Q12" s="8" t="inlineStr"/>
      <c r="R12" s="8" t="inlineStr"/>
      <c r="S12" s="8" t="inlineStr"/>
      <c r="T12" s="8" t="inlineStr">
        <is>
          <t>A 2ª frase depende da confirmação da Estagiária (bloco3); ajustar na casa de 6.</t>
        </is>
      </c>
    </row>
    <row r="13">
      <c r="A13" s="9" t="inlineStr">
        <is>
          <t>c3-012</t>
        </is>
      </c>
      <c r="B13" s="9" t="inlineStr">
        <is>
          <t>~8h40</t>
        </is>
      </c>
      <c r="C13" s="9" t="inlineStr">
        <is>
          <t>O Gerente</t>
        </is>
      </c>
      <c r="D13" s="9" t="inlineStr">
        <is>
          <t>todos</t>
        </is>
      </c>
      <c r="E13" s="9" t="inlineStr">
        <is>
          <t>presencial</t>
        </is>
      </c>
      <c r="F13" s="9" t="inlineStr">
        <is>
          <t>indireta</t>
        </is>
      </c>
      <c r="G13" s="9" t="inlineStr">
        <is>
          <t>Revistem a maleta do Técnico.</t>
        </is>
      </c>
      <c r="H13" s="9" t="inlineStr">
        <is>
          <t>pista falsa</t>
        </is>
      </c>
      <c r="I13" s="9" t="inlineStr"/>
      <c r="J13" s="9" t="inlineStr"/>
      <c r="K13" s="9" t="inlineStr"/>
      <c r="L13" s="9" t="inlineStr">
        <is>
          <t>toda casa</t>
        </is>
      </c>
      <c r="M13" s="9" t="inlineStr">
        <is>
          <t>não</t>
        </is>
      </c>
      <c r="N13" s="9" t="inlineStr"/>
      <c r="O13" s="9" t="inlineStr"/>
      <c r="P13" s="9" t="inlineStr"/>
      <c r="Q13" s="9" t="inlineStr"/>
      <c r="R13" s="9" t="inlineStr"/>
      <c r="S13" s="9" t="inlineStr"/>
      <c r="T13" s="9" t="inlineStr">
        <is>
          <t>Leva à falsa pista do roteador e dos adaptadores.</t>
        </is>
      </c>
    </row>
    <row r="14">
      <c r="A14" s="8" t="inlineStr">
        <is>
          <t>c3-013</t>
        </is>
      </c>
      <c r="B14" s="8" t="inlineStr">
        <is>
          <t>~8h41</t>
        </is>
      </c>
      <c r="C14" s="8" t="inlineStr">
        <is>
          <t>O Técnico</t>
        </is>
      </c>
      <c r="D14" s="8" t="inlineStr">
        <is>
          <t>gerente</t>
        </is>
      </c>
      <c r="E14" s="8" t="inlineStr">
        <is>
          <t>presencial</t>
        </is>
      </c>
      <c r="F14" s="8" t="inlineStr">
        <is>
          <t>direta</t>
        </is>
      </c>
      <c r="G14" s="8" t="inlineStr">
        <is>
          <t>Isso aí mantém esta agência de pé. Sem nota, sem orçamento, sem obrigado.</t>
        </is>
      </c>
      <c r="H14" s="8" t="inlineStr">
        <is>
          <t>subtrama</t>
        </is>
      </c>
      <c r="I14" s="8" t="inlineStr"/>
      <c r="J14" s="8" t="inlineStr"/>
      <c r="K14" s="8" t="inlineStr"/>
      <c r="L14" s="8" t="inlineStr">
        <is>
          <t>toda casa</t>
        </is>
      </c>
      <c r="M14" s="8" t="inlineStr">
        <is>
          <t>não</t>
        </is>
      </c>
      <c r="N14" s="8" t="inlineStr"/>
      <c r="O14" s="8" t="inlineStr"/>
      <c r="P14" s="8" t="inlineStr"/>
      <c r="Q14" s="8" t="inlineStr"/>
      <c r="R14" s="8" t="inlineStr"/>
      <c r="S14" s="8" t="inlineStr"/>
      <c r="T14" s="8" t="inlineStr">
        <is>
          <t>Segredo inocente: peças reaproveitadas sem nota.</t>
        </is>
      </c>
    </row>
    <row r="15">
      <c r="A15" s="9" t="inlineStr">
        <is>
          <t>c3-014</t>
        </is>
      </c>
      <c r="B15" s="9" t="inlineStr">
        <is>
          <t>~8h41</t>
        </is>
      </c>
      <c r="C15" s="9" t="inlineStr">
        <is>
          <t>O Técnico</t>
        </is>
      </c>
      <c r="D15" s="9" t="inlineStr">
        <is>
          <t>todos</t>
        </is>
      </c>
      <c r="E15" s="9" t="inlineStr">
        <is>
          <t>presencial</t>
        </is>
      </c>
      <c r="F15" s="9" t="inlineStr">
        <is>
          <t>indireta</t>
        </is>
      </c>
      <c r="G15" s="9" t="inlineStr">
        <is>
          <t>Esta é a fotografia das 7h45: o conector da câmera 3 estava puxado até o limite, ainda preso.</t>
        </is>
      </c>
      <c r="H15" s="9" t="inlineStr">
        <is>
          <t>prova</t>
        </is>
      </c>
      <c r="I15" s="9" t="inlineStr"/>
      <c r="J15" s="9" t="inlineStr"/>
      <c r="K15" s="9" t="inlineStr"/>
      <c r="L15" s="9" t="inlineStr">
        <is>
          <t>toda casa</t>
        </is>
      </c>
      <c r="M15" s="9" t="inlineStr">
        <is>
          <t>não</t>
        </is>
      </c>
      <c r="N15" s="9" t="inlineStr"/>
      <c r="O15" s="9" t="inlineStr"/>
      <c r="P15" s="9" t="inlineStr"/>
      <c r="Q15" s="9" t="inlineStr"/>
      <c r="R15" s="9" t="inlineStr"/>
      <c r="S15" s="9" t="inlineStr"/>
      <c r="T15" s="9" t="inlineStr">
        <is>
          <t>Pista genuína fora da tabela (conector preparado).</t>
        </is>
      </c>
    </row>
    <row r="16">
      <c r="A16" s="8" t="inlineStr">
        <is>
          <t>c3-015</t>
        </is>
      </c>
      <c r="B16" s="8" t="inlineStr">
        <is>
          <t>~8h41</t>
        </is>
      </c>
      <c r="C16" s="8" t="inlineStr">
        <is>
          <t>O Técnico</t>
        </is>
      </c>
      <c r="D16" s="8" t="inlineStr">
        <is>
          <t>todos</t>
        </is>
      </c>
      <c r="E16" s="8" t="inlineStr">
        <is>
          <t>presencial</t>
        </is>
      </c>
      <c r="F16" s="8" t="inlineStr">
        <is>
          <t>direta</t>
        </is>
      </c>
      <c r="G16" s="8" t="inlineStr">
        <is>
          <t>Não foi desgaste. Foi preparado para cair com a vibração do exaustor. Às sete e cinquenta e oito o ventilador acelera para a cópia local. Quem fez isso conhecia o ciclo.</t>
        </is>
      </c>
      <c r="H16" s="8" t="inlineStr">
        <is>
          <t>prova</t>
        </is>
      </c>
      <c r="I16" s="8" t="inlineStr"/>
      <c r="J16" s="8" t="inlineStr"/>
      <c r="K16" s="8" t="inlineStr"/>
      <c r="L16" s="8" t="inlineStr">
        <is>
          <t>toda casa</t>
        </is>
      </c>
      <c r="M16" s="8" t="inlineStr">
        <is>
          <t>não</t>
        </is>
      </c>
      <c r="N16" s="8" t="inlineStr"/>
      <c r="O16" s="8" t="inlineStr"/>
      <c r="P16" s="8" t="inlineStr"/>
      <c r="Q16" s="8" t="inlineStr"/>
      <c r="R16" s="8" t="inlineStr"/>
      <c r="S16" s="8" t="inlineStr"/>
      <c r="T16" s="8" t="inlineStr">
        <is>
          <t>Planta o ciclo do exaustor.</t>
        </is>
      </c>
    </row>
    <row r="17">
      <c r="A17" s="9" t="inlineStr">
        <is>
          <t>c3-016</t>
        </is>
      </c>
      <c r="B17" s="9" t="inlineStr">
        <is>
          <t>~8h42</t>
        </is>
      </c>
      <c r="C17" s="9" t="inlineStr">
        <is>
          <t>A Auditora</t>
        </is>
      </c>
      <c r="D17" s="9" t="inlineStr">
        <is>
          <t>tecnico</t>
        </is>
      </c>
      <c r="E17" s="9" t="inlineStr">
        <is>
          <t>presencial</t>
        </is>
      </c>
      <c r="F17" s="9" t="inlineStr">
        <is>
          <t>direta</t>
        </is>
      </c>
      <c r="G17" s="9" t="inlineStr">
        <is>
          <t>Quem conhece?</t>
        </is>
      </c>
      <c r="H17" s="9" t="inlineStr">
        <is>
          <t>prova</t>
        </is>
      </c>
      <c r="I17" s="9" t="inlineStr"/>
      <c r="J17" s="9" t="inlineStr"/>
      <c r="K17" s="9" t="inlineStr"/>
      <c r="L17" s="9" t="inlineStr">
        <is>
          <t>toda casa</t>
        </is>
      </c>
      <c r="M17" s="9" t="inlineStr">
        <is>
          <t>não</t>
        </is>
      </c>
      <c r="N17" s="9" t="inlineStr"/>
      <c r="O17" s="9" t="inlineStr"/>
      <c r="P17" s="9" t="inlineStr"/>
      <c r="Q17" s="9" t="inlineStr"/>
      <c r="R17" s="9" t="inlineStr"/>
      <c r="S17" s="9" t="inlineStr"/>
      <c r="T17" s="9" t="inlineStr"/>
    </row>
    <row r="18">
      <c r="A18" s="8" t="inlineStr">
        <is>
          <t>c3-017</t>
        </is>
      </c>
      <c r="B18" s="8" t="inlineStr">
        <is>
          <t>~8h42</t>
        </is>
      </c>
      <c r="C18" s="8" t="inlineStr">
        <is>
          <t>O Técnico</t>
        </is>
      </c>
      <c r="D18" s="8" t="inlineStr">
        <is>
          <t>auditora</t>
        </is>
      </c>
      <c r="E18" s="8" t="inlineStr">
        <is>
          <t>presencial</t>
        </is>
      </c>
      <c r="F18" s="8" t="inlineStr">
        <is>
          <t>direta</t>
        </is>
      </c>
      <c r="G18" s="8" t="inlineStr">
        <is>
          <t>Eu. A Central. A tesouraria, que aprovou a rotina de economia. E quem monta os relatórios de energia.</t>
        </is>
      </c>
      <c r="H18" s="8" t="inlineStr">
        <is>
          <t>prova</t>
        </is>
      </c>
      <c r="I18" s="8" t="inlineStr"/>
      <c r="J18" s="8" t="inlineStr"/>
      <c r="K18" s="8" t="inlineStr"/>
      <c r="L18" s="8" t="inlineStr">
        <is>
          <t>toda casa</t>
        </is>
      </c>
      <c r="M18" s="8" t="inlineStr">
        <is>
          <t>não</t>
        </is>
      </c>
      <c r="N18" s="8" t="inlineStr"/>
      <c r="O18" s="8" t="inlineStr"/>
      <c r="P18" s="8" t="inlineStr"/>
      <c r="Q18" s="8" t="inlineStr"/>
      <c r="R18" s="8" t="inlineStr"/>
      <c r="S18" s="8" t="inlineStr"/>
      <c r="T18" s="8" t="inlineStr"/>
    </row>
    <row r="19">
      <c r="A19" s="9" t="inlineStr">
        <is>
          <t>c3-018</t>
        </is>
      </c>
      <c r="B19" s="9" t="inlineStr">
        <is>
          <t>~8h42</t>
        </is>
      </c>
      <c r="C19" s="9" t="inlineStr">
        <is>
          <t>A Auditora</t>
        </is>
      </c>
      <c r="D19" s="9" t="inlineStr">
        <is>
          <t>tecnico</t>
        </is>
      </c>
      <c r="E19" s="9" t="inlineStr">
        <is>
          <t>presencial</t>
        </is>
      </c>
      <c r="F19" s="9" t="inlineStr">
        <is>
          <t>direta</t>
        </is>
      </c>
      <c r="G19" s="9" t="inlineStr">
        <is>
          <t>E onde o senhor estava quando a câmera caiu?</t>
        </is>
      </c>
      <c r="H19" s="9" t="inlineStr">
        <is>
          <t>pista falsa</t>
        </is>
      </c>
      <c r="I19" s="9" t="inlineStr"/>
      <c r="J19" s="9" t="inlineStr"/>
      <c r="K19" s="9" t="inlineStr"/>
      <c r="L19" s="9" t="inlineStr">
        <is>
          <t>toda casa</t>
        </is>
      </c>
      <c r="M19" s="9" t="inlineStr">
        <is>
          <t>não</t>
        </is>
      </c>
      <c r="N19" s="9" t="inlineStr"/>
      <c r="O19" s="9" t="inlineStr"/>
      <c r="P19" s="9" t="inlineStr"/>
      <c r="Q19" s="9" t="inlineStr"/>
      <c r="R19" s="9" t="inlineStr"/>
      <c r="S19" s="9" t="inlineStr"/>
      <c r="T19" s="9" t="inlineStr"/>
    </row>
    <row r="20">
      <c r="A20" s="8" t="inlineStr">
        <is>
          <t>c3-019</t>
        </is>
      </c>
      <c r="B20" s="8" t="inlineStr">
        <is>
          <t>~8h42</t>
        </is>
      </c>
      <c r="C20" s="8" t="inlineStr">
        <is>
          <t>O Técnico</t>
        </is>
      </c>
      <c r="D20" s="8" t="inlineStr">
        <is>
          <t>auditora</t>
        </is>
      </c>
      <c r="E20" s="8" t="inlineStr">
        <is>
          <t>presencial</t>
        </is>
      </c>
      <c r="F20" s="8" t="inlineStr">
        <is>
          <t>direta</t>
        </is>
      </c>
      <c r="G20" s="8" t="inlineStr">
        <is>
          <t>No Rack. Olhando o conector.</t>
        </is>
      </c>
      <c r="H20" s="8" t="inlineStr">
        <is>
          <t>pista falsa</t>
        </is>
      </c>
      <c r="I20" s="8" t="inlineStr"/>
      <c r="J20" s="8" t="inlineStr"/>
      <c r="K20" s="8" t="inlineStr"/>
      <c r="L20" s="8" t="inlineStr">
        <is>
          <t>toda casa</t>
        </is>
      </c>
      <c r="M20" s="8" t="inlineStr">
        <is>
          <t>não</t>
        </is>
      </c>
      <c r="N20" s="8" t="inlineStr"/>
      <c r="O20" s="8" t="inlineStr"/>
      <c r="P20" s="8" t="inlineStr"/>
      <c r="Q20" s="8" t="inlineStr"/>
      <c r="R20" s="8" t="inlineStr"/>
      <c r="S20" s="8" t="inlineStr"/>
      <c r="T20" s="8" t="inlineStr">
        <is>
          <t>Mentira do falso culpado (estava fora, com o motoboy); desfeita no fim do Cap. 6.</t>
        </is>
      </c>
    </row>
    <row r="21">
      <c r="A21" s="9" t="inlineStr">
        <is>
          <t>c3-020</t>
        </is>
      </c>
      <c r="B21" s="9" t="inlineStr">
        <is>
          <t>8h44</t>
        </is>
      </c>
      <c r="C21" s="9" t="inlineStr">
        <is>
          <t>O Motorista</t>
        </is>
      </c>
      <c r="D21" s="9" t="inlineStr">
        <is>
          <t>todos</t>
        </is>
      </c>
      <c r="E21" s="9" t="inlineStr">
        <is>
          <t>rádio</t>
        </is>
      </c>
      <c r="F21" s="9" t="inlineStr">
        <is>
          <t>indireta</t>
        </is>
      </c>
      <c r="G21" s="9" t="inlineStr">
        <is>
          <t>O carro da esquina voltou e parou diante da Vaga Blindada.</t>
        </is>
      </c>
      <c r="H21" s="9" t="inlineStr">
        <is>
          <t>ambiente</t>
        </is>
      </c>
      <c r="I21" s="9" t="inlineStr"/>
      <c r="J21" s="9" t="inlineStr"/>
      <c r="K21" s="9" t="inlineStr"/>
      <c r="L21" s="9" t="inlineStr">
        <is>
          <t>toda casa</t>
        </is>
      </c>
      <c r="M21" s="9" t="inlineStr">
        <is>
          <t>não</t>
        </is>
      </c>
      <c r="N21" s="9" t="inlineStr"/>
      <c r="O21" s="9" t="inlineStr"/>
      <c r="P21" s="9" t="inlineStr"/>
      <c r="Q21" s="9" t="inlineStr"/>
      <c r="R21" s="9" t="inlineStr"/>
      <c r="S21" s="9" t="inlineStr"/>
      <c r="T21" s="9" t="inlineStr"/>
    </row>
    <row r="22">
      <c r="A22" s="8" t="inlineStr">
        <is>
          <t>c3-021</t>
        </is>
      </c>
      <c r="B22" s="8" t="inlineStr">
        <is>
          <t>8h44</t>
        </is>
      </c>
      <c r="C22" s="8" t="inlineStr">
        <is>
          <t>O Gerente</t>
        </is>
      </c>
      <c r="D22" s="8" t="inlineStr">
        <is>
          <t>motorista</t>
        </is>
      </c>
      <c r="E22" s="8" t="inlineStr">
        <is>
          <t>rádio</t>
        </is>
      </c>
      <c r="F22" s="8" t="inlineStr">
        <is>
          <t>indireta</t>
        </is>
      </c>
      <c r="G22" s="8" t="inlineStr">
        <is>
          <t>Parta imediatamente.</t>
        </is>
      </c>
      <c r="H22" s="8" t="inlineStr">
        <is>
          <t>ambiente</t>
        </is>
      </c>
      <c r="I22" s="8" t="inlineStr"/>
      <c r="J22" s="8" t="inlineStr"/>
      <c r="K22" s="8" t="inlineStr"/>
      <c r="L22" s="8" t="inlineStr">
        <is>
          <t>toda casa</t>
        </is>
      </c>
      <c r="M22" s="8" t="inlineStr">
        <is>
          <t>não</t>
        </is>
      </c>
      <c r="N22" s="8" t="inlineStr"/>
      <c r="O22" s="8" t="inlineStr"/>
      <c r="P22" s="8" t="inlineStr"/>
      <c r="Q22" s="8" t="inlineStr"/>
      <c r="R22" s="8" t="inlineStr"/>
      <c r="S22" s="8" t="inlineStr"/>
      <c r="T22" s="8" t="inlineStr">
        <is>
          <t>Obstáculo: ordens incompatíveis.</t>
        </is>
      </c>
    </row>
    <row r="23">
      <c r="A23" s="9" t="inlineStr">
        <is>
          <t>c3-022</t>
        </is>
      </c>
      <c r="B23" s="9" t="inlineStr">
        <is>
          <t>8h44</t>
        </is>
      </c>
      <c r="C23" s="9" t="inlineStr">
        <is>
          <t>A Auditora</t>
        </is>
      </c>
      <c r="D23" s="9" t="inlineStr">
        <is>
          <t>motorista</t>
        </is>
      </c>
      <c r="E23" s="9" t="inlineStr">
        <is>
          <t>rádio</t>
        </is>
      </c>
      <c r="F23" s="9" t="inlineStr">
        <is>
          <t>indireta</t>
        </is>
      </c>
      <c r="G23" s="9" t="inlineStr">
        <is>
          <t>Fiquem.</t>
        </is>
      </c>
      <c r="H23" s="9" t="inlineStr">
        <is>
          <t>ambiente</t>
        </is>
      </c>
      <c r="I23" s="9" t="inlineStr"/>
      <c r="J23" s="9" t="inlineStr"/>
      <c r="K23" s="9" t="inlineStr"/>
      <c r="L23" s="9" t="inlineStr">
        <is>
          <t>toda casa</t>
        </is>
      </c>
      <c r="M23" s="9" t="inlineStr">
        <is>
          <t>não</t>
        </is>
      </c>
      <c r="N23" s="9" t="inlineStr"/>
      <c r="O23" s="9" t="inlineStr"/>
      <c r="P23" s="9" t="inlineStr"/>
      <c r="Q23" s="9" t="inlineStr"/>
      <c r="R23" s="9" t="inlineStr"/>
      <c r="S23" s="9" t="inlineStr"/>
      <c r="T23" s="9" t="inlineStr"/>
    </row>
    <row r="24">
      <c r="A24" s="8" t="inlineStr">
        <is>
          <t>c3-023</t>
        </is>
      </c>
      <c r="B24" s="8" t="inlineStr">
        <is>
          <t>~8h46</t>
        </is>
      </c>
      <c r="C24" s="8" t="inlineStr">
        <is>
          <t>A Auditora</t>
        </is>
      </c>
      <c r="D24" s="8" t="inlineStr">
        <is>
          <t>todos</t>
        </is>
      </c>
      <c r="E24" s="8" t="inlineStr">
        <is>
          <t>presencial</t>
        </is>
      </c>
      <c r="F24" s="8" t="inlineStr">
        <is>
          <t>direta</t>
        </is>
      </c>
      <c r="G24" s="8" t="inlineStr">
        <is>
          <t>Antes de ele partir, quero o peso do malote.</t>
        </is>
      </c>
      <c r="H24" s="8" t="inlineStr">
        <is>
          <t>prova</t>
        </is>
      </c>
      <c r="I24" s="8" t="inlineStr">
        <is>
          <t>Peso de 7,0 kg e composição</t>
        </is>
      </c>
      <c r="J24" s="8" t="inlineStr"/>
      <c r="K24" s="8" t="inlineStr"/>
      <c r="L24" s="8" t="inlineStr">
        <is>
          <t>toda casa</t>
        </is>
      </c>
      <c r="M24" s="8" t="inlineStr">
        <is>
          <t>não</t>
        </is>
      </c>
      <c r="N24" s="8" t="inlineStr"/>
      <c r="O24" s="8" t="inlineStr"/>
      <c r="P24" s="8" t="inlineStr"/>
      <c r="Q24" s="8" t="inlineStr"/>
      <c r="R24" s="8" t="inlineStr"/>
      <c r="S24" s="8" t="inlineStr"/>
      <c r="T24" s="8" t="inlineStr"/>
    </row>
    <row r="25">
      <c r="A25" s="9" t="inlineStr">
        <is>
          <t>c3-024</t>
        </is>
      </c>
      <c r="B25" s="9" t="inlineStr">
        <is>
          <t>~8h47</t>
        </is>
      </c>
      <c r="C25" s="9" t="inlineStr">
        <is>
          <t>O Motorista</t>
        </is>
      </c>
      <c r="D25" s="9" t="inlineStr">
        <is>
          <t>todos</t>
        </is>
      </c>
      <c r="E25" s="9" t="inlineStr">
        <is>
          <t>rádio</t>
        </is>
      </c>
      <c r="F25" s="9" t="inlineStr">
        <is>
          <t>indireta</t>
        </is>
      </c>
      <c r="G25" s="9" t="inlineStr">
        <is>
          <t>Registro da balança embarcada, feito às oito horas, na entrada: sete quilos.</t>
        </is>
      </c>
      <c r="H25" s="9" t="inlineStr">
        <is>
          <t>prova</t>
        </is>
      </c>
      <c r="I25" s="9" t="inlineStr">
        <is>
          <t>Peso de 7,0 kg e composição</t>
        </is>
      </c>
      <c r="J25" s="9" t="inlineStr"/>
      <c r="K25" s="9" t="inlineStr"/>
      <c r="L25" s="9" t="inlineStr">
        <is>
          <t>toda casa</t>
        </is>
      </c>
      <c r="M25" s="9" t="inlineStr">
        <is>
          <t>não</t>
        </is>
      </c>
      <c r="N25" s="9" t="inlineStr"/>
      <c r="O25" s="9" t="inlineStr"/>
      <c r="P25" s="9" t="inlineStr"/>
      <c r="Q25" s="9" t="inlineStr"/>
      <c r="R25" s="9" t="inlineStr"/>
      <c r="S25" s="9" t="inlineStr"/>
      <c r="T25" s="9" t="inlineStr">
        <is>
          <t>Fonte primária do peso: a balança, lida pelo Motorista (apoio).</t>
        </is>
      </c>
    </row>
    <row r="26">
      <c r="A26" s="8" t="inlineStr">
        <is>
          <t>c3-025</t>
        </is>
      </c>
      <c r="B26" s="8" t="inlineStr">
        <is>
          <t>~8h47</t>
        </is>
      </c>
      <c r="C26" s="8" t="inlineStr">
        <is>
          <t>O Caixa Veterano</t>
        </is>
      </c>
      <c r="D26" s="8" t="inlineStr">
        <is>
          <t>todos</t>
        </is>
      </c>
      <c r="E26" s="8" t="inlineStr">
        <is>
          <t>presencial</t>
        </is>
      </c>
      <c r="F26" s="8" t="inlineStr">
        <is>
          <t>indireta</t>
        </is>
      </c>
      <c r="G26" s="8" t="inlineStr">
        <is>
          <t>Pela guia: quarenta e um maços de cem, doze de cinquenta, cinco de vinte. Cinco mil e oitocentas cédulas. Com o saco, o fecho e o lacre, a conta dá sete quilos.</t>
        </is>
      </c>
      <c r="H26" s="8" t="inlineStr">
        <is>
          <t>prova</t>
        </is>
      </c>
      <c r="I26" s="8" t="inlineStr">
        <is>
          <t>Peso de 7,0 kg e composição</t>
        </is>
      </c>
      <c r="J26" s="8" t="inlineStr"/>
      <c r="K26" s="8" t="inlineStr"/>
      <c r="L26" s="8" t="inlineStr">
        <is>
          <t>toda casa</t>
        </is>
      </c>
      <c r="M26" s="8" t="inlineStr">
        <is>
          <t>não</t>
        </is>
      </c>
      <c r="N26" s="8" t="inlineStr"/>
      <c r="O26" s="8" t="inlineStr"/>
      <c r="P26" s="8" t="inlineStr"/>
      <c r="Q26" s="8" t="inlineStr"/>
      <c r="R26" s="8" t="inlineStr"/>
      <c r="S26" s="8" t="inlineStr"/>
      <c r="T26" s="8" t="inlineStr">
        <is>
          <t>Fonte primária da composição. A conclusão 'a conta dava sete quilos' está no narrador; atribuída a ele.</t>
        </is>
      </c>
    </row>
    <row r="27">
      <c r="A27" s="9" t="inlineStr">
        <is>
          <t>c3-026</t>
        </is>
      </c>
      <c r="B27" s="9" t="inlineStr">
        <is>
          <t>~8h47</t>
        </is>
      </c>
      <c r="C27" s="9" t="inlineStr">
        <is>
          <t>O Gerente</t>
        </is>
      </c>
      <c r="D27" s="9" t="inlineStr">
        <is>
          <t>todos</t>
        </is>
      </c>
      <c r="E27" s="9" t="inlineStr">
        <is>
          <t>presencial</t>
        </is>
      </c>
      <c r="F27" s="9" t="inlineStr">
        <is>
          <t>direta</t>
        </is>
      </c>
      <c r="G27" s="9" t="inlineStr">
        <is>
          <t>Pode ser papel cortado no tamanho.</t>
        </is>
      </c>
      <c r="H27" s="9" t="inlineStr">
        <is>
          <t>pista falsa</t>
        </is>
      </c>
      <c r="I27" s="9" t="inlineStr"/>
      <c r="J27" s="9" t="inlineStr"/>
      <c r="K27" s="9" t="inlineStr"/>
      <c r="L27" s="9" t="inlineStr">
        <is>
          <t>toda casa</t>
        </is>
      </c>
      <c r="M27" s="9" t="inlineStr">
        <is>
          <t>não</t>
        </is>
      </c>
      <c r="N27" s="9" t="inlineStr"/>
      <c r="O27" s="9" t="inlineStr"/>
      <c r="P27" s="9" t="inlineStr"/>
      <c r="Q27" s="9" t="inlineStr"/>
      <c r="R27" s="9" t="inlineStr"/>
      <c r="S27" s="9" t="inlineStr"/>
      <c r="T27" s="9" t="inlineStr"/>
    </row>
    <row r="28">
      <c r="A28" s="8" t="inlineStr">
        <is>
          <t>c3-027</t>
        </is>
      </c>
      <c r="B28" s="8" t="inlineStr">
        <is>
          <t>~8h47</t>
        </is>
      </c>
      <c r="C28" s="8" t="inlineStr">
        <is>
          <t>O Caixa Veterano</t>
        </is>
      </c>
      <c r="D28" s="8" t="inlineStr">
        <is>
          <t>gerente</t>
        </is>
      </c>
      <c r="E28" s="8" t="inlineStr">
        <is>
          <t>presencial</t>
        </is>
      </c>
      <c r="F28" s="8" t="inlineStr">
        <is>
          <t>direta</t>
        </is>
      </c>
      <c r="G28" s="8" t="inlineStr">
        <is>
          <t>Papel não tem o mesmo peso de cédula maço por maço. Mas só a contagem prova.</t>
        </is>
      </c>
      <c r="H28" s="8" t="inlineStr">
        <is>
          <t>prova</t>
        </is>
      </c>
      <c r="I28" s="8" t="inlineStr">
        <is>
          <t>Peso de 7,0 kg e composição</t>
        </is>
      </c>
      <c r="J28" s="8" t="inlineStr"/>
      <c r="K28" s="8" t="inlineStr"/>
      <c r="L28" s="8" t="inlineStr">
        <is>
          <t>toda casa</t>
        </is>
      </c>
      <c r="M28" s="8" t="inlineStr">
        <is>
          <t>não</t>
        </is>
      </c>
      <c r="N28" s="8" t="inlineStr"/>
      <c r="O28" s="8" t="inlineStr"/>
      <c r="P28" s="8" t="inlineStr"/>
      <c r="Q28" s="8" t="inlineStr"/>
      <c r="R28" s="8" t="inlineStr"/>
      <c r="S28" s="8" t="inlineStr"/>
      <c r="T28" s="8" t="inlineStr"/>
    </row>
    <row r="29">
      <c r="A29" s="9" t="inlineStr">
        <is>
          <t>c3-028</t>
        </is>
      </c>
      <c r="B29" s="9" t="inlineStr">
        <is>
          <t>8h48</t>
        </is>
      </c>
      <c r="C29" s="9" t="inlineStr">
        <is>
          <t>O Transportador</t>
        </is>
      </c>
      <c r="D29" s="9" t="inlineStr">
        <is>
          <t>auditora</t>
        </is>
      </c>
      <c r="E29" s="9" t="inlineStr">
        <is>
          <t>rádio</t>
        </is>
      </c>
      <c r="F29" s="9" t="inlineStr">
        <is>
          <t>indireta</t>
        </is>
      </c>
      <c r="G29" s="9" t="inlineStr">
        <is>
          <t>Peço licença para pegar o malote.</t>
        </is>
      </c>
      <c r="H29" s="9" t="inlineStr">
        <is>
          <t>ambiente</t>
        </is>
      </c>
      <c r="I29" s="9" t="inlineStr"/>
      <c r="J29" s="9" t="inlineStr"/>
      <c r="K29" s="9" t="inlineStr"/>
      <c r="L29" s="9" t="inlineStr">
        <is>
          <t>casa ≥ 13</t>
        </is>
      </c>
      <c r="M29" s="9" t="inlineStr">
        <is>
          <t>sim</t>
        </is>
      </c>
      <c r="N29" s="9" t="inlineStr"/>
      <c r="O29" s="9" t="inlineStr"/>
      <c r="P29" s="9" t="inlineStr"/>
      <c r="Q29" s="9" t="inlineStr"/>
      <c r="R29" s="9" t="inlineStr"/>
      <c r="S29" s="9" t="inlineStr"/>
      <c r="T29" s="9" t="inlineStr">
        <is>
          <t>Dentro do compartimento do carro-forte.</t>
        </is>
      </c>
    </row>
    <row r="30">
      <c r="A30" s="8" t="inlineStr">
        <is>
          <t>c3-029</t>
        </is>
      </c>
      <c r="B30" s="8" t="inlineStr">
        <is>
          <t>8h48</t>
        </is>
      </c>
      <c r="C30" s="8" t="inlineStr">
        <is>
          <t>O Transportador</t>
        </is>
      </c>
      <c r="D30" s="8" t="inlineStr">
        <is>
          <t>todos</t>
        </is>
      </c>
      <c r="E30" s="8" t="inlineStr">
        <is>
          <t>rádio</t>
        </is>
      </c>
      <c r="F30" s="8" t="inlineStr">
        <is>
          <t>direta</t>
        </is>
      </c>
      <c r="G30" s="8" t="inlineStr">
        <is>
          <t>Pesa o que pesava às oito. E às oito pesava o que a guia diz. Papel cortado não assenta assim no fundo.</t>
        </is>
      </c>
      <c r="H30" s="8" t="inlineStr">
        <is>
          <t>reforço</t>
        </is>
      </c>
      <c r="I30" s="8" t="inlineStr">
        <is>
          <t>Peso de 7,0 kg e composição</t>
        </is>
      </c>
      <c r="J30" s="8" t="inlineStr"/>
      <c r="K30" s="8" t="inlineStr"/>
      <c r="L30" s="8" t="inlineStr">
        <is>
          <t>casa ≥ 13</t>
        </is>
      </c>
      <c r="M30" s="8" t="inlineStr">
        <is>
          <t>sim</t>
        </is>
      </c>
      <c r="N30" s="8" t="inlineStr"/>
      <c r="O30" s="8" t="inlineStr"/>
      <c r="P30" s="8" t="inlineStr"/>
      <c r="Q30" s="8" t="inlineStr"/>
      <c r="R30" s="8" t="inlineStr"/>
      <c r="S30" s="8" t="inlineStr"/>
      <c r="T30" s="8" t="inlineStr">
        <is>
          <t>Reforço da balança (fonte primária: Motorista). A virada do fim do terço cita 'a balança e a mão do Transportador'; na casa sem ele a virada fica só com a balança e o Caixa Veterano.</t>
        </is>
      </c>
    </row>
    <row r="31">
      <c r="A31" s="9" t="inlineStr">
        <is>
          <t>c3-030</t>
        </is>
      </c>
      <c r="B31" s="9" t="inlineStr">
        <is>
          <t>~8h49</t>
        </is>
      </c>
      <c r="C31" s="9" t="inlineStr">
        <is>
          <t>A Auditora</t>
        </is>
      </c>
      <c r="D31" s="9" t="inlineStr">
        <is>
          <t>operador_radio</t>
        </is>
      </c>
      <c r="E31" s="9" t="inlineStr">
        <is>
          <t>rádio</t>
        </is>
      </c>
      <c r="F31" s="9" t="inlineStr">
        <is>
          <t>indireta</t>
        </is>
      </c>
      <c r="G31" s="9" t="inlineStr">
        <is>
          <t>Peço à base que receba o volume sob quarentena, filme a abertura e conte maço por maço.</t>
        </is>
      </c>
      <c r="H31" s="9" t="inlineStr">
        <is>
          <t>prova</t>
        </is>
      </c>
      <c r="I31" s="9" t="inlineStr"/>
      <c r="J31" s="9" t="inlineStr"/>
      <c r="K31" s="9" t="inlineStr"/>
      <c r="L31" s="9" t="inlineStr">
        <is>
          <t>toda casa</t>
        </is>
      </c>
      <c r="M31" s="9" t="inlineStr">
        <is>
          <t>não</t>
        </is>
      </c>
      <c r="N31" s="9" t="inlineStr"/>
      <c r="O31" s="9" t="inlineStr"/>
      <c r="P31" s="9" t="inlineStr"/>
      <c r="Q31" s="9" t="inlineStr"/>
      <c r="R31" s="9" t="inlineStr"/>
      <c r="S31" s="9" t="inlineStr"/>
      <c r="T31" s="9" t="inlineStr">
        <is>
          <t>Prepara a contagem da base (Cap. 5).</t>
        </is>
      </c>
    </row>
    <row r="32">
      <c r="A32" s="8" t="inlineStr">
        <is>
          <t>c3-031</t>
        </is>
      </c>
      <c r="B32" s="8" t="inlineStr">
        <is>
          <t>~8h49</t>
        </is>
      </c>
      <c r="C32" s="8" t="inlineStr">
        <is>
          <t>O Operador de Rádio</t>
        </is>
      </c>
      <c r="D32" s="8" t="inlineStr">
        <is>
          <t>auditora</t>
        </is>
      </c>
      <c r="E32" s="8" t="inlineStr">
        <is>
          <t>rádio</t>
        </is>
      </c>
      <c r="F32" s="8" t="inlineStr">
        <is>
          <t>indireta</t>
        </is>
      </c>
      <c r="G32" s="8" t="inlineStr">
        <is>
          <t>Autorizado.</t>
        </is>
      </c>
      <c r="H32" s="8" t="inlineStr">
        <is>
          <t>prova</t>
        </is>
      </c>
      <c r="I32" s="8" t="inlineStr"/>
      <c r="J32" s="8" t="inlineStr"/>
      <c r="K32" s="8" t="inlineStr"/>
      <c r="L32" s="8" t="inlineStr">
        <is>
          <t>toda casa</t>
        </is>
      </c>
      <c r="M32" s="8" t="inlineStr">
        <is>
          <t>não</t>
        </is>
      </c>
      <c r="N32" s="8" t="inlineStr"/>
      <c r="O32" s="8" t="inlineStr"/>
      <c r="P32" s="8" t="inlineStr"/>
      <c r="Q32" s="8" t="inlineStr"/>
      <c r="R32" s="8" t="inlineStr"/>
      <c r="S32" s="8" t="inlineStr"/>
      <c r="T32" s="8" t="inlineStr">
        <is>
          <t>Operador de Rádio é da casa 'completa', mas aqui é fonte primária usada em toda casa; precisa estar disponível (ou ter voz substituta) na casa de 6.</t>
        </is>
      </c>
    </row>
    <row r="33">
      <c r="A33" s="9" t="inlineStr">
        <is>
          <t>c3-032</t>
        </is>
      </c>
      <c r="B33" s="9" t="inlineStr">
        <is>
          <t>~8h50</t>
        </is>
      </c>
      <c r="C33" s="9" t="inlineStr">
        <is>
          <t>O Caixa Novato</t>
        </is>
      </c>
      <c r="D33" s="9" t="inlineStr">
        <is>
          <t>todos</t>
        </is>
      </c>
      <c r="E33" s="9" t="inlineStr">
        <is>
          <t>presencial</t>
        </is>
      </c>
      <c r="F33" s="9" t="inlineStr">
        <is>
          <t>direta</t>
        </is>
      </c>
      <c r="G33" s="9" t="inlineStr">
        <is>
          <t>Então ninguém roubou.</t>
        </is>
      </c>
      <c r="H33" s="9" t="inlineStr">
        <is>
          <t>ambiente</t>
        </is>
      </c>
      <c r="I33" s="9" t="inlineStr"/>
      <c r="J33" s="9" t="inlineStr"/>
      <c r="K33" s="9" t="inlineStr"/>
      <c r="L33" s="9" t="inlineStr">
        <is>
          <t>toda casa</t>
        </is>
      </c>
      <c r="M33" s="9" t="inlineStr">
        <is>
          <t>não</t>
        </is>
      </c>
      <c r="N33" s="9" t="inlineStr"/>
      <c r="O33" s="9" t="inlineStr"/>
      <c r="P33" s="9" t="inlineStr"/>
      <c r="Q33" s="9" t="inlineStr"/>
      <c r="R33" s="9" t="inlineStr"/>
      <c r="S33" s="9" t="inlineStr"/>
      <c r="T33" s="9" t="inlineStr"/>
    </row>
    <row r="34">
      <c r="A34" s="8" t="inlineStr">
        <is>
          <t>c3-033</t>
        </is>
      </c>
      <c r="B34" s="8" t="inlineStr">
        <is>
          <t>~8h50</t>
        </is>
      </c>
      <c r="C34" s="8" t="inlineStr">
        <is>
          <t>A Auditora</t>
        </is>
      </c>
      <c r="D34" s="8" t="inlineStr">
        <is>
          <t>caixa_novato</t>
        </is>
      </c>
      <c r="E34" s="8" t="inlineStr">
        <is>
          <t>presencial</t>
        </is>
      </c>
      <c r="F34" s="8" t="inlineStr">
        <is>
          <t>direta</t>
        </is>
      </c>
      <c r="G34" s="8" t="inlineStr">
        <is>
          <t>Então alguém arriscou tudo para trocar um saco. E não levou um centavo.</t>
        </is>
      </c>
      <c r="H34" s="8" t="inlineStr">
        <is>
          <t>prova</t>
        </is>
      </c>
      <c r="I34" s="8" t="inlineStr"/>
      <c r="J34" s="8" t="inlineStr"/>
      <c r="K34" s="8" t="inlineStr"/>
      <c r="L34" s="8" t="inlineStr">
        <is>
          <t>toda casa</t>
        </is>
      </c>
      <c r="M34" s="8" t="inlineStr">
        <is>
          <t>não</t>
        </is>
      </c>
      <c r="N34" s="8" t="inlineStr"/>
      <c r="O34" s="8" t="inlineStr"/>
      <c r="P34" s="8" t="inlineStr"/>
      <c r="Q34" s="8" t="inlineStr"/>
      <c r="R34" s="8" t="inlineStr"/>
      <c r="S34" s="8" t="inlineStr"/>
      <c r="T34" s="8" t="inlineStr">
        <is>
          <t>Fecha a virada (queda da leitura de roubo).</t>
        </is>
      </c>
    </row>
    <row r="35">
      <c r="A35" s="9" t="inlineStr">
        <is>
          <t>c3-034</t>
        </is>
      </c>
      <c r="B35" s="9" t="inlineStr">
        <is>
          <t>~8h50</t>
        </is>
      </c>
      <c r="C35" s="9" t="inlineStr">
        <is>
          <t>Registro / sistema</t>
        </is>
      </c>
      <c r="D35" s="9" t="inlineStr">
        <is>
          <t>todos</t>
        </is>
      </c>
      <c r="E35" s="9" t="inlineStr">
        <is>
          <t>registro</t>
        </is>
      </c>
      <c r="F35" s="9" t="inlineStr">
        <is>
          <t>indireta</t>
        </is>
      </c>
      <c r="G35" s="9" t="inlineStr">
        <is>
          <t>Verso da etiqueta das 7h53, contra a luz: 96.000 (números transferidos de outro papel ainda quente). Na fila da impressora, logo abaixo da etiqueta, uma segunda página impressa no mesmo minuto: arquivo ajuste_96.</t>
        </is>
      </c>
      <c r="H35" s="9" t="inlineStr">
        <is>
          <t>prova</t>
        </is>
      </c>
      <c r="I35" s="9" t="inlineStr"/>
      <c r="J35" s="9" t="inlineStr"/>
      <c r="K35" s="9" t="inlineStr"/>
      <c r="L35" s="9" t="inlineStr">
        <is>
          <t>toda casa</t>
        </is>
      </c>
      <c r="M35" s="9" t="inlineStr">
        <is>
          <t>não</t>
        </is>
      </c>
      <c r="N35" s="9" t="inlineStr"/>
      <c r="O35" s="9" t="inlineStr"/>
      <c r="P35" s="9" t="inlineStr"/>
      <c r="Q35" s="9" t="inlineStr"/>
      <c r="R35" s="9" t="inlineStr"/>
      <c r="S35" s="9" t="inlineStr"/>
      <c r="T35" s="9" t="inlineStr">
        <is>
          <t>Observação narrada sem falante; no jogo precisa de um portador (Auditora ou Operadora). Pista genuína fora da tabela.</t>
        </is>
      </c>
    </row>
  </sheetData>
  <autoFilter ref="A1:T3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4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c4-001</t>
        </is>
      </c>
      <c r="B2" s="8" t="inlineStr">
        <is>
          <t>~8h52</t>
        </is>
      </c>
      <c r="C2" s="8" t="inlineStr">
        <is>
          <t>O Técnico</t>
        </is>
      </c>
      <c r="D2" s="8" t="inlineStr">
        <is>
          <t>todos</t>
        </is>
      </c>
      <c r="E2" s="8" t="inlineStr">
        <is>
          <t>presencial</t>
        </is>
      </c>
      <c r="F2" s="8" t="inlineStr">
        <is>
          <t>direta</t>
        </is>
      </c>
      <c r="G2" s="8" t="inlineStr">
        <is>
          <t>Isso não foi há oitenta e sete segundos. Isso foi agora há pouco. Com a gente trancado aqui.</t>
        </is>
      </c>
      <c r="H2" s="8" t="inlineStr">
        <is>
          <t>prova</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is>
          <t>Cabo queimado às 8h31 (encobrimento do Gerente, fixo). Pista fora da tabela.</t>
        </is>
      </c>
    </row>
    <row r="3">
      <c r="A3" s="9" t="inlineStr">
        <is>
          <t>c4-002</t>
        </is>
      </c>
      <c r="B3" s="9" t="inlineStr">
        <is>
          <t>~8h53</t>
        </is>
      </c>
      <c r="C3" s="9" t="inlineStr">
        <is>
          <t>O Gerente</t>
        </is>
      </c>
      <c r="D3" s="9" t="inlineStr">
        <is>
          <t>todos</t>
        </is>
      </c>
      <c r="E3" s="9" t="inlineStr">
        <is>
          <t>presencial</t>
        </is>
      </c>
      <c r="F3" s="9" t="inlineStr">
        <is>
          <t>indireta</t>
        </is>
      </c>
      <c r="G3" s="9" t="inlineStr">
        <is>
          <t>Quero revistar todos.</t>
        </is>
      </c>
      <c r="H3" s="9" t="inlineStr">
        <is>
          <t>subtrama</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row>
    <row r="4">
      <c r="A4" s="8" t="inlineStr">
        <is>
          <t>c4-003</t>
        </is>
      </c>
      <c r="B4" s="8" t="inlineStr">
        <is>
          <t>~8h53</t>
        </is>
      </c>
      <c r="C4" s="8" t="inlineStr">
        <is>
          <t>A Auditora</t>
        </is>
      </c>
      <c r="D4" s="8" t="inlineStr">
        <is>
          <t>gerente</t>
        </is>
      </c>
      <c r="E4" s="8" t="inlineStr">
        <is>
          <t>presencial</t>
        </is>
      </c>
      <c r="F4" s="8" t="inlineStr">
        <is>
          <t>indireta</t>
        </is>
      </c>
      <c r="G4" s="8" t="inlineStr">
        <is>
          <t>Recuso uma humilhação coletiva sem método. Proponho interrogar o lugar antes das pessoas.</t>
        </is>
      </c>
      <c r="H4" s="8" t="inlineStr">
        <is>
          <t>subtrama</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row>
    <row r="5">
      <c r="A5" s="9" t="inlineStr">
        <is>
          <t>c4-004</t>
        </is>
      </c>
      <c r="B5" s="9" t="inlineStr">
        <is>
          <t>9h05</t>
        </is>
      </c>
      <c r="C5" s="9" t="inlineStr">
        <is>
          <t>O Técnico</t>
        </is>
      </c>
      <c r="D5" s="9" t="inlineStr">
        <is>
          <t>todos</t>
        </is>
      </c>
      <c r="E5" s="9" t="inlineStr">
        <is>
          <t>presencial</t>
        </is>
      </c>
      <c r="F5" s="9" t="inlineStr">
        <is>
          <t>indireta</t>
        </is>
      </c>
      <c r="G5" s="9" t="inlineStr">
        <is>
          <t>Da Mesa de Recebimento até a porta do Arquivo Morto: vinte e seis segundos sem pressa, dezoito correndo. Do Arquivo à Antecâmara, seis.</t>
        </is>
      </c>
      <c r="H5" s="9" t="inlineStr">
        <is>
          <t>prova</t>
        </is>
      </c>
      <c r="I5" s="9" t="inlineStr"/>
      <c r="J5" s="9" t="inlineStr"/>
      <c r="K5" s="9" t="inlineStr"/>
      <c r="L5" s="9" t="inlineStr">
        <is>
          <t>toda casa</t>
        </is>
      </c>
      <c r="M5" s="9" t="inlineStr">
        <is>
          <t>não</t>
        </is>
      </c>
      <c r="N5" s="9" t="inlineStr"/>
      <c r="O5" s="9" t="inlineStr"/>
      <c r="P5" s="9" t="inlineStr"/>
      <c r="Q5" s="9" t="inlineStr"/>
      <c r="R5" s="9" t="inlineStr"/>
      <c r="S5" s="9" t="inlineStr"/>
      <c r="T5" s="9" t="inlineStr">
        <is>
          <t>Tempos do mapa (fora da tabela de cobertura, mas essenciais para a simulação).</t>
        </is>
      </c>
    </row>
    <row r="6">
      <c r="A6" s="8" t="inlineStr">
        <is>
          <t>c4-005</t>
        </is>
      </c>
      <c r="B6" s="8" t="inlineStr">
        <is>
          <t>9h05</t>
        </is>
      </c>
      <c r="C6" s="8" t="inlineStr">
        <is>
          <t>A Auditora</t>
        </is>
      </c>
      <c r="D6" s="8" t="inlineStr">
        <is>
          <t>tecnico</t>
        </is>
      </c>
      <c r="E6" s="8" t="inlineStr">
        <is>
          <t>presencial</t>
        </is>
      </c>
      <c r="F6" s="8" t="inlineStr">
        <is>
          <t>indireta</t>
        </is>
      </c>
      <c r="G6" s="8" t="inlineStr">
        <is>
          <t>Simule a troca com um saco de reserva e blocos de papel: abrir, passar o conteúdo, fechar, colar a etiqueta.</t>
        </is>
      </c>
      <c r="H6" s="8" t="inlineStr">
        <is>
          <t>prova</t>
        </is>
      </c>
      <c r="I6" s="8" t="inlineStr"/>
      <c r="J6" s="8" t="inlineStr"/>
      <c r="K6" s="8" t="inlineStr"/>
      <c r="L6" s="8" t="inlineStr">
        <is>
          <t>toda casa</t>
        </is>
      </c>
      <c r="M6" s="8" t="inlineStr">
        <is>
          <t>não</t>
        </is>
      </c>
      <c r="N6" s="8" t="inlineStr"/>
      <c r="O6" s="8" t="inlineStr"/>
      <c r="P6" s="8" t="inlineStr"/>
      <c r="Q6" s="8" t="inlineStr"/>
      <c r="R6" s="8" t="inlineStr"/>
      <c r="S6" s="8" t="inlineStr"/>
      <c r="T6" s="8" t="inlineStr"/>
    </row>
    <row r="7">
      <c r="A7" s="9" t="inlineStr">
        <is>
          <t>c4-006</t>
        </is>
      </c>
      <c r="B7" s="9" t="inlineStr">
        <is>
          <t>9h05</t>
        </is>
      </c>
      <c r="C7" s="9" t="inlineStr">
        <is>
          <t>O Técnico</t>
        </is>
      </c>
      <c r="D7" s="9" t="inlineStr">
        <is>
          <t>todos</t>
        </is>
      </c>
      <c r="E7" s="9" t="inlineStr">
        <is>
          <t>presencial</t>
        </is>
      </c>
      <c r="F7" s="9" t="inlineStr">
        <is>
          <t>indireta</t>
        </is>
      </c>
      <c r="G7" s="9" t="inlineStr">
        <is>
          <t>Quarenta segundos. Somado tudo, ida, troca, descarte e volta, a rota pelo corredor passa de noventa segundos.</t>
        </is>
      </c>
      <c r="H7" s="9" t="inlineStr">
        <is>
          <t>prova</t>
        </is>
      </c>
      <c r="I7" s="9" t="inlineStr"/>
      <c r="J7" s="9" t="inlineStr"/>
      <c r="K7" s="9" t="inlineStr"/>
      <c r="L7" s="9" t="inlineStr">
        <is>
          <t>toda casa</t>
        </is>
      </c>
      <c r="M7" s="9" t="inlineStr">
        <is>
          <t>não</t>
        </is>
      </c>
      <c r="N7" s="9" t="inlineStr"/>
      <c r="O7" s="9" t="inlineStr"/>
      <c r="P7" s="9" t="inlineStr"/>
      <c r="Q7" s="9" t="inlineStr"/>
      <c r="R7" s="9" t="inlineStr"/>
      <c r="S7" s="9" t="inlineStr"/>
      <c r="T7" s="9" t="inlineStr">
        <is>
          <t>Soma atribuída ao Técnico; no texto vem pelo narrador.</t>
        </is>
      </c>
    </row>
    <row r="8">
      <c r="A8" s="8" t="inlineStr">
        <is>
          <t>c4-007</t>
        </is>
      </c>
      <c r="B8" s="8" t="inlineStr">
        <is>
          <t>~9h06</t>
        </is>
      </c>
      <c r="C8" s="8" t="inlineStr">
        <is>
          <t>O Técnico</t>
        </is>
      </c>
      <c r="D8" s="8" t="inlineStr">
        <is>
          <t>todos</t>
        </is>
      </c>
      <c r="E8" s="8" t="inlineStr">
        <is>
          <t>presencial</t>
        </is>
      </c>
      <c r="F8" s="8" t="inlineStr">
        <is>
          <t>direta</t>
        </is>
      </c>
      <c r="G8" s="8" t="inlineStr">
        <is>
          <t>Não cabe. Pelo corredor, quem fizesse isso estaria na frente da câmera quando ela voltou.</t>
        </is>
      </c>
      <c r="H8" s="8" t="inlineStr">
        <is>
          <t>prova</t>
        </is>
      </c>
      <c r="I8" s="8" t="inlineStr"/>
      <c r="J8" s="8" t="inlineStr"/>
      <c r="K8" s="8" t="inlineStr"/>
      <c r="L8" s="8" t="inlineStr">
        <is>
          <t>toda casa</t>
        </is>
      </c>
      <c r="M8" s="8" t="inlineStr">
        <is>
          <t>não</t>
        </is>
      </c>
      <c r="N8" s="8" t="inlineStr"/>
      <c r="O8" s="8" t="inlineStr"/>
      <c r="P8" s="8" t="inlineStr"/>
      <c r="Q8" s="8" t="inlineStr"/>
      <c r="R8" s="8" t="inlineStr"/>
      <c r="S8" s="8" t="inlineStr"/>
      <c r="T8" s="8" t="inlineStr"/>
    </row>
    <row r="9">
      <c r="A9" s="9" t="inlineStr">
        <is>
          <t>c4-008</t>
        </is>
      </c>
      <c r="B9" s="9" t="inlineStr">
        <is>
          <t>~9h07</t>
        </is>
      </c>
      <c r="C9" s="9" t="inlineStr">
        <is>
          <t>O Funcionário da Limpeza</t>
        </is>
      </c>
      <c r="D9" s="9" t="inlineStr">
        <is>
          <t>auditora</t>
        </is>
      </c>
      <c r="E9" s="9" t="inlineStr">
        <is>
          <t>presencial</t>
        </is>
      </c>
      <c r="F9" s="9" t="inlineStr">
        <is>
          <t>direta</t>
        </is>
      </c>
      <c r="G9" s="9" t="inlineStr">
        <is>
          <t>Alguém pisou aqui depois que eu passei.</t>
        </is>
      </c>
      <c r="H9" s="9" t="inlineStr">
        <is>
          <t>reforço</t>
        </is>
      </c>
      <c r="I9" s="9" t="inlineStr">
        <is>
          <t>Pegadas até o fundo do Rack</t>
        </is>
      </c>
      <c r="J9" s="9" t="inlineStr"/>
      <c r="K9" s="9" t="inlineStr"/>
      <c r="L9" s="9" t="inlineStr">
        <is>
          <t>casa ≥ 8</t>
        </is>
      </c>
      <c r="M9" s="9" t="inlineStr">
        <is>
          <t>sim</t>
        </is>
      </c>
      <c r="N9" s="9" t="inlineStr"/>
      <c r="O9" s="9" t="inlineStr"/>
      <c r="P9" s="9" t="inlineStr"/>
      <c r="Q9" s="9" t="inlineStr"/>
      <c r="R9" s="9" t="inlineStr"/>
      <c r="S9" s="9" t="inlineStr"/>
      <c r="T9" s="9" t="inlineStr">
        <is>
          <t>A descrição das meias-luas até o fundo do Rack está no narrador; a Auditora (fonte primária) só tem a pergunta seguinte. Na casa 6 falta uma fala dela que descreva as pegadas.</t>
        </is>
      </c>
    </row>
    <row r="10">
      <c r="A10" s="8" t="inlineStr">
        <is>
          <t>c4-009</t>
        </is>
      </c>
      <c r="B10" s="8" t="inlineStr">
        <is>
          <t>~9h07</t>
        </is>
      </c>
      <c r="C10" s="8" t="inlineStr">
        <is>
          <t>A Auditora</t>
        </is>
      </c>
      <c r="D10" s="8" t="inlineStr">
        <is>
          <t>tecnico</t>
        </is>
      </c>
      <c r="E10" s="8" t="inlineStr">
        <is>
          <t>presencial</t>
        </is>
      </c>
      <c r="F10" s="8" t="inlineStr">
        <is>
          <t>direta</t>
        </is>
      </c>
      <c r="G10" s="8" t="inlineStr">
        <is>
          <t>Para onde vai uma pegada que termina numa parede?</t>
        </is>
      </c>
      <c r="H10" s="8" t="inlineStr">
        <is>
          <t>prova</t>
        </is>
      </c>
      <c r="I10" s="8" t="inlineStr">
        <is>
          <t>Pegadas até o fundo do Rack</t>
        </is>
      </c>
      <c r="J10" s="8" t="inlineStr"/>
      <c r="K10" s="8" t="inlineStr"/>
      <c r="L10" s="8" t="inlineStr">
        <is>
          <t>toda casa</t>
        </is>
      </c>
      <c r="M10" s="8" t="inlineStr">
        <is>
          <t>não</t>
        </is>
      </c>
      <c r="N10" s="8" t="inlineStr"/>
      <c r="O10" s="8" t="inlineStr"/>
      <c r="P10" s="8" t="inlineStr"/>
      <c r="Q10" s="8" t="inlineStr"/>
      <c r="R10" s="8" t="inlineStr"/>
      <c r="S10" s="8" t="inlineStr"/>
      <c r="T10" s="8" t="inlineStr">
        <is>
          <t>Fonte primária das pegadas, mas só em forma de pergunta; precisa de fala descritiva (lanterna rasante, meias-luas saindo do cesto até o Nicho do Rack).</t>
        </is>
      </c>
    </row>
    <row r="11">
      <c r="A11" s="9" t="inlineStr">
        <is>
          <t>c4-010</t>
        </is>
      </c>
      <c r="B11" s="9" t="inlineStr">
        <is>
          <t>~9h08</t>
        </is>
      </c>
      <c r="C11" s="9" t="inlineStr">
        <is>
          <t>O Técnico</t>
        </is>
      </c>
      <c r="D11" s="9" t="inlineStr">
        <is>
          <t>todos</t>
        </is>
      </c>
      <c r="E11" s="9" t="inlineStr">
        <is>
          <t>presencial</t>
        </is>
      </c>
      <c r="F11" s="9" t="inlineStr">
        <is>
          <t>direta</t>
        </is>
      </c>
      <c r="G11" s="9" t="inlineStr">
        <is>
          <t>Eu uso quando a porta do Rack emperra. Hoje cedo vi a poeira riscada aqui no fundo. Achei que tinha sido eu.</t>
        </is>
      </c>
      <c r="H11" s="9" t="inlineStr">
        <is>
          <t>prova</t>
        </is>
      </c>
      <c r="I11" s="9" t="inlineStr">
        <is>
          <t>A passagem</t>
        </is>
      </c>
      <c r="J11" s="9" t="inlineStr"/>
      <c r="K11" s="9" t="inlineStr"/>
      <c r="L11" s="9" t="inlineStr">
        <is>
          <t>toda casa</t>
        </is>
      </c>
      <c r="M11" s="9" t="inlineStr">
        <is>
          <t>não</t>
        </is>
      </c>
      <c r="N11" s="9" t="inlineStr"/>
      <c r="O11" s="9" t="inlineStr"/>
      <c r="P11" s="9" t="inlineStr"/>
      <c r="Q11" s="9" t="inlineStr"/>
      <c r="R11" s="9" t="inlineStr"/>
      <c r="S11" s="9" t="inlineStr"/>
      <c r="T11" s="9" t="inlineStr">
        <is>
          <t>Abre a passagem; colhe a poeira riscada do prólogo.</t>
        </is>
      </c>
    </row>
    <row r="12">
      <c r="A12" s="8" t="inlineStr">
        <is>
          <t>c4-011</t>
        </is>
      </c>
      <c r="B12" s="8" t="inlineStr">
        <is>
          <t>~9h09</t>
        </is>
      </c>
      <c r="C12" s="8" t="inlineStr">
        <is>
          <t>O Técnico</t>
        </is>
      </c>
      <c r="D12" s="8" t="inlineStr">
        <is>
          <t>todos</t>
        </is>
      </c>
      <c r="E12" s="8" t="inlineStr">
        <is>
          <t>presencial</t>
        </is>
      </c>
      <c r="F12" s="8" t="inlineStr">
        <is>
          <t>indireta</t>
        </is>
      </c>
      <c r="G12" s="8" t="inlineStr">
        <is>
          <t>Pela passagem: da Gerência ao Rack, quinze segundos, sem câmera. Do Rack ao Arquivo, quatro. Exposto à câmera, só o trecho entre o Arquivo e a Antecâmara, menos de setenta segundos. Cabe.</t>
        </is>
      </c>
      <c r="H12" s="8" t="inlineStr">
        <is>
          <t>prova</t>
        </is>
      </c>
      <c r="I12" s="8" t="inlineStr">
        <is>
          <t>A passagem</t>
        </is>
      </c>
      <c r="J12" s="8" t="inlineStr"/>
      <c r="K12" s="8" t="inlineStr"/>
      <c r="L12" s="8" t="inlineStr">
        <is>
          <t>toda casa</t>
        </is>
      </c>
      <c r="M12" s="8" t="inlineStr">
        <is>
          <t>não</t>
        </is>
      </c>
      <c r="N12" s="8" t="inlineStr"/>
      <c r="O12" s="8" t="inlineStr"/>
      <c r="P12" s="8" t="inlineStr"/>
      <c r="Q12" s="8" t="inlineStr"/>
      <c r="R12" s="8" t="inlineStr"/>
      <c r="S12" s="8" t="inlineStr"/>
      <c r="T12" s="8" t="inlineStr"/>
    </row>
    <row r="13">
      <c r="A13" s="9" t="inlineStr">
        <is>
          <t>c4-012</t>
        </is>
      </c>
      <c r="B13" s="9" t="inlineStr">
        <is>
          <t>~9h10</t>
        </is>
      </c>
      <c r="C13" s="9" t="inlineStr">
        <is>
          <t>A Auditora</t>
        </is>
      </c>
      <c r="D13" s="9" t="inlineStr">
        <is>
          <t>todos</t>
        </is>
      </c>
      <c r="E13" s="9" t="inlineStr">
        <is>
          <t>presencial</t>
        </is>
      </c>
      <c r="F13" s="9" t="inlineStr">
        <is>
          <t>indireta</t>
        </is>
      </c>
      <c r="G13" s="9" t="inlineStr">
        <is>
          <t>Cada um diga onde esteve durante a janela. Vou escrever numa coluna separada: declarações, não fatos.</t>
        </is>
      </c>
      <c r="H13" s="9" t="inlineStr">
        <is>
          <t>prova</t>
        </is>
      </c>
      <c r="I13" s="9" t="inlineStr">
        <is>
          <t>Quem estava onde na janela A5</t>
        </is>
      </c>
      <c r="J13" s="9" t="inlineStr"/>
      <c r="K13" s="9" t="inlineStr"/>
      <c r="L13" s="9" t="inlineStr">
        <is>
          <t>toda casa</t>
        </is>
      </c>
      <c r="M13" s="9" t="inlineStr">
        <is>
          <t>não</t>
        </is>
      </c>
      <c r="N13" s="9" t="inlineStr"/>
      <c r="O13" s="9" t="inlineStr"/>
      <c r="P13" s="9" t="inlineStr"/>
      <c r="Q13" s="9" t="inlineStr"/>
      <c r="R13" s="9" t="inlineStr"/>
      <c r="S13" s="9" t="inlineStr"/>
      <c r="T13" s="9" t="inlineStr"/>
    </row>
    <row r="14">
      <c r="A14" s="12" t="inlineStr">
        <is>
          <t>c4-013</t>
        </is>
      </c>
      <c r="B14" s="12" t="inlineStr">
        <is>
          <t>~9h10</t>
        </is>
      </c>
      <c r="C14" s="12" t="inlineStr">
        <is>
          <t>O Gerente</t>
        </is>
      </c>
      <c r="D14" s="12" t="inlineStr">
        <is>
          <t>auditora</t>
        </is>
      </c>
      <c r="E14" s="12" t="inlineStr">
        <is>
          <t>presencial</t>
        </is>
      </c>
      <c r="F14" s="12" t="inlineStr">
        <is>
          <t>indireta</t>
        </is>
      </c>
      <c r="G14" s="12" t="inlineStr">
        <is>
          <t>Eu estava com a senhora e com a Cliente do Cofre diante da Porta Giratória.</t>
        </is>
      </c>
      <c r="H14" s="12" t="inlineStr">
        <is>
          <t>prova</t>
        </is>
      </c>
      <c r="I14" s="12" t="inlineStr">
        <is>
          <t>Quem estava onde na janela A5</t>
        </is>
      </c>
      <c r="J14" s="12" t="inlineStr">
        <is>
          <t>A5</t>
        </is>
      </c>
      <c r="K14" s="12" t="inlineStr">
        <is>
          <t>S (referência) e V: igual, verdadeira (Auditora, Cliente, câmera 1). G: diz 'Ao telefone' — mentira (ramal da Gerência sem chamada entre 7h50 e 8h10; câmera 1 o mostra entrando na divisória às 7h57:50).</t>
        </is>
      </c>
      <c r="L14" s="12" t="inlineStr">
        <is>
          <t>toda casa</t>
        </is>
      </c>
      <c r="M14" s="12" t="inlineStr">
        <is>
          <t>não</t>
        </is>
      </c>
      <c r="N14" s="12" t="inlineStr"/>
      <c r="O14" s="12" t="inlineStr"/>
      <c r="P14" s="12" t="inlineStr"/>
      <c r="Q14" s="12" t="inlineStr"/>
      <c r="R14" s="12" t="inlineStr"/>
      <c r="S14" s="12" t="inlineStr"/>
      <c r="T14" s="12" t="inlineStr">
        <is>
          <t>Não marcada ^A5^ no texto, mas muda na partida G (Gerente impostor).</t>
        </is>
      </c>
    </row>
    <row r="15">
      <c r="A15" s="12" t="inlineStr">
        <is>
          <t>c4-014</t>
        </is>
      </c>
      <c r="B15" s="12" t="inlineStr">
        <is>
          <t>~9h10</t>
        </is>
      </c>
      <c r="C15" s="12" t="inlineStr">
        <is>
          <t>O Caixa Veterano</t>
        </is>
      </c>
      <c r="D15" s="12" t="inlineStr">
        <is>
          <t>auditora</t>
        </is>
      </c>
      <c r="E15" s="12" t="inlineStr">
        <is>
          <t>presencial</t>
        </is>
      </c>
      <c r="F15" s="12" t="inlineStr">
        <is>
          <t>indireta</t>
        </is>
      </c>
      <c r="G15" s="12" t="inlineStr">
        <is>
          <t>Eu estava na Mesa de Recebimento, esperando o malote.</t>
        </is>
      </c>
      <c r="H15" s="12" t="inlineStr">
        <is>
          <t>prova</t>
        </is>
      </c>
      <c r="I15" s="12" t="inlineStr">
        <is>
          <t>Quem estava onde na janela A5</t>
        </is>
      </c>
      <c r="J15" s="12" t="inlineStr">
        <is>
          <t>A5</t>
        </is>
      </c>
      <c r="K15" s="12" t="inlineStr">
        <is>
          <t>S e G: igual, verdadeira (câmera 2). V: mesma frase, mas é a mentira (câmera 2 mostra a Mesa vazia até 8h00:02; reforço: Segurança do Veículo).</t>
        </is>
      </c>
      <c r="L15" s="12" t="inlineStr">
        <is>
          <t>toda casa</t>
        </is>
      </c>
      <c r="M15" s="12" t="inlineStr">
        <is>
          <t>não</t>
        </is>
      </c>
      <c r="N15" s="12" t="inlineStr"/>
      <c r="O15" s="12" t="inlineStr"/>
      <c r="P15" s="12" t="inlineStr"/>
      <c r="Q15" s="12" t="inlineStr"/>
      <c r="R15" s="12" t="inlineStr"/>
      <c r="S15" s="12" t="inlineStr"/>
      <c r="T15" s="12" t="inlineStr">
        <is>
          <t>Não marcada ^A5^ no texto; o texto é igual nas três partidas, mas na V é a mentira.</t>
        </is>
      </c>
    </row>
    <row r="16">
      <c r="A16" s="12" t="inlineStr">
        <is>
          <t>c4-015</t>
        </is>
      </c>
      <c r="B16" s="12" t="inlineStr">
        <is>
          <t>~9h10</t>
        </is>
      </c>
      <c r="C16" s="12" t="inlineStr">
        <is>
          <t>O Subgerente</t>
        </is>
      </c>
      <c r="D16" s="12" t="inlineStr">
        <is>
          <t>auditora</t>
        </is>
      </c>
      <c r="E16" s="12" t="inlineStr">
        <is>
          <t>presencial</t>
        </is>
      </c>
      <c r="F16" s="12" t="inlineStr">
        <is>
          <t>indireta</t>
        </is>
      </c>
      <c r="G16" s="12" t="inlineStr">
        <is>
          <t>Eu estava nos Guichês, buscando a guia impressa.</t>
        </is>
      </c>
      <c r="H16" s="12" t="inlineStr">
        <is>
          <t>prova</t>
        </is>
      </c>
      <c r="I16" s="12" t="inlineStr">
        <is>
          <t>Quem estava onde na janela A5</t>
        </is>
      </c>
      <c r="J16" s="12" t="inlineStr">
        <is>
          <t>A5</t>
        </is>
      </c>
      <c r="K16" s="12" t="inlineStr">
        <is>
          <t>S (referência): mentira (câmera 2 só o mostra às 8h00:05; reforço: Estagiária). G e V: mesma frase, verdadeira (câmera 2). Nas casas sem o Subgerente (casa 6 de G e V) a fala sai.</t>
        </is>
      </c>
      <c r="L16" s="12" t="inlineStr">
        <is>
          <t>casa ≥ 8</t>
        </is>
      </c>
      <c r="M16" s="12" t="inlineStr">
        <is>
          <t>sim</t>
        </is>
      </c>
      <c r="N16" s="12" t="inlineStr"/>
      <c r="O16" s="12" t="inlineStr"/>
      <c r="P16" s="12" t="inlineStr"/>
      <c r="Q16" s="12" t="inlineStr"/>
      <c r="R16" s="12" t="inlineStr"/>
      <c r="S16" s="12" t="inlineStr"/>
      <c r="T16" s="12" t="inlineStr">
        <is>
          <t>Ponto marcado ^A5^. Na referência é a mentira desmentida no Cap. 7 pela câmera 2.</t>
        </is>
      </c>
    </row>
    <row r="17">
      <c r="A17" s="9" t="inlineStr">
        <is>
          <t>c4-016</t>
        </is>
      </c>
      <c r="B17" s="9" t="inlineStr">
        <is>
          <t>~9h10</t>
        </is>
      </c>
      <c r="C17" s="9" t="inlineStr">
        <is>
          <t>A Estagiária</t>
        </is>
      </c>
      <c r="D17" s="9" t="inlineStr">
        <is>
          <t>auditora</t>
        </is>
      </c>
      <c r="E17" s="9" t="inlineStr">
        <is>
          <t>presencial</t>
        </is>
      </c>
      <c r="F17" s="9" t="inlineStr">
        <is>
          <t>indireta</t>
        </is>
      </c>
      <c r="G17" s="9" t="inlineStr">
        <is>
          <t>Eu estava recolhendo folhas atrás dos Guichês.</t>
        </is>
      </c>
      <c r="H17" s="9" t="inlineStr">
        <is>
          <t>ambiente</t>
        </is>
      </c>
      <c r="I17" s="9" t="inlineStr"/>
      <c r="J17" s="9" t="inlineStr"/>
      <c r="K17" s="9" t="inlineStr"/>
      <c r="L17" s="9" t="inlineStr">
        <is>
          <t>casa ≥ 12</t>
        </is>
      </c>
      <c r="M17" s="9" t="inlineStr">
        <is>
          <t>sim</t>
        </is>
      </c>
      <c r="N17" s="9" t="inlineStr"/>
      <c r="O17" s="9" t="inlineStr"/>
      <c r="P17" s="9" t="inlineStr"/>
      <c r="Q17" s="9" t="inlineStr"/>
      <c r="R17" s="9" t="inlineStr"/>
      <c r="S17" s="9" t="inlineStr"/>
      <c r="T17" s="9" t="inlineStr"/>
    </row>
    <row r="18">
      <c r="A18" s="8" t="inlineStr">
        <is>
          <t>c4-017</t>
        </is>
      </c>
      <c r="B18" s="8" t="inlineStr">
        <is>
          <t>~9h10</t>
        </is>
      </c>
      <c r="C18" s="8" t="inlineStr">
        <is>
          <t>A Operadora da Central</t>
        </is>
      </c>
      <c r="D18" s="8" t="inlineStr">
        <is>
          <t>auditora</t>
        </is>
      </c>
      <c r="E18" s="8" t="inlineStr">
        <is>
          <t>presencial</t>
        </is>
      </c>
      <c r="F18" s="8" t="inlineStr">
        <is>
          <t>indireta</t>
        </is>
      </c>
      <c r="G18" s="8" t="inlineStr">
        <is>
          <t>Eu estava na Central.</t>
        </is>
      </c>
      <c r="H18" s="8" t="inlineStr">
        <is>
          <t>ambiente</t>
        </is>
      </c>
      <c r="I18" s="8" t="inlineStr"/>
      <c r="J18" s="8" t="inlineStr"/>
      <c r="K18" s="8" t="inlineStr"/>
      <c r="L18" s="8" t="inlineStr">
        <is>
          <t>toda casa</t>
        </is>
      </c>
      <c r="M18" s="8" t="inlineStr">
        <is>
          <t>não</t>
        </is>
      </c>
      <c r="N18" s="8" t="inlineStr"/>
      <c r="O18" s="8" t="inlineStr"/>
      <c r="P18" s="8" t="inlineStr"/>
      <c r="Q18" s="8" t="inlineStr"/>
      <c r="R18" s="8" t="inlineStr"/>
      <c r="S18" s="8" t="inlineStr"/>
      <c r="T18" s="8" t="inlineStr"/>
    </row>
    <row r="19">
      <c r="A19" s="9" t="inlineStr">
        <is>
          <t>c4-018</t>
        </is>
      </c>
      <c r="B19" s="9" t="inlineStr">
        <is>
          <t>~9h10</t>
        </is>
      </c>
      <c r="C19" s="9" t="inlineStr">
        <is>
          <t>O Funcionário da Limpeza</t>
        </is>
      </c>
      <c r="D19" s="9" t="inlineStr">
        <is>
          <t>auditora</t>
        </is>
      </c>
      <c r="E19" s="9" t="inlineStr">
        <is>
          <t>presencial</t>
        </is>
      </c>
      <c r="F19" s="9" t="inlineStr">
        <is>
          <t>indireta</t>
        </is>
      </c>
      <c r="G19" s="9" t="inlineStr">
        <is>
          <t>Eu estava no Saguão, com o balde.</t>
        </is>
      </c>
      <c r="H19" s="9" t="inlineStr">
        <is>
          <t>ambiente</t>
        </is>
      </c>
      <c r="I19" s="9" t="inlineStr"/>
      <c r="J19" s="9" t="inlineStr"/>
      <c r="K19" s="9" t="inlineStr"/>
      <c r="L19" s="9" t="inlineStr">
        <is>
          <t>casa ≥ 8</t>
        </is>
      </c>
      <c r="M19" s="9" t="inlineStr">
        <is>
          <t>sim</t>
        </is>
      </c>
      <c r="N19" s="9" t="inlineStr"/>
      <c r="O19" s="9" t="inlineStr"/>
      <c r="P19" s="9" t="inlineStr"/>
      <c r="Q19" s="9" t="inlineStr"/>
      <c r="R19" s="9" t="inlineStr"/>
      <c r="S19" s="9" t="inlineStr"/>
      <c r="T19" s="9" t="inlineStr"/>
    </row>
    <row r="20">
      <c r="A20" s="8" t="inlineStr">
        <is>
          <t>c4-019</t>
        </is>
      </c>
      <c r="B20" s="8" t="inlineStr">
        <is>
          <t>~9h10</t>
        </is>
      </c>
      <c r="C20" s="8" t="inlineStr">
        <is>
          <t>O Técnico</t>
        </is>
      </c>
      <c r="D20" s="8" t="inlineStr">
        <is>
          <t>auditora</t>
        </is>
      </c>
      <c r="E20" s="8" t="inlineStr">
        <is>
          <t>presencial</t>
        </is>
      </c>
      <c r="F20" s="8" t="inlineStr">
        <is>
          <t>direta</t>
        </is>
      </c>
      <c r="G20" s="8" t="inlineStr">
        <is>
          <t>No Rack.</t>
        </is>
      </c>
      <c r="H20" s="8" t="inlineStr">
        <is>
          <t>pista falsa</t>
        </is>
      </c>
      <c r="I20" s="8" t="inlineStr"/>
      <c r="J20" s="8" t="inlineStr"/>
      <c r="K20" s="8" t="inlineStr"/>
      <c r="L20" s="8" t="inlineStr">
        <is>
          <t>toda casa</t>
        </is>
      </c>
      <c r="M20" s="8" t="inlineStr">
        <is>
          <t>não</t>
        </is>
      </c>
      <c r="N20" s="8" t="inlineStr"/>
      <c r="O20" s="8" t="inlineStr"/>
      <c r="P20" s="8" t="inlineStr"/>
      <c r="Q20" s="8" t="inlineStr"/>
      <c r="R20" s="8" t="inlineStr"/>
      <c r="S20" s="8" t="inlineStr"/>
      <c r="T20" s="8" t="inlineStr">
        <is>
          <t>Mentira do falso culpado; única declaração na boca da passagem.</t>
        </is>
      </c>
    </row>
    <row r="21">
      <c r="A21" s="9" t="inlineStr">
        <is>
          <t>c4-020</t>
        </is>
      </c>
      <c r="B21" s="9" t="inlineStr">
        <is>
          <t>~9h11</t>
        </is>
      </c>
      <c r="C21" s="9" t="inlineStr">
        <is>
          <t>O Caixa Novato</t>
        </is>
      </c>
      <c r="D21" s="9" t="inlineStr">
        <is>
          <t>auditora</t>
        </is>
      </c>
      <c r="E21" s="9" t="inlineStr">
        <is>
          <t>presencial</t>
        </is>
      </c>
      <c r="F21" s="9" t="inlineStr">
        <is>
          <t>indireta</t>
        </is>
      </c>
      <c r="G21" s="9" t="inlineStr">
        <is>
          <t>Eu estava no almoxarifado.</t>
        </is>
      </c>
      <c r="H21" s="9" t="inlineStr">
        <is>
          <t>pista falsa</t>
        </is>
      </c>
      <c r="I21" s="9" t="inlineStr"/>
      <c r="J21" s="9" t="inlineStr"/>
      <c r="K21" s="9" t="inlineStr"/>
      <c r="L21" s="9" t="inlineStr">
        <is>
          <t>toda casa</t>
        </is>
      </c>
      <c r="M21" s="9" t="inlineStr">
        <is>
          <t>não</t>
        </is>
      </c>
      <c r="N21" s="9" t="inlineStr"/>
      <c r="O21" s="9" t="inlineStr"/>
      <c r="P21" s="9" t="inlineStr"/>
      <c r="Q21" s="9" t="inlineStr"/>
      <c r="R21" s="9" t="inlineStr"/>
      <c r="S21" s="9" t="inlineStr"/>
      <c r="T21" s="9" t="inlineStr">
        <is>
          <t>Mentira: não existe almoxarifado no corredor.</t>
        </is>
      </c>
    </row>
    <row r="22">
      <c r="A22" s="8" t="inlineStr">
        <is>
          <t>c4-021</t>
        </is>
      </c>
      <c r="B22" s="8" t="inlineStr">
        <is>
          <t>~9h11</t>
        </is>
      </c>
      <c r="C22" s="8" t="inlineStr">
        <is>
          <t>O Caixa Novato</t>
        </is>
      </c>
      <c r="D22" s="8" t="inlineStr">
        <is>
          <t>auditora</t>
        </is>
      </c>
      <c r="E22" s="8" t="inlineStr">
        <is>
          <t>presencial</t>
        </is>
      </c>
      <c r="F22" s="8" t="inlineStr">
        <is>
          <t>indireta</t>
        </is>
      </c>
      <c r="G22" s="8" t="inlineStr">
        <is>
          <t>Menti. Durante a janela, estive trancado no banheiro dos funcionários, tentando não vomitar.</t>
        </is>
      </c>
      <c r="H22" s="8" t="inlineStr">
        <is>
          <t>subtrama</t>
        </is>
      </c>
      <c r="I22" s="8" t="inlineStr"/>
      <c r="J22" s="8" t="inlineStr"/>
      <c r="K22" s="8" t="inlineStr"/>
      <c r="L22" s="8" t="inlineStr">
        <is>
          <t>toda casa</t>
        </is>
      </c>
      <c r="M22" s="8" t="inlineStr">
        <is>
          <t>não</t>
        </is>
      </c>
      <c r="N22" s="8" t="inlineStr"/>
      <c r="O22" s="8" t="inlineStr"/>
      <c r="P22" s="8" t="inlineStr"/>
      <c r="Q22" s="8" t="inlineStr"/>
      <c r="R22" s="8" t="inlineStr"/>
      <c r="S22" s="8" t="inlineStr"/>
      <c r="T22" s="8" t="inlineStr"/>
    </row>
    <row r="23">
      <c r="A23" s="9" t="inlineStr">
        <is>
          <t>c4-022</t>
        </is>
      </c>
      <c r="B23" s="9" t="inlineStr">
        <is>
          <t>~9h11</t>
        </is>
      </c>
      <c r="C23" s="9" t="inlineStr">
        <is>
          <t>O Gerente</t>
        </is>
      </c>
      <c r="D23" s="9" t="inlineStr">
        <is>
          <t>caixa_novato</t>
        </is>
      </c>
      <c r="E23" s="9" t="inlineStr">
        <is>
          <t>presencial</t>
        </is>
      </c>
      <c r="F23" s="9" t="inlineStr">
        <is>
          <t>direta</t>
        </is>
      </c>
      <c r="G23" s="9" t="inlineStr">
        <is>
          <t>Você tinha a chave, a senha e não sabe dizer onde estava.</t>
        </is>
      </c>
      <c r="H23" s="9" t="inlineStr">
        <is>
          <t>pista falsa</t>
        </is>
      </c>
      <c r="I23" s="9" t="inlineStr"/>
      <c r="J23" s="9" t="inlineStr"/>
      <c r="K23" s="9" t="inlineStr"/>
      <c r="L23" s="9" t="inlineStr">
        <is>
          <t>toda casa</t>
        </is>
      </c>
      <c r="M23" s="9" t="inlineStr">
        <is>
          <t>não</t>
        </is>
      </c>
      <c r="N23" s="9" t="inlineStr"/>
      <c r="O23" s="9" t="inlineStr"/>
      <c r="P23" s="9" t="inlineStr"/>
      <c r="Q23" s="9" t="inlineStr"/>
      <c r="R23" s="9" t="inlineStr"/>
      <c r="S23" s="9" t="inlineStr"/>
      <c r="T23" s="9" t="inlineStr"/>
    </row>
    <row r="24">
      <c r="A24" s="8" t="inlineStr">
        <is>
          <t>c4-023</t>
        </is>
      </c>
      <c r="B24" s="8" t="inlineStr">
        <is>
          <t>~9h11</t>
        </is>
      </c>
      <c r="C24" s="8" t="inlineStr">
        <is>
          <t>O Caixa Novato</t>
        </is>
      </c>
      <c r="D24" s="8" t="inlineStr">
        <is>
          <t>gerente</t>
        </is>
      </c>
      <c r="E24" s="8" t="inlineStr">
        <is>
          <t>presencial</t>
        </is>
      </c>
      <c r="F24" s="8" t="inlineStr">
        <is>
          <t>direta</t>
        </is>
      </c>
      <c r="G24" s="8" t="inlineStr">
        <is>
          <t>Eu sei. Estava sentado no chão do banheiro. E a parede raspou. Duas vezes.</t>
        </is>
      </c>
      <c r="H24" s="8" t="inlineStr">
        <is>
          <t>prova</t>
        </is>
      </c>
      <c r="I24" s="8" t="inlineStr">
        <is>
          <t>A parede raspou duas vezes</t>
        </is>
      </c>
      <c r="J24" s="8" t="inlineStr"/>
      <c r="K24" s="8" t="inlineStr"/>
      <c r="L24" s="8" t="inlineStr">
        <is>
          <t>toda casa</t>
        </is>
      </c>
      <c r="M24" s="8" t="inlineStr">
        <is>
          <t>não</t>
        </is>
      </c>
      <c r="N24" s="8" t="inlineStr"/>
      <c r="O24" s="8" t="inlineStr"/>
      <c r="P24" s="8" t="inlineStr"/>
      <c r="Q24" s="8" t="inlineStr"/>
      <c r="R24" s="8" t="inlineStr"/>
      <c r="S24" s="8" t="inlineStr"/>
      <c r="T24" s="8" t="inlineStr">
        <is>
          <t>Fonte primária (apoio).</t>
        </is>
      </c>
    </row>
    <row r="25">
      <c r="A25" s="9" t="inlineStr">
        <is>
          <t>c4-024</t>
        </is>
      </c>
      <c r="B25" s="9" t="inlineStr">
        <is>
          <t>~9h11</t>
        </is>
      </c>
      <c r="C25" s="9" t="inlineStr">
        <is>
          <t>O Gerente</t>
        </is>
      </c>
      <c r="D25" s="9" t="inlineStr">
        <is>
          <t>caixa_novato</t>
        </is>
      </c>
      <c r="E25" s="9" t="inlineStr">
        <is>
          <t>presencial</t>
        </is>
      </c>
      <c r="F25" s="9" t="inlineStr">
        <is>
          <t>direta</t>
        </is>
      </c>
      <c r="G25" s="9" t="inlineStr">
        <is>
          <t>Raspou?</t>
        </is>
      </c>
      <c r="H25" s="9" t="inlineStr">
        <is>
          <t>prova</t>
        </is>
      </c>
      <c r="I25" s="9" t="inlineStr">
        <is>
          <t>A parede raspou duas vezes</t>
        </is>
      </c>
      <c r="J25" s="9" t="inlineStr"/>
      <c r="K25" s="9" t="inlineStr"/>
      <c r="L25" s="9" t="inlineStr">
        <is>
          <t>toda casa</t>
        </is>
      </c>
      <c r="M25" s="9" t="inlineStr">
        <is>
          <t>não</t>
        </is>
      </c>
      <c r="N25" s="9" t="inlineStr"/>
      <c r="O25" s="9" t="inlineStr"/>
      <c r="P25" s="9" t="inlineStr"/>
      <c r="Q25" s="9" t="inlineStr"/>
      <c r="R25" s="9" t="inlineStr"/>
      <c r="S25" s="9" t="inlineStr"/>
      <c r="T25" s="9" t="inlineStr">
        <is>
          <t>Falante não identificado no texto; atribuído ao Gerente pelo fluxo da cena.</t>
        </is>
      </c>
    </row>
    <row r="26">
      <c r="A26" s="8" t="inlineStr">
        <is>
          <t>c4-025</t>
        </is>
      </c>
      <c r="B26" s="8" t="inlineStr">
        <is>
          <t>~9h11</t>
        </is>
      </c>
      <c r="C26" s="8" t="inlineStr">
        <is>
          <t>O Caixa Novato</t>
        </is>
      </c>
      <c r="D26" s="8" t="inlineStr">
        <is>
          <t>todos</t>
        </is>
      </c>
      <c r="E26" s="8" t="inlineStr">
        <is>
          <t>presencial</t>
        </is>
      </c>
      <c r="F26" s="8" t="inlineStr">
        <is>
          <t>direta</t>
        </is>
      </c>
      <c r="G26" s="8" t="inlineStr">
        <is>
          <t>Como uma gaveta pesada. Uma vez logo que o rádio chamou. Outra quase dois minutos depois, logo depois de a imagem voltar.</t>
        </is>
      </c>
      <c r="H26" s="8" t="inlineStr">
        <is>
          <t>prova</t>
        </is>
      </c>
      <c r="I26" s="8" t="inlineStr">
        <is>
          <t>A parede raspou duas vezes</t>
        </is>
      </c>
      <c r="J26" s="8" t="inlineStr"/>
      <c r="K26" s="8" t="inlineStr"/>
      <c r="L26" s="8" t="inlineStr">
        <is>
          <t>toda casa</t>
        </is>
      </c>
      <c r="M26" s="8" t="inlineStr">
        <is>
          <t>não</t>
        </is>
      </c>
      <c r="N26" s="8" t="inlineStr"/>
      <c r="O26" s="8" t="inlineStr"/>
      <c r="P26" s="8" t="inlineStr"/>
      <c r="Q26" s="8" t="inlineStr"/>
      <c r="R26" s="8" t="inlineStr"/>
      <c r="S26" s="8" t="inlineStr"/>
      <c r="T26" s="8" t="inlineStr">
        <is>
          <t>Pela rota do cânone, a volta pela Gerência é às 7h59:54 (1 min 48 s depois da ordem), não 'quase um minuto e meio'.</t>
        </is>
      </c>
    </row>
    <row r="27">
      <c r="A27" s="9" t="inlineStr">
        <is>
          <t>c4-026</t>
        </is>
      </c>
      <c r="B27" s="9" t="inlineStr">
        <is>
          <t>~9h12</t>
        </is>
      </c>
      <c r="C27" s="9" t="inlineStr">
        <is>
          <t>A Farmacêutica</t>
        </is>
      </c>
      <c r="D27" s="9" t="inlineStr">
        <is>
          <t>todos</t>
        </is>
      </c>
      <c r="E27" s="9" t="inlineStr">
        <is>
          <t>presencial</t>
        </is>
      </c>
      <c r="F27" s="9" t="inlineStr">
        <is>
          <t>indireta</t>
        </is>
      </c>
      <c r="G27" s="9" t="inlineStr">
        <is>
          <t>Assumo: entreguei as cápsulas sem receita. Reconheço uma crise quando vejo uma.</t>
        </is>
      </c>
      <c r="H27" s="9" t="inlineStr">
        <is>
          <t>subtrama</t>
        </is>
      </c>
      <c r="I27" s="9" t="inlineStr"/>
      <c r="J27" s="9" t="inlineStr"/>
      <c r="K27" s="9" t="inlineStr"/>
      <c r="L27" s="9" t="inlineStr">
        <is>
          <t>casa ≥ 12</t>
        </is>
      </c>
      <c r="M27" s="9" t="inlineStr">
        <is>
          <t>sim</t>
        </is>
      </c>
      <c r="N27" s="9" t="inlineStr"/>
      <c r="O27" s="9" t="inlineStr"/>
      <c r="P27" s="9" t="inlineStr"/>
      <c r="Q27" s="9" t="inlineStr"/>
      <c r="R27" s="9" t="inlineStr"/>
      <c r="S27" s="9" t="inlineStr"/>
      <c r="T27" s="9" t="inlineStr"/>
    </row>
    <row r="28">
      <c r="A28" s="8" t="inlineStr">
        <is>
          <t>c4-027</t>
        </is>
      </c>
      <c r="B28" s="8" t="inlineStr">
        <is>
          <t>~9h12</t>
        </is>
      </c>
      <c r="C28" s="8" t="inlineStr">
        <is>
          <t>O Segurança Interno</t>
        </is>
      </c>
      <c r="D28" s="8" t="inlineStr">
        <is>
          <t>farmaceutica</t>
        </is>
      </c>
      <c r="E28" s="8" t="inlineStr">
        <is>
          <t>presencial</t>
        </is>
      </c>
      <c r="F28" s="8" t="inlineStr">
        <is>
          <t>indireta</t>
        </is>
      </c>
      <c r="G28" s="8" t="inlineStr">
        <is>
          <t>Por que a senhora protegeria um rapaz quase desconhecido?</t>
        </is>
      </c>
      <c r="H28" s="8" t="inlineStr">
        <is>
          <t>subtrama</t>
        </is>
      </c>
      <c r="I28" s="8" t="inlineStr"/>
      <c r="J28" s="8" t="inlineStr"/>
      <c r="K28" s="8" t="inlineStr"/>
      <c r="L28" s="8" t="inlineStr">
        <is>
          <t>toda casa</t>
        </is>
      </c>
      <c r="M28" s="8" t="inlineStr">
        <is>
          <t>não</t>
        </is>
      </c>
      <c r="N28" s="8" t="inlineStr"/>
      <c r="O28" s="8" t="inlineStr"/>
      <c r="P28" s="8" t="inlineStr"/>
      <c r="Q28" s="8" t="inlineStr"/>
      <c r="R28" s="8" t="inlineStr"/>
      <c r="S28" s="8" t="inlineStr"/>
      <c r="T28" s="8" t="inlineStr">
        <is>
          <t>Apoio, mas a fala só existe se a Farmacêutica (bloco3) estiver na casa.</t>
        </is>
      </c>
    </row>
    <row r="29">
      <c r="A29" s="9" t="inlineStr">
        <is>
          <t>c4-028</t>
        </is>
      </c>
      <c r="B29" s="9" t="inlineStr">
        <is>
          <t>~9h12</t>
        </is>
      </c>
      <c r="C29" s="9" t="inlineStr">
        <is>
          <t>O Funcionário da Limpeza</t>
        </is>
      </c>
      <c r="D29" s="9" t="inlineStr">
        <is>
          <t>todos</t>
        </is>
      </c>
      <c r="E29" s="9" t="inlineStr">
        <is>
          <t>presencial</t>
        </is>
      </c>
      <c r="F29" s="9" t="inlineStr">
        <is>
          <t>indireta</t>
        </is>
      </c>
      <c r="G29" s="9" t="inlineStr">
        <is>
          <t>Confesso: emprestei a chave 17-B, das sete e trinta e cinco às sete e quarenta e sete.</t>
        </is>
      </c>
      <c r="H29" s="9" t="inlineStr">
        <is>
          <t>subtrama</t>
        </is>
      </c>
      <c r="I29" s="9" t="inlineStr"/>
      <c r="J29" s="9" t="inlineStr"/>
      <c r="K29" s="9" t="inlineStr"/>
      <c r="L29" s="9" t="inlineStr">
        <is>
          <t>casa ≥ 8</t>
        </is>
      </c>
      <c r="M29" s="9" t="inlineStr">
        <is>
          <t>sim</t>
        </is>
      </c>
      <c r="N29" s="9" t="inlineStr"/>
      <c r="O29" s="9" t="inlineStr"/>
      <c r="P29" s="9" t="inlineStr"/>
      <c r="Q29" s="9" t="inlineStr"/>
      <c r="R29" s="9" t="inlineStr"/>
      <c r="S29" s="9" t="inlineStr"/>
      <c r="T29" s="9" t="inlineStr">
        <is>
          <t>Na casa sem o 1º bloco o empréstimo acontece sem ser dito.</t>
        </is>
      </c>
    </row>
    <row r="30">
      <c r="A30" s="8" t="inlineStr">
        <is>
          <t>c4-029</t>
        </is>
      </c>
      <c r="B30" s="8" t="inlineStr">
        <is>
          <t>~9h12</t>
        </is>
      </c>
      <c r="C30" s="8" t="inlineStr">
        <is>
          <t>O Subgerente</t>
        </is>
      </c>
      <c r="D30" s="8" t="inlineStr">
        <is>
          <t>todos</t>
        </is>
      </c>
      <c r="E30" s="8" t="inlineStr">
        <is>
          <t>presencial</t>
        </is>
      </c>
      <c r="F30" s="8" t="inlineStr">
        <is>
          <t>indireta</t>
        </is>
      </c>
      <c r="G30" s="8" t="inlineStr">
        <is>
          <t>Confirmo. Fui buscar no armário do Arquivo um espelho antigo, de um reprocessamento, para conferir antes da auditoria.</t>
        </is>
      </c>
      <c r="H30" s="8" t="inlineStr">
        <is>
          <t>subtrama</t>
        </is>
      </c>
      <c r="I30" s="8" t="inlineStr"/>
      <c r="J30" s="8" t="inlineStr"/>
      <c r="K30" s="8" t="inlineStr"/>
      <c r="L30" s="8" t="inlineStr">
        <is>
          <t>casa ≥ 8</t>
        </is>
      </c>
      <c r="M30" s="8" t="inlineStr">
        <is>
          <t>sim</t>
        </is>
      </c>
      <c r="N30" s="8" t="inlineStr"/>
      <c r="O30" s="8" t="inlineStr"/>
      <c r="P30" s="8" t="inlineStr"/>
      <c r="Q30" s="8" t="inlineStr"/>
      <c r="R30" s="8" t="inlineStr"/>
      <c r="S30" s="8" t="inlineStr"/>
      <c r="T30" s="8" t="inlineStr">
        <is>
          <t>Segredo inocente do Subgerente (na referência, o impostor).</t>
        </is>
      </c>
    </row>
    <row r="31">
      <c r="A31" s="9" t="inlineStr">
        <is>
          <t>c4-030</t>
        </is>
      </c>
      <c r="B31" s="9" t="inlineStr">
        <is>
          <t>~9h12</t>
        </is>
      </c>
      <c r="C31" s="9" t="inlineStr">
        <is>
          <t>O Gerente</t>
        </is>
      </c>
      <c r="D31" s="9" t="inlineStr">
        <is>
          <t>limpeza</t>
        </is>
      </c>
      <c r="E31" s="9" t="inlineStr">
        <is>
          <t>presencial</t>
        </is>
      </c>
      <c r="F31" s="9" t="inlineStr">
        <is>
          <t>indireta</t>
        </is>
      </c>
      <c r="G31" s="9" t="inlineStr">
        <is>
          <t>Isso é caso de demissão.</t>
        </is>
      </c>
      <c r="H31" s="9" t="inlineStr">
        <is>
          <t>subtrama</t>
        </is>
      </c>
      <c r="I31" s="9" t="inlineStr"/>
      <c r="J31" s="9" t="inlineStr"/>
      <c r="K31" s="9" t="inlineStr"/>
      <c r="L31" s="9" t="inlineStr">
        <is>
          <t>toda casa</t>
        </is>
      </c>
      <c r="M31" s="9" t="inlineStr">
        <is>
          <t>não</t>
        </is>
      </c>
      <c r="N31" s="9" t="inlineStr"/>
      <c r="O31" s="9" t="inlineStr"/>
      <c r="P31" s="9" t="inlineStr"/>
      <c r="Q31" s="9" t="inlineStr"/>
      <c r="R31" s="9" t="inlineStr"/>
      <c r="S31" s="9" t="inlineStr"/>
      <c r="T31" s="9" t="inlineStr"/>
    </row>
    <row r="32">
      <c r="A32" s="8" t="inlineStr">
        <is>
          <t>c4-031</t>
        </is>
      </c>
      <c r="B32" s="8" t="inlineStr">
        <is>
          <t>~9h12</t>
        </is>
      </c>
      <c r="C32" s="8" t="inlineStr">
        <is>
          <t>O Funcionário da Limpeza</t>
        </is>
      </c>
      <c r="D32" s="8" t="inlineStr">
        <is>
          <t>gerente</t>
        </is>
      </c>
      <c r="E32" s="8" t="inlineStr">
        <is>
          <t>presencial</t>
        </is>
      </c>
      <c r="F32" s="8" t="inlineStr">
        <is>
          <t>indireta</t>
        </is>
      </c>
      <c r="G32" s="8" t="inlineStr">
        <is>
          <t>O banco aceitou durante anos os meus favores não registrados e só chama de irregularidade o favor que deixa rastro.</t>
        </is>
      </c>
      <c r="H32" s="8" t="inlineStr">
        <is>
          <t>subtrama</t>
        </is>
      </c>
      <c r="I32" s="8" t="inlineStr"/>
      <c r="J32" s="8" t="inlineStr"/>
      <c r="K32" s="8" t="inlineStr"/>
      <c r="L32" s="8" t="inlineStr">
        <is>
          <t>casa ≥ 8</t>
        </is>
      </c>
      <c r="M32" s="8" t="inlineStr">
        <is>
          <t>sim</t>
        </is>
      </c>
      <c r="N32" s="8" t="inlineStr"/>
      <c r="O32" s="8" t="inlineStr"/>
      <c r="P32" s="8" t="inlineStr"/>
      <c r="Q32" s="8" t="inlineStr"/>
      <c r="R32" s="8" t="inlineStr"/>
      <c r="S32" s="8" t="inlineStr"/>
      <c r="T32" s="8" t="inlineStr"/>
    </row>
    <row r="33">
      <c r="A33" s="9" t="inlineStr">
        <is>
          <t>c4-032</t>
        </is>
      </c>
      <c r="B33" s="9" t="inlineStr">
        <is>
          <t>9h12</t>
        </is>
      </c>
      <c r="C33" s="9" t="inlineStr">
        <is>
          <t>O Padeiro</t>
        </is>
      </c>
      <c r="D33" s="9" t="inlineStr">
        <is>
          <t>auditora</t>
        </is>
      </c>
      <c r="E33" s="9" t="inlineStr">
        <is>
          <t>telefone</t>
        </is>
      </c>
      <c r="F33" s="9" t="inlineStr">
        <is>
          <t>indireta</t>
        </is>
      </c>
      <c r="G33" s="9" t="inlineStr">
        <is>
          <t>Às seis e vinte e oito, uma figura de capa e guarda-chuva de cabo claro atravessou minha porta de serviço com uma sacola pesada. Demorei a contar porque vendo café por ali antes da hora.</t>
        </is>
      </c>
      <c r="H33" s="9" t="inlineStr">
        <is>
          <t>prova</t>
        </is>
      </c>
      <c r="I33" s="9" t="inlineStr"/>
      <c r="J33" s="9" t="inlineStr"/>
      <c r="K33" s="9" t="inlineStr"/>
      <c r="L33" s="9" t="inlineStr">
        <is>
          <t>casa ≥ 10</t>
        </is>
      </c>
      <c r="M33" s="9" t="inlineStr">
        <is>
          <t>não</t>
        </is>
      </c>
      <c r="N33" s="9" t="inlineStr"/>
      <c r="O33" s="9" t="inlineStr"/>
      <c r="P33" s="9" t="inlineStr"/>
      <c r="Q33" s="9" t="inlineStr"/>
      <c r="R33" s="9" t="inlineStr"/>
      <c r="S33" s="9" t="inlineStr"/>
      <c r="T33" s="11" t="inlineStr">
        <is>
          <t>Figura das 6h28 só vem do Padeiro (bloco2); não consta da tabela de cobertura — SEM FONTE PRIMÁRIA NA CASA 6 para a figura/sacola e para a falsa pista do guarda-chuva que vem a seguir.</t>
        </is>
      </c>
    </row>
    <row r="34">
      <c r="A34" s="8" t="inlineStr">
        <is>
          <t>c4-033</t>
        </is>
      </c>
      <c r="B34" s="8" t="inlineStr">
        <is>
          <t>~9h13</t>
        </is>
      </c>
      <c r="C34" s="8" t="inlineStr">
        <is>
          <t>O Gerente</t>
        </is>
      </c>
      <c r="D34" s="8" t="inlineStr">
        <is>
          <t>todos</t>
        </is>
      </c>
      <c r="E34" s="8" t="inlineStr">
        <is>
          <t>presencial</t>
        </is>
      </c>
      <c r="F34" s="8" t="inlineStr">
        <is>
          <t>direta</t>
        </is>
      </c>
      <c r="G34" s="8" t="inlineStr">
        <is>
          <t>Cabo claro.</t>
        </is>
      </c>
      <c r="H34" s="8" t="inlineStr">
        <is>
          <t>pista falsa</t>
        </is>
      </c>
      <c r="I34" s="8" t="inlineStr"/>
      <c r="J34" s="8" t="inlineStr"/>
      <c r="K34" s="8" t="inlineStr"/>
      <c r="L34" s="8" t="inlineStr">
        <is>
          <t>toda casa</t>
        </is>
      </c>
      <c r="M34" s="8" t="inlineStr">
        <is>
          <t>não</t>
        </is>
      </c>
      <c r="N34" s="8" t="inlineStr"/>
      <c r="O34" s="8" t="inlineStr"/>
      <c r="P34" s="8" t="inlineStr"/>
      <c r="Q34" s="8" t="inlineStr"/>
      <c r="R34" s="8" t="inlineStr"/>
      <c r="S34" s="8" t="inlineStr"/>
      <c r="T34" s="8" t="inlineStr">
        <is>
          <t>Depende da fala do Padeiro; sem ele a falsa pista da farinha no guarda-chuva perde o gatilho.</t>
        </is>
      </c>
    </row>
    <row r="35">
      <c r="A35" s="9" t="inlineStr">
        <is>
          <t>c4-034</t>
        </is>
      </c>
      <c r="B35" s="9" t="inlineStr">
        <is>
          <t>~9h13</t>
        </is>
      </c>
      <c r="C35" s="9" t="inlineStr">
        <is>
          <t>A Auditora</t>
        </is>
      </c>
      <c r="D35" s="9" t="inlineStr">
        <is>
          <t>gerente</t>
        </is>
      </c>
      <c r="E35" s="9" t="inlineStr">
        <is>
          <t>presencial</t>
        </is>
      </c>
      <c r="F35" s="9" t="inlineStr">
        <is>
          <t>direta</t>
        </is>
      </c>
      <c r="G35" s="9" t="inlineStr">
        <is>
          <t>Comprei café às sete e trinta e oito. Pela frente.</t>
        </is>
      </c>
      <c r="H35" s="9" t="inlineStr">
        <is>
          <t>pista falsa</t>
        </is>
      </c>
      <c r="I35" s="9" t="inlineStr"/>
      <c r="J35" s="9" t="inlineStr"/>
      <c r="K35" s="9" t="inlineStr"/>
      <c r="L35" s="9" t="inlineStr">
        <is>
          <t>toda casa</t>
        </is>
      </c>
      <c r="M35" s="9" t="inlineStr">
        <is>
          <t>não</t>
        </is>
      </c>
      <c r="N35" s="9" t="inlineStr"/>
      <c r="O35" s="9" t="inlineStr"/>
      <c r="P35" s="9" t="inlineStr"/>
      <c r="Q35" s="9" t="inlineStr"/>
      <c r="R35" s="9" t="inlineStr"/>
      <c r="S35" s="9" t="inlineStr"/>
      <c r="T35" s="9" t="inlineStr">
        <is>
          <t>Explica a farinha na ponteira do guarda-chuva (falsa pista).</t>
        </is>
      </c>
    </row>
    <row r="36">
      <c r="A36" s="8" t="inlineStr">
        <is>
          <t>c4-035</t>
        </is>
      </c>
      <c r="B36" s="8" t="inlineStr">
        <is>
          <t>~9h13</t>
        </is>
      </c>
      <c r="C36" s="8" t="inlineStr">
        <is>
          <t>O Gerente</t>
        </is>
      </c>
      <c r="D36" s="8" t="inlineStr">
        <is>
          <t>auditora</t>
        </is>
      </c>
      <c r="E36" s="8" t="inlineStr">
        <is>
          <t>presencial</t>
        </is>
      </c>
      <c r="F36" s="8" t="inlineStr">
        <is>
          <t>direta</t>
        </is>
      </c>
      <c r="G36" s="8" t="inlineStr">
        <is>
          <t>E às seis e vinte e oito?</t>
        </is>
      </c>
      <c r="H36" s="8" t="inlineStr">
        <is>
          <t>pista falsa</t>
        </is>
      </c>
      <c r="I36" s="8" t="inlineStr"/>
      <c r="J36" s="8" t="inlineStr"/>
      <c r="K36" s="8" t="inlineStr"/>
      <c r="L36" s="8" t="inlineStr">
        <is>
          <t>toda casa</t>
        </is>
      </c>
      <c r="M36" s="8" t="inlineStr">
        <is>
          <t>não</t>
        </is>
      </c>
      <c r="N36" s="8" t="inlineStr"/>
      <c r="O36" s="8" t="inlineStr"/>
      <c r="P36" s="8" t="inlineStr"/>
      <c r="Q36" s="8" t="inlineStr"/>
      <c r="R36" s="8" t="inlineStr"/>
      <c r="S36" s="8" t="inlineStr"/>
      <c r="T36" s="8" t="inlineStr"/>
    </row>
    <row r="37">
      <c r="A37" s="9" t="inlineStr">
        <is>
          <t>c4-036</t>
        </is>
      </c>
      <c r="B37" s="9" t="inlineStr">
        <is>
          <t>~9h13</t>
        </is>
      </c>
      <c r="C37" s="9" t="inlineStr">
        <is>
          <t>A Auditora</t>
        </is>
      </c>
      <c r="D37" s="9" t="inlineStr">
        <is>
          <t>gerente</t>
        </is>
      </c>
      <c r="E37" s="9" t="inlineStr">
        <is>
          <t>presencial</t>
        </is>
      </c>
      <c r="F37" s="9" t="inlineStr">
        <is>
          <t>direta</t>
        </is>
      </c>
      <c r="G37" s="9" t="inlineStr">
        <is>
          <t>Dormindo. Sozinha. Sem testemunha.</t>
        </is>
      </c>
      <c r="H37" s="9" t="inlineStr">
        <is>
          <t>pista falsa</t>
        </is>
      </c>
      <c r="I37" s="9" t="inlineStr"/>
      <c r="J37" s="9" t="inlineStr"/>
      <c r="K37" s="9" t="inlineStr"/>
      <c r="L37" s="9" t="inlineStr">
        <is>
          <t>toda casa</t>
        </is>
      </c>
      <c r="M37" s="9" t="inlineStr">
        <is>
          <t>não</t>
        </is>
      </c>
      <c r="N37" s="9" t="inlineStr"/>
      <c r="O37" s="9" t="inlineStr"/>
      <c r="P37" s="9" t="inlineStr"/>
      <c r="Q37" s="9" t="inlineStr"/>
      <c r="R37" s="9" t="inlineStr"/>
      <c r="S37" s="9" t="inlineStr"/>
      <c r="T37" s="9" t="inlineStr"/>
    </row>
    <row r="38">
      <c r="A38" s="8" t="inlineStr">
        <is>
          <t>c4-037</t>
        </is>
      </c>
      <c r="B38" s="8" t="inlineStr">
        <is>
          <t>~9h14</t>
        </is>
      </c>
      <c r="C38" s="8" t="inlineStr">
        <is>
          <t>O Gerente</t>
        </is>
      </c>
      <c r="D38" s="8" t="inlineStr">
        <is>
          <t>todos</t>
        </is>
      </c>
      <c r="E38" s="8" t="inlineStr">
        <is>
          <t>presencial</t>
        </is>
      </c>
      <c r="F38" s="8" t="inlineStr">
        <is>
          <t>indireta</t>
        </is>
      </c>
      <c r="G38" s="8" t="inlineStr">
        <is>
          <t>A auditoria pode ter criado a crise para confirmar as próprias suspeitas.</t>
        </is>
      </c>
      <c r="H38" s="8" t="inlineStr">
        <is>
          <t>pista falsa</t>
        </is>
      </c>
      <c r="I38" s="8" t="inlineStr"/>
      <c r="J38" s="8" t="inlineStr"/>
      <c r="K38" s="8" t="inlineStr"/>
      <c r="L38" s="8" t="inlineStr">
        <is>
          <t>toda casa</t>
        </is>
      </c>
      <c r="M38" s="8" t="inlineStr">
        <is>
          <t>não</t>
        </is>
      </c>
      <c r="N38" s="8" t="inlineStr"/>
      <c r="O38" s="8" t="inlineStr"/>
      <c r="P38" s="8" t="inlineStr"/>
      <c r="Q38" s="8" t="inlineStr"/>
      <c r="R38" s="8" t="inlineStr"/>
      <c r="S38" s="8" t="inlineStr"/>
      <c r="T38" s="8" t="inlineStr"/>
    </row>
    <row r="39">
      <c r="A39" s="9" t="inlineStr">
        <is>
          <t>c4-038</t>
        </is>
      </c>
      <c r="B39" s="9" t="inlineStr">
        <is>
          <t>~9h14</t>
        </is>
      </c>
      <c r="C39" s="9" t="inlineStr">
        <is>
          <t>A Auditora</t>
        </is>
      </c>
      <c r="D39" s="9" t="inlineStr">
        <is>
          <t>gerente</t>
        </is>
      </c>
      <c r="E39" s="9" t="inlineStr">
        <is>
          <t>presencial</t>
        </is>
      </c>
      <c r="F39" s="9" t="inlineStr">
        <is>
          <t>direta</t>
        </is>
      </c>
      <c r="G39" s="9" t="inlineStr">
        <is>
          <t>A Gerência é a sua sala. A ordem saiu de lá. A passagem começa lá.</t>
        </is>
      </c>
      <c r="H39" s="9" t="inlineStr">
        <is>
          <t>prova</t>
        </is>
      </c>
      <c r="I39" s="9" t="inlineStr">
        <is>
          <t>A passagem</t>
        </is>
      </c>
      <c r="J39" s="9" t="inlineStr"/>
      <c r="K39" s="9" t="inlineStr"/>
      <c r="L39" s="9" t="inlineStr">
        <is>
          <t>toda casa</t>
        </is>
      </c>
      <c r="M39" s="9" t="inlineStr">
        <is>
          <t>não</t>
        </is>
      </c>
      <c r="N39" s="9" t="inlineStr"/>
      <c r="O39" s="9" t="inlineStr"/>
      <c r="P39" s="9" t="inlineStr"/>
      <c r="Q39" s="9" t="inlineStr"/>
      <c r="R39" s="9" t="inlineStr"/>
      <c r="S39" s="9" t="inlineStr"/>
      <c r="T39" s="9" t="inlineStr"/>
    </row>
    <row r="40">
      <c r="A40" s="8" t="inlineStr">
        <is>
          <t>c4-039</t>
        </is>
      </c>
      <c r="B40" s="8" t="inlineStr">
        <is>
          <t>~9h14</t>
        </is>
      </c>
      <c r="C40" s="8" t="inlineStr">
        <is>
          <t>O Gerente</t>
        </is>
      </c>
      <c r="D40" s="8" t="inlineStr">
        <is>
          <t>auditora</t>
        </is>
      </c>
      <c r="E40" s="8" t="inlineStr">
        <is>
          <t>presencial</t>
        </is>
      </c>
      <c r="F40" s="8" t="inlineStr">
        <is>
          <t>direta</t>
        </is>
      </c>
      <c r="G40" s="8" t="inlineStr">
        <is>
          <t>Minha sala não é minha culpa.</t>
        </is>
      </c>
      <c r="H40" s="8" t="inlineStr">
        <is>
          <t>ambiente</t>
        </is>
      </c>
      <c r="I40" s="8" t="inlineStr"/>
      <c r="J40" s="8" t="inlineStr"/>
      <c r="K40" s="8" t="inlineStr"/>
      <c r="L40" s="8" t="inlineStr">
        <is>
          <t>toda casa</t>
        </is>
      </c>
      <c r="M40" s="8" t="inlineStr">
        <is>
          <t>não</t>
        </is>
      </c>
      <c r="N40" s="8" t="inlineStr"/>
      <c r="O40" s="8" t="inlineStr"/>
      <c r="P40" s="8" t="inlineStr"/>
      <c r="Q40" s="8" t="inlineStr"/>
      <c r="R40" s="8" t="inlineStr"/>
      <c r="S40" s="8" t="inlineStr"/>
      <c r="T40" s="8" t="inlineStr"/>
    </row>
    <row r="41">
      <c r="A41" s="9" t="inlineStr">
        <is>
          <t>c4-040</t>
        </is>
      </c>
      <c r="B41" s="9" t="inlineStr">
        <is>
          <t>9h25</t>
        </is>
      </c>
      <c r="C41" s="9" t="inlineStr">
        <is>
          <t>O Operador de Rádio</t>
        </is>
      </c>
      <c r="D41" s="9" t="inlineStr">
        <is>
          <t>todos</t>
        </is>
      </c>
      <c r="E41" s="9" t="inlineStr">
        <is>
          <t>rádio</t>
        </is>
      </c>
      <c r="F41" s="9" t="inlineStr">
        <is>
          <t>direta</t>
        </is>
      </c>
      <c r="G41" s="9" t="inlineStr">
        <is>
          <t>A base abriu o malote 41 sob filmagem. Contagem em andamento.</t>
        </is>
      </c>
      <c r="H41" s="9" t="inlineStr">
        <is>
          <t>prova</t>
        </is>
      </c>
      <c r="I41" s="9" t="inlineStr"/>
      <c r="J41" s="9" t="inlineStr"/>
      <c r="K41" s="9" t="inlineStr"/>
      <c r="L41" s="9" t="inlineStr">
        <is>
          <t>toda casa</t>
        </is>
      </c>
      <c r="M41" s="9" t="inlineStr">
        <is>
          <t>não</t>
        </is>
      </c>
      <c r="N41" s="9" t="inlineStr"/>
      <c r="O41" s="9" t="inlineStr"/>
      <c r="P41" s="9" t="inlineStr"/>
      <c r="Q41" s="9" t="inlineStr"/>
      <c r="R41" s="9" t="inlineStr"/>
      <c r="S41" s="9" t="inlineStr"/>
      <c r="T41" s="9" t="inlineStr">
        <is>
          <t>Operador de Rádio é da casa 'completa', mas aqui é fonte primária usada em toda casa; precisa estar disponível (ou ter voz substituta) na casa de 6.</t>
        </is>
      </c>
    </row>
  </sheetData>
  <autoFilter ref="A1:T4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37"/>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c5-001</t>
        </is>
      </c>
      <c r="B2" s="8" t="inlineStr">
        <is>
          <t>9h31</t>
        </is>
      </c>
      <c r="C2" s="8" t="inlineStr">
        <is>
          <t>O Operador de Rádio</t>
        </is>
      </c>
      <c r="D2" s="8" t="inlineStr">
        <is>
          <t>todos</t>
        </is>
      </c>
      <c r="E2" s="8" t="inlineStr">
        <is>
          <t>rádio</t>
        </is>
      </c>
      <c r="F2" s="8" t="inlineStr">
        <is>
          <t>direta</t>
        </is>
      </c>
      <c r="G2" s="8" t="inlineStr">
        <is>
          <t>Quatrocentos e oitenta mil. Composição idêntica à guia. Todas verdadeiras.</t>
        </is>
      </c>
      <c r="H2" s="8" t="inlineStr">
        <is>
          <t>prova</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is>
          <t>Operador de Rádio é da casa 'completa', mas aqui é fonte primária usada em toda casa; precisa estar disponível (ou ter voz substituta) na casa de 6. A contagem da base é cânone fixo, mas não consta da tabela de cobertura.</t>
        </is>
      </c>
    </row>
    <row r="3">
      <c r="A3" s="9" t="inlineStr">
        <is>
          <t>c5-002</t>
        </is>
      </c>
      <c r="B3" s="9" t="inlineStr">
        <is>
          <t>~9h31</t>
        </is>
      </c>
      <c r="C3" s="9" t="inlineStr">
        <is>
          <t>O Caixa Novato</t>
        </is>
      </c>
      <c r="D3" s="9" t="inlineStr">
        <is>
          <t>todos</t>
        </is>
      </c>
      <c r="E3" s="9" t="inlineStr">
        <is>
          <t>presencial</t>
        </is>
      </c>
      <c r="F3" s="9" t="inlineStr">
        <is>
          <t>direta</t>
        </is>
      </c>
      <c r="G3" s="9" t="inlineStr">
        <is>
          <t>E se alguém colocou?</t>
        </is>
      </c>
      <c r="H3" s="9" t="inlineStr">
        <is>
          <t>prova</t>
        </is>
      </c>
      <c r="I3" s="9" t="inlineStr">
        <is>
          <t>"E se alguém colocou?"</t>
        </is>
      </c>
      <c r="J3" s="9" t="inlineStr"/>
      <c r="K3" s="9" t="inlineStr"/>
      <c r="L3" s="9" t="inlineStr">
        <is>
          <t>toda casa</t>
        </is>
      </c>
      <c r="M3" s="9" t="inlineStr">
        <is>
          <t>não</t>
        </is>
      </c>
      <c r="N3" s="9" t="inlineStr"/>
      <c r="O3" s="9" t="inlineStr"/>
      <c r="P3" s="9" t="inlineStr"/>
      <c r="Q3" s="9" t="inlineStr"/>
      <c r="R3" s="9" t="inlineStr"/>
      <c r="S3" s="9" t="inlineStr"/>
      <c r="T3" s="9" t="inlineStr">
        <is>
          <t>Fonte primária (apoio). O reforço da Farmacêutica não tem fala no texto (só o olhar).</t>
        </is>
      </c>
    </row>
    <row r="4">
      <c r="A4" s="8" t="inlineStr">
        <is>
          <t>c5-003</t>
        </is>
      </c>
      <c r="B4" s="8" t="inlineStr">
        <is>
          <t>~9h31</t>
        </is>
      </c>
      <c r="C4" s="8" t="inlineStr">
        <is>
          <t>O Gerente</t>
        </is>
      </c>
      <c r="D4" s="8" t="inlineStr">
        <is>
          <t>caixa_novato</t>
        </is>
      </c>
      <c r="E4" s="8" t="inlineStr">
        <is>
          <t>presencial</t>
        </is>
      </c>
      <c r="F4" s="8" t="inlineStr">
        <is>
          <t>direta</t>
        </is>
      </c>
      <c r="G4" s="8" t="inlineStr">
        <is>
          <t>Ninguém põe dinheiro num banco escondido.</t>
        </is>
      </c>
      <c r="H4" s="8" t="inlineStr">
        <is>
          <t>ambiente</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row>
    <row r="5">
      <c r="A5" s="9" t="inlineStr">
        <is>
          <t>c5-004</t>
        </is>
      </c>
      <c r="B5" s="9" t="inlineStr">
        <is>
          <t>~9h32</t>
        </is>
      </c>
      <c r="C5" s="9" t="inlineStr">
        <is>
          <t>O Caixa Novato</t>
        </is>
      </c>
      <c r="D5" s="9" t="inlineStr">
        <is>
          <t>gerente</t>
        </is>
      </c>
      <c r="E5" s="9" t="inlineStr">
        <is>
          <t>presencial</t>
        </is>
      </c>
      <c r="F5" s="9" t="inlineStr">
        <is>
          <t>direta</t>
        </is>
      </c>
      <c r="G5" s="9" t="inlineStr">
        <is>
          <t>Põe. Quando o caixa não fecha. Eu já pus vinte reais do meu bolso no primeiro mês, para ninguém saber que eu tinha errado.</t>
        </is>
      </c>
      <c r="H5" s="9" t="inlineStr">
        <is>
          <t>prova</t>
        </is>
      </c>
      <c r="I5" s="9" t="inlineStr">
        <is>
          <t>"E se alguém colocou?"</t>
        </is>
      </c>
      <c r="J5" s="9" t="inlineStr"/>
      <c r="K5" s="9" t="inlineStr"/>
      <c r="L5" s="9" t="inlineStr">
        <is>
          <t>toda casa</t>
        </is>
      </c>
      <c r="M5" s="9" t="inlineStr">
        <is>
          <t>não</t>
        </is>
      </c>
      <c r="N5" s="9" t="inlineStr"/>
      <c r="O5" s="9" t="inlineStr"/>
      <c r="P5" s="9" t="inlineStr"/>
      <c r="Q5" s="9" t="inlineStr"/>
      <c r="R5" s="9" t="inlineStr"/>
      <c r="S5" s="9" t="inlineStr"/>
      <c r="T5" s="9" t="inlineStr"/>
    </row>
    <row r="6">
      <c r="A6" s="8" t="inlineStr">
        <is>
          <t>c5-005</t>
        </is>
      </c>
      <c r="B6" s="8" t="inlineStr">
        <is>
          <t>~9h33</t>
        </is>
      </c>
      <c r="C6" s="8" t="inlineStr">
        <is>
          <t>A Operadora da Central</t>
        </is>
      </c>
      <c r="D6" s="8" t="inlineStr">
        <is>
          <t>todos</t>
        </is>
      </c>
      <c r="E6" s="8" t="inlineStr">
        <is>
          <t>presencial</t>
        </is>
      </c>
      <c r="F6" s="8" t="inlineStr">
        <is>
          <t>indireta</t>
        </is>
      </c>
      <c r="G6" s="8" t="inlineStr">
        <is>
          <t>Nas consolidações do Cofre, a sequência está limpa, dia após dia, exceto por um degrau de noventa e seis mil reais, onze dias atrás. O depósito do frigorífico aparece duas vezes: às 18h54 e às 19h11.</t>
        </is>
      </c>
      <c r="H6" s="8" t="inlineStr">
        <is>
          <t>prova</t>
        </is>
      </c>
      <c r="I6" s="8" t="inlineStr">
        <is>
          <t>Duplicidade de R$ 96.000</t>
        </is>
      </c>
      <c r="J6" s="8" t="inlineStr"/>
      <c r="K6" s="8" t="inlineStr"/>
      <c r="L6" s="8" t="inlineStr">
        <is>
          <t>toda casa</t>
        </is>
      </c>
      <c r="M6" s="8" t="inlineStr">
        <is>
          <t>não</t>
        </is>
      </c>
      <c r="N6" s="8" t="inlineStr"/>
      <c r="O6" s="8" t="inlineStr"/>
      <c r="P6" s="8" t="inlineStr"/>
      <c r="Q6" s="8" t="inlineStr"/>
      <c r="R6" s="8" t="inlineStr"/>
      <c r="S6" s="8" t="inlineStr"/>
      <c r="T6" s="8" t="inlineStr">
        <is>
          <t>Lido em conjunto com o Caixa Veterano no terminal dos Guichês; conteúdo vem pelo narrador.</t>
        </is>
      </c>
    </row>
    <row r="7">
      <c r="A7" s="9" t="inlineStr">
        <is>
          <t>c5-006</t>
        </is>
      </c>
      <c r="B7" s="9" t="inlineStr">
        <is>
          <t>~9h33</t>
        </is>
      </c>
      <c r="C7" s="9" t="inlineStr">
        <is>
          <t>O Gerente</t>
        </is>
      </c>
      <c r="D7" s="9" t="inlineStr">
        <is>
          <t>todos</t>
        </is>
      </c>
      <c r="E7" s="9" t="inlineStr">
        <is>
          <t>presencial</t>
        </is>
      </c>
      <c r="F7" s="9" t="inlineStr">
        <is>
          <t>direta</t>
        </is>
      </c>
      <c r="G7" s="9" t="inlineStr">
        <is>
          <t>Dois depósitos?</t>
        </is>
      </c>
      <c r="H7" s="9" t="inlineStr">
        <is>
          <t>prova</t>
        </is>
      </c>
      <c r="I7" s="9" t="inlineStr">
        <is>
          <t>Duplicidade de R$ 96.000</t>
        </is>
      </c>
      <c r="J7" s="9" t="inlineStr"/>
      <c r="K7" s="9" t="inlineStr"/>
      <c r="L7" s="9" t="inlineStr">
        <is>
          <t>toda casa</t>
        </is>
      </c>
      <c r="M7" s="9" t="inlineStr">
        <is>
          <t>não</t>
        </is>
      </c>
      <c r="N7" s="9" t="inlineStr"/>
      <c r="O7" s="9" t="inlineStr"/>
      <c r="P7" s="9" t="inlineStr"/>
      <c r="Q7" s="9" t="inlineStr"/>
      <c r="R7" s="9" t="inlineStr"/>
      <c r="S7" s="9" t="inlineStr"/>
      <c r="T7" s="9" t="inlineStr"/>
    </row>
    <row r="8">
      <c r="A8" s="8" t="inlineStr">
        <is>
          <t>c5-007</t>
        </is>
      </c>
      <c r="B8" s="8" t="inlineStr">
        <is>
          <t>~9h33</t>
        </is>
      </c>
      <c r="C8" s="8" t="inlineStr">
        <is>
          <t>O Caixa Veterano</t>
        </is>
      </c>
      <c r="D8" s="8" t="inlineStr">
        <is>
          <t>gerente</t>
        </is>
      </c>
      <c r="E8" s="8" t="inlineStr">
        <is>
          <t>presencial</t>
        </is>
      </c>
      <c r="F8" s="8" t="inlineStr">
        <is>
          <t>direta</t>
        </is>
      </c>
      <c r="G8" s="8" t="inlineStr">
        <is>
          <t>Um recibo. Fui eu que contei. Noventa e seis mil, uma vez.</t>
        </is>
      </c>
      <c r="H8" s="8" t="inlineStr">
        <is>
          <t>prova</t>
        </is>
      </c>
      <c r="I8" s="8" t="inlineStr">
        <is>
          <t>Duplicidade de R$ 96.000</t>
        </is>
      </c>
      <c r="J8" s="8" t="inlineStr"/>
      <c r="K8" s="8" t="inlineStr"/>
      <c r="L8" s="8" t="inlineStr">
        <is>
          <t>toda casa</t>
        </is>
      </c>
      <c r="M8" s="8" t="inlineStr">
        <is>
          <t>não</t>
        </is>
      </c>
      <c r="N8" s="8" t="inlineStr"/>
      <c r="O8" s="8" t="inlineStr"/>
      <c r="P8" s="8" t="inlineStr"/>
      <c r="Q8" s="8" t="inlineStr"/>
      <c r="R8" s="8" t="inlineStr"/>
      <c r="S8" s="8" t="inlineStr"/>
      <c r="T8" s="8" t="inlineStr"/>
    </row>
    <row r="9">
      <c r="A9" s="9" t="inlineStr">
        <is>
          <t>c5-008</t>
        </is>
      </c>
      <c r="B9" s="9" t="inlineStr">
        <is>
          <t>~9h34</t>
        </is>
      </c>
      <c r="C9" s="9" t="inlineStr">
        <is>
          <t>A Operadora da Central</t>
        </is>
      </c>
      <c r="D9" s="9" t="inlineStr">
        <is>
          <t>todos</t>
        </is>
      </c>
      <c r="E9" s="9" t="inlineStr">
        <is>
          <t>presencial</t>
        </is>
      </c>
      <c r="F9" s="9" t="inlineStr">
        <is>
          <t>indireta</t>
        </is>
      </c>
      <c r="G9" s="9" t="inlineStr">
        <is>
          <t>Desde aquela noite, o sistema guarda noventa e seis mil reais que nenhuma mão tocou.</t>
        </is>
      </c>
      <c r="H9" s="9" t="inlineStr">
        <is>
          <t>prova</t>
        </is>
      </c>
      <c r="I9" s="9" t="inlineStr">
        <is>
          <t>Duplicidade de R$ 96.000</t>
        </is>
      </c>
      <c r="J9" s="9" t="inlineStr"/>
      <c r="K9" s="9" t="inlineStr"/>
      <c r="L9" s="9" t="inlineStr">
        <is>
          <t>toda casa</t>
        </is>
      </c>
      <c r="M9" s="9" t="inlineStr">
        <is>
          <t>não</t>
        </is>
      </c>
      <c r="N9" s="9" t="inlineStr"/>
      <c r="O9" s="9" t="inlineStr"/>
      <c r="P9" s="9" t="inlineStr"/>
      <c r="Q9" s="9" t="inlineStr"/>
      <c r="R9" s="9" t="inlineStr"/>
      <c r="S9" s="9" t="inlineStr"/>
      <c r="T9" s="9" t="inlineStr">
        <is>
          <t>Liga a duplicidade ao '96.000' fantasma do Cap. 3.</t>
        </is>
      </c>
    </row>
    <row r="10">
      <c r="A10" s="8" t="inlineStr">
        <is>
          <t>c5-009</t>
        </is>
      </c>
      <c r="B10" s="8" t="inlineStr">
        <is>
          <t>~9h35</t>
        </is>
      </c>
      <c r="C10" s="8" t="inlineStr">
        <is>
          <t>A Operadora da Central</t>
        </is>
      </c>
      <c r="D10" s="8" t="inlineStr">
        <is>
          <t>todos</t>
        </is>
      </c>
      <c r="E10" s="8" t="inlineStr">
        <is>
          <t>presencial</t>
        </is>
      </c>
      <c r="F10" s="8" t="inlineStr">
        <is>
          <t>indireta</t>
        </is>
      </c>
      <c r="G10" s="8" t="inlineStr">
        <is>
          <t>Silêncio. Vou pôr no alto-falante o microfone ambiente da Central.</t>
        </is>
      </c>
      <c r="H10" s="8" t="inlineStr">
        <is>
          <t>ambiente</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row>
    <row r="11">
      <c r="A11" s="9" t="inlineStr">
        <is>
          <t>c5-010</t>
        </is>
      </c>
      <c r="B11" s="9" t="inlineStr">
        <is>
          <t>~9h35</t>
        </is>
      </c>
      <c r="C11" s="9" t="inlineStr">
        <is>
          <t>Registro / sistema</t>
        </is>
      </c>
      <c r="D11" s="9" t="inlineStr">
        <is>
          <t>todos</t>
        </is>
      </c>
      <c r="E11" s="9" t="inlineStr">
        <is>
          <t>registro</t>
        </is>
      </c>
      <c r="F11" s="9" t="inlineStr">
        <is>
          <t>indireta</t>
        </is>
      </c>
      <c r="G11" s="9" t="inlineStr">
        <is>
          <t>Microfone ambiente da Central: 7h58:05, a ordem. 7h58:12, um estalo seco quando a imagem cai. Depois, quase nada: o ventilador do Rack, a chuva no telhado. 7h59:24, um clangor curto de metal.</t>
        </is>
      </c>
      <c r="H11" s="9" t="inlineStr">
        <is>
          <t>prova</t>
        </is>
      </c>
      <c r="I11" s="9" t="inlineStr">
        <is>
          <t>Tampa do cesto às 7h59:24</t>
        </is>
      </c>
      <c r="J11" s="9" t="inlineStr"/>
      <c r="K11" s="9" t="inlineStr"/>
      <c r="L11" s="9" t="inlineStr">
        <is>
          <t>toda casa</t>
        </is>
      </c>
      <c r="M11" s="9" t="inlineStr">
        <is>
          <t>não</t>
        </is>
      </c>
      <c r="N11" s="9" t="inlineStr"/>
      <c r="O11" s="9" t="inlineStr"/>
      <c r="P11" s="9" t="inlineStr"/>
      <c r="Q11" s="9" t="inlineStr"/>
      <c r="R11" s="9" t="inlineStr"/>
      <c r="S11" s="9" t="inlineStr"/>
      <c r="T11" s="9" t="inlineStr">
        <is>
          <t>Gravação reproduzida pela Operadora.</t>
        </is>
      </c>
    </row>
    <row r="12">
      <c r="A12" s="8" t="inlineStr">
        <is>
          <t>c5-011</t>
        </is>
      </c>
      <c r="B12" s="8" t="inlineStr">
        <is>
          <t>~9h35</t>
        </is>
      </c>
      <c r="C12" s="8" t="inlineStr">
        <is>
          <t>A Operadora da Central</t>
        </is>
      </c>
      <c r="D12" s="8" t="inlineStr">
        <is>
          <t>todos</t>
        </is>
      </c>
      <c r="E12" s="8" t="inlineStr">
        <is>
          <t>presencial</t>
        </is>
      </c>
      <c r="F12" s="8" t="inlineStr">
        <is>
          <t>direta</t>
        </is>
      </c>
      <c r="G12" s="8" t="inlineStr">
        <is>
          <t>A tampa do cesto do Arquivo. Ouço esse som toda manhã, quando a limpeza esvazia.</t>
        </is>
      </c>
      <c r="H12" s="8" t="inlineStr">
        <is>
          <t>prova</t>
        </is>
      </c>
      <c r="I12" s="8" t="inlineStr">
        <is>
          <t>Tampa do cesto às 7h59:24</t>
        </is>
      </c>
      <c r="J12" s="8" t="inlineStr"/>
      <c r="K12" s="8" t="inlineStr"/>
      <c r="L12" s="8" t="inlineStr">
        <is>
          <t>toda casa</t>
        </is>
      </c>
      <c r="M12" s="8" t="inlineStr">
        <is>
          <t>não</t>
        </is>
      </c>
      <c r="N12" s="8" t="inlineStr"/>
      <c r="O12" s="8" t="inlineStr"/>
      <c r="P12" s="8" t="inlineStr"/>
      <c r="Q12" s="8" t="inlineStr"/>
      <c r="R12" s="8" t="inlineStr"/>
      <c r="S12" s="8" t="inlineStr"/>
      <c r="T12" s="8" t="inlineStr">
        <is>
          <t>Fonte primária.</t>
        </is>
      </c>
    </row>
    <row r="13">
      <c r="A13" s="9" t="inlineStr">
        <is>
          <t>c5-012</t>
        </is>
      </c>
      <c r="B13" s="9" t="inlineStr">
        <is>
          <t>~9h35</t>
        </is>
      </c>
      <c r="C13" s="9" t="inlineStr">
        <is>
          <t>O Funcionário da Limpeza</t>
        </is>
      </c>
      <c r="D13" s="9" t="inlineStr">
        <is>
          <t>operadora</t>
        </is>
      </c>
      <c r="E13" s="9" t="inlineStr">
        <is>
          <t>presencial</t>
        </is>
      </c>
      <c r="F13" s="9" t="inlineStr">
        <is>
          <t>indireta</t>
        </is>
      </c>
      <c r="G13" s="9" t="inlineStr">
        <is>
          <t>Confirmo.</t>
        </is>
      </c>
      <c r="H13" s="9" t="inlineStr">
        <is>
          <t>reforço</t>
        </is>
      </c>
      <c r="I13" s="9" t="inlineStr">
        <is>
          <t>Tampa do cesto às 7h59:24</t>
        </is>
      </c>
      <c r="J13" s="9" t="inlineStr"/>
      <c r="K13" s="9" t="inlineStr"/>
      <c r="L13" s="9" t="inlineStr">
        <is>
          <t>casa ≥ 8</t>
        </is>
      </c>
      <c r="M13" s="9" t="inlineStr">
        <is>
          <t>sim</t>
        </is>
      </c>
      <c r="N13" s="9" t="inlineStr"/>
      <c r="O13" s="9" t="inlineStr"/>
      <c r="P13" s="9" t="inlineStr"/>
      <c r="Q13" s="9" t="inlineStr"/>
      <c r="R13" s="9" t="inlineStr"/>
      <c r="S13" s="9" t="inlineStr"/>
      <c r="T13" s="9" t="inlineStr">
        <is>
          <t>No texto é só um aceno de cabeça.</t>
        </is>
      </c>
    </row>
    <row r="14">
      <c r="A14" s="8" t="inlineStr">
        <is>
          <t>c5-013</t>
        </is>
      </c>
      <c r="B14" s="8" t="inlineStr">
        <is>
          <t>~9h35</t>
        </is>
      </c>
      <c r="C14" s="8" t="inlineStr">
        <is>
          <t>Registro / sistema</t>
        </is>
      </c>
      <c r="D14" s="8" t="inlineStr">
        <is>
          <t>todos</t>
        </is>
      </c>
      <c r="E14" s="8" t="inlineStr">
        <is>
          <t>registro</t>
        </is>
      </c>
      <c r="F14" s="8" t="inlineStr">
        <is>
          <t>indireta</t>
        </is>
      </c>
      <c r="G14" s="8" t="inlineStr">
        <is>
          <t>Microfone ambiente da Central: 7h59:39, a imagem volta.</t>
        </is>
      </c>
      <c r="H14" s="8" t="inlineStr">
        <is>
          <t>prova</t>
        </is>
      </c>
      <c r="I14" s="8" t="inlineStr">
        <is>
          <t>Tampa do cesto às 7h59:24</t>
        </is>
      </c>
      <c r="J14" s="8" t="inlineStr"/>
      <c r="K14" s="8" t="inlineStr"/>
      <c r="L14" s="8" t="inlineStr">
        <is>
          <t>toda casa</t>
        </is>
      </c>
      <c r="M14" s="8" t="inlineStr">
        <is>
          <t>não</t>
        </is>
      </c>
      <c r="N14" s="8" t="inlineStr"/>
      <c r="O14" s="8" t="inlineStr"/>
      <c r="P14" s="8" t="inlineStr"/>
      <c r="Q14" s="8" t="inlineStr"/>
      <c r="R14" s="8" t="inlineStr"/>
      <c r="S14" s="8" t="inlineStr"/>
      <c r="T14" s="8" t="inlineStr"/>
    </row>
    <row r="15">
      <c r="A15" s="9" t="inlineStr">
        <is>
          <t>c5-014</t>
        </is>
      </c>
      <c r="B15" s="9" t="inlineStr">
        <is>
          <t>~9h36</t>
        </is>
      </c>
      <c r="C15" s="9" t="inlineStr">
        <is>
          <t>O Caixa Novato</t>
        </is>
      </c>
      <c r="D15" s="9" t="inlineStr">
        <is>
          <t>todos</t>
        </is>
      </c>
      <c r="E15" s="9" t="inlineStr">
        <is>
          <t>presencial</t>
        </is>
      </c>
      <c r="F15" s="9" t="inlineStr">
        <is>
          <t>indireta</t>
        </is>
      </c>
      <c r="G15" s="9" t="inlineStr">
        <is>
          <t>O primeiro raspado veio logo depois da ordem. O segundo, logo depois de a imagem voltar.</t>
        </is>
      </c>
      <c r="H15" s="9" t="inlineStr">
        <is>
          <t>prova</t>
        </is>
      </c>
      <c r="I15" s="9" t="inlineStr">
        <is>
          <t>A parede raspou duas vezes</t>
        </is>
      </c>
      <c r="J15" s="9" t="inlineStr"/>
      <c r="K15" s="9" t="inlineStr"/>
      <c r="L15" s="9" t="inlineStr">
        <is>
          <t>toda casa</t>
        </is>
      </c>
      <c r="M15" s="9" t="inlineStr">
        <is>
          <t>não</t>
        </is>
      </c>
      <c r="N15" s="9" t="inlineStr"/>
      <c r="O15" s="9" t="inlineStr"/>
      <c r="P15" s="9" t="inlineStr"/>
      <c r="Q15" s="9" t="inlineStr"/>
      <c r="R15" s="9" t="inlineStr"/>
      <c r="S15" s="9" t="inlineStr"/>
      <c r="T15" s="9" t="inlineStr">
        <is>
          <t>Contradiz o cânone: o retorno à Gerência é às 7h59:54, depois de a imagem voltar (7h59:39).</t>
        </is>
      </c>
    </row>
    <row r="16">
      <c r="A16" s="8" t="inlineStr">
        <is>
          <t>c5-015</t>
        </is>
      </c>
      <c r="B16" s="8" t="inlineStr">
        <is>
          <t>~9h36</t>
        </is>
      </c>
      <c r="C16" s="8" t="inlineStr">
        <is>
          <t>A Auditora</t>
        </is>
      </c>
      <c r="D16" s="8" t="inlineStr">
        <is>
          <t>todos</t>
        </is>
      </c>
      <c r="E16" s="8" t="inlineStr">
        <is>
          <t>presencial</t>
        </is>
      </c>
      <c r="F16" s="8" t="inlineStr">
        <is>
          <t>direta</t>
        </is>
      </c>
      <c r="G16" s="8" t="inlineStr">
        <is>
          <t>Então alguém saiu da parede, foi ao Arquivo, ao cesto, e voltou para a parede. Com a câmera cega o tempo todo em que esteve à vista dela.</t>
        </is>
      </c>
      <c r="H16" s="8" t="inlineStr">
        <is>
          <t>prova</t>
        </is>
      </c>
      <c r="I16" s="8" t="inlineStr"/>
      <c r="J16" s="8" t="inlineStr"/>
      <c r="K16" s="8" t="inlineStr"/>
      <c r="L16" s="8" t="inlineStr">
        <is>
          <t>toda casa</t>
        </is>
      </c>
      <c r="M16" s="8" t="inlineStr">
        <is>
          <t>não</t>
        </is>
      </c>
      <c r="N16" s="8" t="inlineStr"/>
      <c r="O16" s="8" t="inlineStr"/>
      <c r="P16" s="8" t="inlineStr"/>
      <c r="Q16" s="8" t="inlineStr"/>
      <c r="R16" s="8" t="inlineStr"/>
      <c r="S16" s="8" t="inlineStr"/>
      <c r="T16" s="8" t="inlineStr"/>
    </row>
    <row r="17">
      <c r="A17" s="9" t="inlineStr">
        <is>
          <t>c5-016</t>
        </is>
      </c>
      <c r="B17" s="9" t="inlineStr">
        <is>
          <t>~9h37</t>
        </is>
      </c>
      <c r="C17" s="9" t="inlineStr">
        <is>
          <t>A Auditora</t>
        </is>
      </c>
      <c r="D17" s="9" t="inlineStr">
        <is>
          <t>operadora</t>
        </is>
      </c>
      <c r="E17" s="9" t="inlineStr">
        <is>
          <t>presencial</t>
        </is>
      </c>
      <c r="F17" s="9" t="inlineStr">
        <is>
          <t>indireta</t>
        </is>
      </c>
      <c r="G17" s="9" t="inlineStr">
        <is>
          <t>Quero o registro do sensor da porta lateral.</t>
        </is>
      </c>
      <c r="H17" s="9" t="inlineStr">
        <is>
          <t>prova</t>
        </is>
      </c>
      <c r="I17" s="9" t="inlineStr">
        <is>
          <t>Porta lateral às 6h36 e 7h06</t>
        </is>
      </c>
      <c r="J17" s="9" t="inlineStr"/>
      <c r="K17" s="9" t="inlineStr"/>
      <c r="L17" s="9" t="inlineStr">
        <is>
          <t>toda casa</t>
        </is>
      </c>
      <c r="M17" s="9" t="inlineStr">
        <is>
          <t>não</t>
        </is>
      </c>
      <c r="N17" s="9" t="inlineStr"/>
      <c r="O17" s="9" t="inlineStr"/>
      <c r="P17" s="9" t="inlineStr"/>
      <c r="Q17" s="9" t="inlineStr"/>
      <c r="R17" s="9" t="inlineStr"/>
      <c r="S17" s="9" t="inlineStr"/>
      <c r="T17" s="9" t="inlineStr">
        <is>
          <t>A ligação com 'Procurem quem abriu antes' é pensamento da Auditora, não fala.</t>
        </is>
      </c>
    </row>
    <row r="18">
      <c r="A18" s="8" t="inlineStr">
        <is>
          <t>c5-017</t>
        </is>
      </c>
      <c r="B18" s="8" t="inlineStr">
        <is>
          <t>9h40</t>
        </is>
      </c>
      <c r="C18" s="8" t="inlineStr">
        <is>
          <t>Registro / sistema</t>
        </is>
      </c>
      <c r="D18" s="8" t="inlineStr">
        <is>
          <t>todos</t>
        </is>
      </c>
      <c r="E18" s="8" t="inlineStr">
        <is>
          <t>registro</t>
        </is>
      </c>
      <c r="F18" s="8" t="inlineStr">
        <is>
          <t>indireta</t>
        </is>
      </c>
      <c r="G18" s="8" t="inlineStr">
        <is>
          <t>Sensor da porta lateral (central regional): 6h36, aberta por fora, com chave mecânica. 7h06, aberta por dentro, pela barra. 7h40, por fora, com chave. 7h55, aberta por dentro, pela barra; depois, repetido até 7h59:51: porta não travada.</t>
        </is>
      </c>
      <c r="H18" s="8" t="inlineStr">
        <is>
          <t>prova</t>
        </is>
      </c>
      <c r="I18" s="8" t="inlineStr">
        <is>
          <t>Porta lateral às 6h36 e 7h06</t>
        </is>
      </c>
      <c r="J18" s="8" t="inlineStr"/>
      <c r="K18" s="8" t="inlineStr"/>
      <c r="L18" s="8" t="inlineStr">
        <is>
          <t>toda casa</t>
        </is>
      </c>
      <c r="M18" s="8" t="inlineStr">
        <is>
          <t>não</t>
        </is>
      </c>
      <c r="N18" s="8" t="inlineStr"/>
      <c r="O18" s="8" t="inlineStr"/>
      <c r="P18" s="8" t="inlineStr"/>
      <c r="Q18" s="8" t="inlineStr"/>
      <c r="R18" s="8" t="inlineStr"/>
      <c r="S18" s="8" t="inlineStr"/>
      <c r="T18" s="8" t="inlineStr">
        <is>
          <t>Fonte primária: sensor, relatado pela Operadora (registro só recebido pela central regional).</t>
        </is>
      </c>
    </row>
    <row r="19">
      <c r="A19" s="9" t="inlineStr">
        <is>
          <t>c5-018</t>
        </is>
      </c>
      <c r="B19" s="9" t="inlineStr">
        <is>
          <t>~9h40</t>
        </is>
      </c>
      <c r="C19" s="9" t="inlineStr">
        <is>
          <t>O Técnico</t>
        </is>
      </c>
      <c r="D19" s="9" t="inlineStr">
        <is>
          <t>todos</t>
        </is>
      </c>
      <c r="E19" s="9" t="inlineStr">
        <is>
          <t>presencial</t>
        </is>
      </c>
      <c r="F19" s="9" t="inlineStr">
        <is>
          <t>direta</t>
        </is>
      </c>
      <c r="G19" s="9" t="inlineStr">
        <is>
          <t>Com chuva, a lingueta não trava sozinha.</t>
        </is>
      </c>
      <c r="H19" s="9" t="inlineStr">
        <is>
          <t>prova</t>
        </is>
      </c>
      <c r="I19" s="9" t="inlineStr"/>
      <c r="J19" s="9" t="inlineStr"/>
      <c r="K19" s="9" t="inlineStr"/>
      <c r="L19" s="9" t="inlineStr">
        <is>
          <t>toda casa</t>
        </is>
      </c>
      <c r="M19" s="9" t="inlineStr">
        <is>
          <t>não</t>
        </is>
      </c>
      <c r="N19" s="9" t="inlineStr"/>
      <c r="O19" s="9" t="inlineStr"/>
      <c r="P19" s="9" t="inlineStr"/>
      <c r="Q19" s="9" t="inlineStr"/>
      <c r="R19" s="9" t="inlineStr"/>
      <c r="S19" s="9" t="inlineStr"/>
      <c r="T19" s="9" t="inlineStr"/>
    </row>
    <row r="20">
      <c r="A20" s="8" t="inlineStr">
        <is>
          <t>c5-019</t>
        </is>
      </c>
      <c r="B20" s="8" t="inlineStr">
        <is>
          <t>~9h41</t>
        </is>
      </c>
      <c r="C20" s="8" t="inlineStr">
        <is>
          <t>A Auditora</t>
        </is>
      </c>
      <c r="D20" s="8" t="inlineStr">
        <is>
          <t>todos</t>
        </is>
      </c>
      <c r="E20" s="8" t="inlineStr">
        <is>
          <t>presencial</t>
        </is>
      </c>
      <c r="F20" s="8" t="inlineStr">
        <is>
          <t>indireta</t>
        </is>
      </c>
      <c r="G20" s="8" t="inlineStr">
        <is>
          <t>Às 6h36, nenhum crachá do dia tinha passado pela Porta Giratória. Alguém abriu antes.</t>
        </is>
      </c>
      <c r="H20" s="8" t="inlineStr">
        <is>
          <t>prova</t>
        </is>
      </c>
      <c r="I20" s="8" t="inlineStr">
        <is>
          <t>Porta lateral às 6h36 e 7h06</t>
        </is>
      </c>
      <c r="J20" s="8" t="inlineStr"/>
      <c r="K20" s="8" t="inlineStr"/>
      <c r="L20" s="8" t="inlineStr">
        <is>
          <t>toda casa</t>
        </is>
      </c>
      <c r="M20" s="8" t="inlineStr">
        <is>
          <t>não</t>
        </is>
      </c>
      <c r="N20" s="8" t="inlineStr"/>
      <c r="O20" s="8" t="inlineStr"/>
      <c r="P20" s="8" t="inlineStr"/>
      <c r="Q20" s="8" t="inlineStr"/>
      <c r="R20" s="8" t="inlineStr"/>
      <c r="S20" s="8" t="inlineStr"/>
      <c r="T20" s="8" t="inlineStr">
        <is>
          <t>No texto é discurso indireto livre (pensamento); precisa ser verbalizado no jogo.</t>
        </is>
      </c>
    </row>
    <row r="21">
      <c r="A21" s="9" t="inlineStr">
        <is>
          <t>c5-020</t>
        </is>
      </c>
      <c r="B21" s="9" t="inlineStr">
        <is>
          <t>~9h41</t>
        </is>
      </c>
      <c r="C21" s="9" t="inlineStr">
        <is>
          <t>A Auditora</t>
        </is>
      </c>
      <c r="D21" s="9" t="inlineStr">
        <is>
          <t>todos</t>
        </is>
      </c>
      <c r="E21" s="9" t="inlineStr">
        <is>
          <t>presencial</t>
        </is>
      </c>
      <c r="F21" s="9" t="inlineStr">
        <is>
          <t>direta</t>
        </is>
      </c>
      <c r="G21" s="9" t="inlineStr">
        <is>
          <t>Quem tem chave da porta lateral?</t>
        </is>
      </c>
      <c r="H21" s="9" t="inlineStr">
        <is>
          <t>prova</t>
        </is>
      </c>
      <c r="I21" s="9" t="inlineStr"/>
      <c r="J21" s="9" t="inlineStr"/>
      <c r="K21" s="9" t="inlineStr"/>
      <c r="L21" s="9" t="inlineStr">
        <is>
          <t>toda casa</t>
        </is>
      </c>
      <c r="M21" s="9" t="inlineStr">
        <is>
          <t>não</t>
        </is>
      </c>
      <c r="N21" s="9" t="inlineStr"/>
      <c r="O21" s="9" t="inlineStr"/>
      <c r="P21" s="9" t="inlineStr"/>
      <c r="Q21" s="9" t="inlineStr"/>
      <c r="R21" s="9" t="inlineStr"/>
      <c r="S21" s="9" t="inlineStr"/>
      <c r="T21" s="9" t="inlineStr"/>
    </row>
    <row r="22">
      <c r="A22" s="8" t="inlineStr">
        <is>
          <t>c5-021</t>
        </is>
      </c>
      <c r="B22" s="8" t="inlineStr">
        <is>
          <t>~9h41</t>
        </is>
      </c>
      <c r="C22" s="8" t="inlineStr">
        <is>
          <t>O Subgerente</t>
        </is>
      </c>
      <c r="D22" s="8" t="inlineStr">
        <is>
          <t>auditora</t>
        </is>
      </c>
      <c r="E22" s="8" t="inlineStr">
        <is>
          <t>presencial</t>
        </is>
      </c>
      <c r="F22" s="8" t="inlineStr">
        <is>
          <t>direta</t>
        </is>
      </c>
      <c r="G22" s="8" t="inlineStr">
        <is>
          <t>A escala de abertura. O Gerente, eu e o tesoureiro.</t>
        </is>
      </c>
      <c r="H22" s="8" t="inlineStr">
        <is>
          <t>reforço</t>
        </is>
      </c>
      <c r="I22" s="8" t="inlineStr"/>
      <c r="J22" s="8" t="inlineStr"/>
      <c r="K22" s="8" t="inlineStr"/>
      <c r="L22" s="8" t="inlineStr">
        <is>
          <t>casa ≥ 8</t>
        </is>
      </c>
      <c r="M22" s="8" t="inlineStr">
        <is>
          <t>sim</t>
        </is>
      </c>
      <c r="N22" s="8" t="inlineStr"/>
      <c r="O22" s="8" t="inlineStr"/>
      <c r="P22" s="8" t="inlineStr"/>
      <c r="Q22" s="8" t="inlineStr"/>
      <c r="R22" s="8" t="inlineStr"/>
      <c r="S22" s="8" t="inlineStr"/>
      <c r="T22" s="8" t="inlineStr">
        <is>
          <t>Fala do Subgerente que sai nas casas sem ele (canone.md). Sem substituto: na casa 6 ninguém lista a escala de abertura como portadora da chave.</t>
        </is>
      </c>
    </row>
    <row r="23">
      <c r="A23" s="9" t="inlineStr">
        <is>
          <t>c5-022</t>
        </is>
      </c>
      <c r="B23" s="9" t="inlineStr">
        <is>
          <t>~9h41</t>
        </is>
      </c>
      <c r="C23" s="9" t="inlineStr">
        <is>
          <t>O Funcionário da Limpeza</t>
        </is>
      </c>
      <c r="D23" s="9" t="inlineStr">
        <is>
          <t>auditora</t>
        </is>
      </c>
      <c r="E23" s="9" t="inlineStr">
        <is>
          <t>presencial</t>
        </is>
      </c>
      <c r="F23" s="9" t="inlineStr">
        <is>
          <t>direta</t>
        </is>
      </c>
      <c r="G23" s="9" t="inlineStr">
        <is>
          <t>Eu.</t>
        </is>
      </c>
      <c r="H23" s="9" t="inlineStr">
        <is>
          <t>reforço</t>
        </is>
      </c>
      <c r="I23" s="9" t="inlineStr"/>
      <c r="J23" s="9" t="inlineStr"/>
      <c r="K23" s="9" t="inlineStr"/>
      <c r="L23" s="9" t="inlineStr">
        <is>
          <t>casa ≥ 8</t>
        </is>
      </c>
      <c r="M23" s="9" t="inlineStr">
        <is>
          <t>sim</t>
        </is>
      </c>
      <c r="N23" s="9" t="inlineStr"/>
      <c r="O23" s="9" t="inlineStr"/>
      <c r="P23" s="9" t="inlineStr"/>
      <c r="Q23" s="9" t="inlineStr"/>
      <c r="R23" s="9" t="inlineStr"/>
      <c r="S23" s="9" t="inlineStr"/>
      <c r="T23" s="9" t="inlineStr">
        <is>
          <t>Sai sem o 1º bloco; na casa 6 só o Técnico responde.</t>
        </is>
      </c>
    </row>
    <row r="24">
      <c r="A24" s="8" t="inlineStr">
        <is>
          <t>c5-023</t>
        </is>
      </c>
      <c r="B24" s="8" t="inlineStr">
        <is>
          <t>~9h41</t>
        </is>
      </c>
      <c r="C24" s="8" t="inlineStr">
        <is>
          <t>O Técnico</t>
        </is>
      </c>
      <c r="D24" s="8" t="inlineStr">
        <is>
          <t>auditora</t>
        </is>
      </c>
      <c r="E24" s="8" t="inlineStr">
        <is>
          <t>presencial</t>
        </is>
      </c>
      <c r="F24" s="8" t="inlineStr">
        <is>
          <t>direta</t>
        </is>
      </c>
      <c r="G24" s="8" t="inlineStr">
        <is>
          <t>Eu.</t>
        </is>
      </c>
      <c r="H24" s="8" t="inlineStr">
        <is>
          <t>prova</t>
        </is>
      </c>
      <c r="I24" s="8" t="inlineStr"/>
      <c r="J24" s="8" t="inlineStr"/>
      <c r="K24" s="8" t="inlineStr"/>
      <c r="L24" s="8" t="inlineStr">
        <is>
          <t>toda casa</t>
        </is>
      </c>
      <c r="M24" s="8" t="inlineStr">
        <is>
          <t>não</t>
        </is>
      </c>
      <c r="N24" s="8" t="inlineStr"/>
      <c r="O24" s="8" t="inlineStr"/>
      <c r="P24" s="8" t="inlineStr"/>
      <c r="Q24" s="8" t="inlineStr"/>
      <c r="R24" s="8" t="inlineStr"/>
      <c r="S24" s="8" t="inlineStr"/>
      <c r="T24" s="8" t="inlineStr"/>
    </row>
    <row r="25">
      <c r="A25" s="9" t="inlineStr">
        <is>
          <t>c5-024</t>
        </is>
      </c>
      <c r="B25" s="9" t="inlineStr">
        <is>
          <t>9h43</t>
        </is>
      </c>
      <c r="C25" s="9" t="inlineStr">
        <is>
          <t>O Padeiro</t>
        </is>
      </c>
      <c r="D25" s="9" t="inlineStr">
        <is>
          <t>auditora</t>
        </is>
      </c>
      <c r="E25" s="9" t="inlineStr">
        <is>
          <t>registro</t>
        </is>
      </c>
      <c r="F25" s="9" t="inlineStr">
        <is>
          <t>indireta</t>
        </is>
      </c>
      <c r="G25" s="9" t="inlineStr">
        <is>
          <t>Envio duas fotografias da câmera da minha porta de serviço: às 6h36, uma figura de capa e guarda-chuva de cabo claro diante da porta lateral da agência, com uma sacola esportiva; às 7h06, a mesma figura saindo, sem a sacola. O guarda-chuva cobre o rosto nas duas.</t>
        </is>
      </c>
      <c r="H25" s="9" t="inlineStr">
        <is>
          <t>reforço</t>
        </is>
      </c>
      <c r="I25" s="9" t="inlineStr">
        <is>
          <t>Porta lateral às 6h36 e 7h06</t>
        </is>
      </c>
      <c r="J25" s="9" t="inlineStr"/>
      <c r="K25" s="9" t="inlineStr"/>
      <c r="L25" s="9" t="inlineStr">
        <is>
          <t>casa ≥ 10</t>
        </is>
      </c>
      <c r="M25" s="9" t="inlineStr">
        <is>
          <t>sim</t>
        </is>
      </c>
      <c r="N25" s="9" t="inlineStr"/>
      <c r="O25" s="9" t="inlineStr"/>
      <c r="P25" s="9" t="inlineStr"/>
      <c r="Q25" s="9" t="inlineStr"/>
      <c r="R25" s="9" t="inlineStr"/>
      <c r="S25" s="9" t="inlineStr"/>
      <c r="T25" s="9" t="inlineStr">
        <is>
          <t>Fotografias enviadas pelo Padeiro. Reforço do sensor, mas a sacola só aparece aqui.</t>
        </is>
      </c>
    </row>
    <row r="26">
      <c r="A26" s="8" t="inlineStr">
        <is>
          <t>c5-025</t>
        </is>
      </c>
      <c r="B26" s="8" t="inlineStr">
        <is>
          <t>~9h43</t>
        </is>
      </c>
      <c r="C26" s="8" t="inlineStr">
        <is>
          <t>A Auditora</t>
        </is>
      </c>
      <c r="D26" s="8" t="inlineStr">
        <is>
          <t>todos</t>
        </is>
      </c>
      <c r="E26" s="8" t="inlineStr">
        <is>
          <t>presencial</t>
        </is>
      </c>
      <c r="F26" s="8" t="inlineStr">
        <is>
          <t>direta</t>
        </is>
      </c>
      <c r="G26" s="8" t="inlineStr">
        <is>
          <t>A sacola ficou lá dentro. Onde?</t>
        </is>
      </c>
      <c r="H26" s="8" t="inlineStr">
        <is>
          <t>prova</t>
        </is>
      </c>
      <c r="I26" s="8" t="inlineStr">
        <is>
          <t>Dinheiro na caixa de 1998</t>
        </is>
      </c>
      <c r="J26" s="8" t="inlineStr"/>
      <c r="K26" s="8" t="inlineStr"/>
      <c r="L26" s="8" t="inlineStr">
        <is>
          <t>toda casa</t>
        </is>
      </c>
      <c r="M26" s="8" t="inlineStr">
        <is>
          <t>não</t>
        </is>
      </c>
      <c r="N26" s="8" t="inlineStr"/>
      <c r="O26" s="8" t="inlineStr"/>
      <c r="P26" s="8" t="inlineStr"/>
      <c r="Q26" s="8" t="inlineStr"/>
      <c r="R26" s="8" t="inlineStr"/>
      <c r="S26" s="8" t="inlineStr"/>
      <c r="T26" s="8" t="inlineStr">
        <is>
          <t>Depende das fotografias do Padeiro (bloco2): na casa 6 ninguém mencionou sacola — ajustar.</t>
        </is>
      </c>
    </row>
    <row r="27">
      <c r="A27" s="9" t="inlineStr">
        <is>
          <t>c5-026</t>
        </is>
      </c>
      <c r="B27" s="9" t="inlineStr">
        <is>
          <t>~9h44</t>
        </is>
      </c>
      <c r="C27" s="9" t="inlineStr">
        <is>
          <t>O Funcionário da Limpeza</t>
        </is>
      </c>
      <c r="D27" s="9" t="inlineStr">
        <is>
          <t>todos</t>
        </is>
      </c>
      <c r="E27" s="9" t="inlineStr">
        <is>
          <t>presencial</t>
        </is>
      </c>
      <c r="F27" s="9" t="inlineStr">
        <is>
          <t>indireta</t>
        </is>
      </c>
      <c r="G27" s="9" t="inlineStr">
        <is>
          <t>Às sete e quarenta e seis ela estava dois dedos para fora, e eu a empurrei de volta.</t>
        </is>
      </c>
      <c r="H27" s="9" t="inlineStr">
        <is>
          <t>reforço</t>
        </is>
      </c>
      <c r="I27" s="9" t="inlineStr">
        <is>
          <t>Dinheiro na caixa de 1998</t>
        </is>
      </c>
      <c r="J27" s="9" t="inlineStr"/>
      <c r="K27" s="9" t="inlineStr"/>
      <c r="L27" s="9" t="inlineStr">
        <is>
          <t>casa ≥ 8</t>
        </is>
      </c>
      <c r="M27" s="9" t="inlineStr">
        <is>
          <t>sim</t>
        </is>
      </c>
      <c r="N27" s="9" t="inlineStr"/>
      <c r="O27" s="9" t="inlineStr"/>
      <c r="P27" s="9" t="inlineStr"/>
      <c r="Q27" s="9" t="inlineStr"/>
      <c r="R27" s="9" t="inlineStr"/>
      <c r="S27" s="9" t="inlineStr"/>
      <c r="T27" s="9" t="inlineStr"/>
    </row>
    <row r="28">
      <c r="A28" s="8" t="inlineStr">
        <is>
          <t>c5-027</t>
        </is>
      </c>
      <c r="B28" s="8" t="inlineStr">
        <is>
          <t>~9h44</t>
        </is>
      </c>
      <c r="C28" s="8" t="inlineStr">
        <is>
          <t>O Caixa Veterano</t>
        </is>
      </c>
      <c r="D28" s="8" t="inlineStr">
        <is>
          <t>todos</t>
        </is>
      </c>
      <c r="E28" s="8" t="inlineStr">
        <is>
          <t>presencial</t>
        </is>
      </c>
      <c r="F28" s="8" t="inlineStr">
        <is>
          <t>direta</t>
        </is>
      </c>
      <c r="G28" s="8" t="inlineStr">
        <is>
          <t>Cinta de maço. De cem.</t>
        </is>
      </c>
      <c r="H28" s="8" t="inlineStr">
        <is>
          <t>prova</t>
        </is>
      </c>
      <c r="I28" s="8" t="inlineStr">
        <is>
          <t>Dinheiro na caixa de 1998</t>
        </is>
      </c>
      <c r="J28" s="8" t="inlineStr"/>
      <c r="K28" s="8" t="inlineStr"/>
      <c r="L28" s="8" t="inlineStr">
        <is>
          <t>toda casa</t>
        </is>
      </c>
      <c r="M28" s="8" t="inlineStr">
        <is>
          <t>não</t>
        </is>
      </c>
      <c r="N28" s="8" t="inlineStr"/>
      <c r="O28" s="8" t="inlineStr"/>
      <c r="P28" s="8" t="inlineStr"/>
      <c r="Q28" s="8" t="inlineStr"/>
      <c r="R28" s="8" t="inlineStr"/>
      <c r="S28" s="8" t="inlineStr"/>
      <c r="T28" s="8" t="inlineStr">
        <is>
          <t>Fonte primária. A caixa vazia, o anel de umidade e a tira 'R$ 10.000' estão no narrador.</t>
        </is>
      </c>
    </row>
    <row r="29">
      <c r="A29" s="9" t="inlineStr">
        <is>
          <t>c5-028</t>
        </is>
      </c>
      <c r="B29" s="9" t="inlineStr">
        <is>
          <t>~9h46</t>
        </is>
      </c>
      <c r="C29" s="9" t="inlineStr">
        <is>
          <t>A Operadora da Central</t>
        </is>
      </c>
      <c r="D29" s="9" t="inlineStr">
        <is>
          <t>todos</t>
        </is>
      </c>
      <c r="E29" s="9" t="inlineStr">
        <is>
          <t>presencial</t>
        </is>
      </c>
      <c r="F29" s="9" t="inlineStr">
        <is>
          <t>indireta</t>
        </is>
      </c>
      <c r="G29" s="9" t="inlineStr">
        <is>
          <t>Na noite de onze dias atrás, o sistema congelou às 19h03, durante uma atualização remota. O usuário era admin.local.</t>
        </is>
      </c>
      <c r="H29" s="9" t="inlineStr">
        <is>
          <t>pista falsa</t>
        </is>
      </c>
      <c r="I29" s="9" t="inlineStr"/>
      <c r="J29" s="9" t="inlineStr"/>
      <c r="K29" s="9" t="inlineStr"/>
      <c r="L29" s="9" t="inlineStr">
        <is>
          <t>toda casa</t>
        </is>
      </c>
      <c r="M29" s="9" t="inlineStr">
        <is>
          <t>não</t>
        </is>
      </c>
      <c r="N29" s="9" t="inlineStr"/>
      <c r="O29" s="9" t="inlineStr"/>
      <c r="P29" s="9" t="inlineStr"/>
      <c r="Q29" s="9" t="inlineStr"/>
      <c r="R29" s="9" t="inlineStr"/>
      <c r="S29" s="9" t="inlineStr"/>
      <c r="T29" s="9" t="inlineStr">
        <is>
          <t>Fato do cânone usado como falsa pista de autoria contra o Técnico.</t>
        </is>
      </c>
    </row>
    <row r="30">
      <c r="A30" s="8" t="inlineStr">
        <is>
          <t>c5-029</t>
        </is>
      </c>
      <c r="B30" s="8" t="inlineStr">
        <is>
          <t>~9h46</t>
        </is>
      </c>
      <c r="C30" s="8" t="inlineStr">
        <is>
          <t>O Técnico</t>
        </is>
      </c>
      <c r="D30" s="8" t="inlineStr">
        <is>
          <t>todos</t>
        </is>
      </c>
      <c r="E30" s="8" t="inlineStr">
        <is>
          <t>presencial</t>
        </is>
      </c>
      <c r="F30" s="8" t="inlineStr">
        <is>
          <t>direta</t>
        </is>
      </c>
      <c r="G30" s="8" t="inlineStr">
        <is>
          <t>Fui eu. Atualizei de casa, porque não havia orçamento para vir. O sistema travou. Quando voltou, alguém reprocessou a fila.</t>
        </is>
      </c>
      <c r="H30" s="8" t="inlineStr">
        <is>
          <t>pista falsa</t>
        </is>
      </c>
      <c r="I30" s="8" t="inlineStr"/>
      <c r="J30" s="8" t="inlineStr"/>
      <c r="K30" s="8" t="inlineStr"/>
      <c r="L30" s="8" t="inlineStr">
        <is>
          <t>toda casa</t>
        </is>
      </c>
      <c r="M30" s="8" t="inlineStr">
        <is>
          <t>não</t>
        </is>
      </c>
      <c r="N30" s="8" t="inlineStr"/>
      <c r="O30" s="8" t="inlineStr"/>
      <c r="P30" s="8" t="inlineStr"/>
      <c r="Q30" s="8" t="inlineStr"/>
      <c r="R30" s="8" t="inlineStr"/>
      <c r="S30" s="8" t="inlineStr"/>
      <c r="T30" s="8" t="inlineStr"/>
    </row>
    <row r="31">
      <c r="A31" s="9" t="inlineStr">
        <is>
          <t>c5-030</t>
        </is>
      </c>
      <c r="B31" s="9" t="inlineStr">
        <is>
          <t>~9h46</t>
        </is>
      </c>
      <c r="C31" s="9" t="inlineStr">
        <is>
          <t>A Auditora</t>
        </is>
      </c>
      <c r="D31" s="9" t="inlineStr">
        <is>
          <t>tecnico</t>
        </is>
      </c>
      <c r="E31" s="9" t="inlineStr">
        <is>
          <t>presencial</t>
        </is>
      </c>
      <c r="F31" s="9" t="inlineStr">
        <is>
          <t>direta</t>
        </is>
      </c>
      <c r="G31" s="9" t="inlineStr">
        <is>
          <t>E o senhor sabia que a duplicidade tinha nascido do seu travamento?</t>
        </is>
      </c>
      <c r="H31" s="9" t="inlineStr">
        <is>
          <t>pista falsa</t>
        </is>
      </c>
      <c r="I31" s="9" t="inlineStr"/>
      <c r="J31" s="9" t="inlineStr"/>
      <c r="K31" s="9" t="inlineStr"/>
      <c r="L31" s="9" t="inlineStr">
        <is>
          <t>toda casa</t>
        </is>
      </c>
      <c r="M31" s="9" t="inlineStr">
        <is>
          <t>não</t>
        </is>
      </c>
      <c r="N31" s="9" t="inlineStr"/>
      <c r="O31" s="9" t="inlineStr"/>
      <c r="P31" s="9" t="inlineStr"/>
      <c r="Q31" s="9" t="inlineStr"/>
      <c r="R31" s="9" t="inlineStr"/>
      <c r="S31" s="9" t="inlineStr"/>
      <c r="T31" s="9" t="inlineStr"/>
    </row>
    <row r="32">
      <c r="A32" s="8" t="inlineStr">
        <is>
          <t>c5-031</t>
        </is>
      </c>
      <c r="B32" s="8" t="inlineStr">
        <is>
          <t>~9h46</t>
        </is>
      </c>
      <c r="C32" s="8" t="inlineStr">
        <is>
          <t>O Técnico</t>
        </is>
      </c>
      <c r="D32" s="8" t="inlineStr">
        <is>
          <t>auditora</t>
        </is>
      </c>
      <c r="E32" s="8" t="inlineStr">
        <is>
          <t>presencial</t>
        </is>
      </c>
      <c r="F32" s="8" t="inlineStr">
        <is>
          <t>direta</t>
        </is>
      </c>
      <c r="G32" s="8" t="inlineStr">
        <is>
          <t>Soube agora.</t>
        </is>
      </c>
      <c r="H32" s="8" t="inlineStr">
        <is>
          <t>pista falsa</t>
        </is>
      </c>
      <c r="I32" s="8" t="inlineStr"/>
      <c r="J32" s="8" t="inlineStr"/>
      <c r="K32" s="8" t="inlineStr"/>
      <c r="L32" s="8" t="inlineStr">
        <is>
          <t>toda casa</t>
        </is>
      </c>
      <c r="M32" s="8" t="inlineStr">
        <is>
          <t>não</t>
        </is>
      </c>
      <c r="N32" s="8" t="inlineStr"/>
      <c r="O32" s="8" t="inlineStr"/>
      <c r="P32" s="8" t="inlineStr"/>
      <c r="Q32" s="8" t="inlineStr"/>
      <c r="R32" s="8" t="inlineStr"/>
      <c r="S32" s="8" t="inlineStr"/>
      <c r="T32" s="8" t="inlineStr"/>
    </row>
    <row r="33">
      <c r="A33" s="9" t="inlineStr">
        <is>
          <t>c5-032</t>
        </is>
      </c>
      <c r="B33" s="9" t="inlineStr">
        <is>
          <t>~9h48</t>
        </is>
      </c>
      <c r="C33" s="9" t="inlineStr">
        <is>
          <t>O Gerente</t>
        </is>
      </c>
      <c r="D33" s="9" t="inlineStr">
        <is>
          <t>todos</t>
        </is>
      </c>
      <c r="E33" s="9" t="inlineStr">
        <is>
          <t>presencial</t>
        </is>
      </c>
      <c r="F33" s="9" t="inlineStr">
        <is>
          <t>indireta</t>
        </is>
      </c>
      <c r="G33" s="9" t="inlineStr">
        <is>
          <t>A conta é do Técnico. A chave da porta lateral também. Ele conhece a passagem e o ciclo do exaustor, tem um cartão na faixa administrativa e diz ter estado no Rack durante a janela. E tem um motivo: o próprio remendo criou o dinheiro sem corpo.</t>
        </is>
      </c>
      <c r="H33" s="9" t="inlineStr">
        <is>
          <t>pista falsa</t>
        </is>
      </c>
      <c r="I33" s="9" t="inlineStr"/>
      <c r="J33" s="9" t="inlineStr"/>
      <c r="K33" s="9" t="inlineStr"/>
      <c r="L33" s="9" t="inlineStr">
        <is>
          <t>toda casa</t>
        </is>
      </c>
      <c r="M33" s="9" t="inlineStr">
        <is>
          <t>não</t>
        </is>
      </c>
      <c r="N33" s="9" t="inlineStr"/>
      <c r="O33" s="9" t="inlineStr"/>
      <c r="P33" s="9" t="inlineStr"/>
      <c r="Q33" s="9" t="inlineStr"/>
      <c r="R33" s="9" t="inlineStr"/>
      <c r="S33" s="9" t="inlineStr"/>
      <c r="T33" s="9" t="inlineStr"/>
    </row>
    <row r="34">
      <c r="A34" s="8" t="inlineStr">
        <is>
          <t>c5-033</t>
        </is>
      </c>
      <c r="B34" s="8" t="inlineStr">
        <is>
          <t>~9h48</t>
        </is>
      </c>
      <c r="C34" s="8" t="inlineStr">
        <is>
          <t>O Gerente</t>
        </is>
      </c>
      <c r="D34" s="8" t="inlineStr">
        <is>
          <t>todos</t>
        </is>
      </c>
      <c r="E34" s="8" t="inlineStr">
        <is>
          <t>presencial</t>
        </is>
      </c>
      <c r="F34" s="8" t="inlineStr">
        <is>
          <t>direta</t>
        </is>
      </c>
      <c r="G34" s="8" t="inlineStr">
        <is>
          <t>Quem quisesse esconder o erro teria pressa em cobri-lo.</t>
        </is>
      </c>
      <c r="H34" s="8" t="inlineStr">
        <is>
          <t>pista falsa</t>
        </is>
      </c>
      <c r="I34" s="8" t="inlineStr"/>
      <c r="J34" s="8" t="inlineStr"/>
      <c r="K34" s="8" t="inlineStr"/>
      <c r="L34" s="8" t="inlineStr">
        <is>
          <t>toda casa</t>
        </is>
      </c>
      <c r="M34" s="8" t="inlineStr">
        <is>
          <t>não</t>
        </is>
      </c>
      <c r="N34" s="8" t="inlineStr"/>
      <c r="O34" s="8" t="inlineStr"/>
      <c r="P34" s="8" t="inlineStr"/>
      <c r="Q34" s="8" t="inlineStr"/>
      <c r="R34" s="8" t="inlineStr"/>
      <c r="S34" s="8" t="inlineStr"/>
      <c r="T34" s="8" t="inlineStr"/>
    </row>
    <row r="35">
      <c r="A35" s="9" t="inlineStr">
        <is>
          <t>c5-034</t>
        </is>
      </c>
      <c r="B35" s="9" t="inlineStr">
        <is>
          <t>~9h49</t>
        </is>
      </c>
      <c r="C35" s="9" t="inlineStr">
        <is>
          <t>A Auditora</t>
        </is>
      </c>
      <c r="D35" s="9" t="inlineStr">
        <is>
          <t>todos</t>
        </is>
      </c>
      <c r="E35" s="9" t="inlineStr">
        <is>
          <t>presencial</t>
        </is>
      </c>
      <c r="F35" s="9" t="inlineStr">
        <is>
          <t>direta</t>
        </is>
      </c>
      <c r="G35" s="9" t="inlineStr">
        <is>
          <t>Ainda não sabemos de onde vieram noventa e seis mil reais em espécie.</t>
        </is>
      </c>
      <c r="H35" s="9" t="inlineStr">
        <is>
          <t>prova</t>
        </is>
      </c>
      <c r="I35" s="9" t="inlineStr"/>
      <c r="J35" s="9" t="inlineStr"/>
      <c r="K35" s="9" t="inlineStr"/>
      <c r="L35" s="9" t="inlineStr">
        <is>
          <t>toda casa</t>
        </is>
      </c>
      <c r="M35" s="9" t="inlineStr">
        <is>
          <t>não</t>
        </is>
      </c>
      <c r="N35" s="9" t="inlineStr"/>
      <c r="O35" s="9" t="inlineStr"/>
      <c r="P35" s="9" t="inlineStr"/>
      <c r="Q35" s="9" t="inlineStr"/>
      <c r="R35" s="9" t="inlineStr"/>
      <c r="S35" s="9" t="inlineStr"/>
      <c r="T35" s="9" t="inlineStr"/>
    </row>
    <row r="36">
      <c r="A36" s="8" t="inlineStr">
        <is>
          <t>c5-035</t>
        </is>
      </c>
      <c r="B36" s="8" t="inlineStr">
        <is>
          <t>9h56</t>
        </is>
      </c>
      <c r="C36" s="8" t="inlineStr">
        <is>
          <t>O Operador de Rádio</t>
        </is>
      </c>
      <c r="D36" s="8" t="inlineStr">
        <is>
          <t>todos</t>
        </is>
      </c>
      <c r="E36" s="8" t="inlineStr">
        <is>
          <t>rádio</t>
        </is>
      </c>
      <c r="F36" s="8" t="inlineStr">
        <is>
          <t>direta</t>
        </is>
      </c>
      <c r="G36" s="8" t="inlineStr">
        <is>
          <t>Encontrei um registro na rota de ontem. Às dezesseis horas, a transportadora levou um suprimento extraordinário de noventa e seis mil reais à agência 0392, para um saque agendado em espécie. O beneficiário é funcionário da agência 0688. O nome não consta no nosso sistema.</t>
        </is>
      </c>
      <c r="H36" s="8" t="inlineStr">
        <is>
          <t>prova</t>
        </is>
      </c>
      <c r="I36" s="8" t="inlineStr">
        <is>
          <t>Suprimento à 0392</t>
        </is>
      </c>
      <c r="J36" s="8" t="inlineStr"/>
      <c r="K36" s="8" t="inlineStr"/>
      <c r="L36" s="8" t="inlineStr">
        <is>
          <t>toda casa</t>
        </is>
      </c>
      <c r="M36" s="8" t="inlineStr">
        <is>
          <t>não</t>
        </is>
      </c>
      <c r="N36" s="8" t="inlineStr"/>
      <c r="O36" s="8" t="inlineStr"/>
      <c r="P36" s="8" t="inlineStr"/>
      <c r="Q36" s="8" t="inlineStr"/>
      <c r="R36" s="8" t="inlineStr"/>
      <c r="S36" s="8" t="inlineStr"/>
      <c r="T36" s="8" t="inlineStr">
        <is>
          <t>Operador de Rádio é da casa 'completa', mas aqui é fonte primária usada em toda casa; precisa estar disponível (ou ter voz substituta) na casa de 6.</t>
        </is>
      </c>
    </row>
    <row r="37">
      <c r="A37" s="9" t="inlineStr">
        <is>
          <t>c5-036</t>
        </is>
      </c>
      <c r="B37" s="9" t="inlineStr">
        <is>
          <t>~9h56</t>
        </is>
      </c>
      <c r="C37" s="9" t="inlineStr">
        <is>
          <t>O Caixa Novato</t>
        </is>
      </c>
      <c r="D37" s="9" t="inlineStr">
        <is>
          <t>todos</t>
        </is>
      </c>
      <c r="E37" s="9" t="inlineStr">
        <is>
          <t>presencial</t>
        </is>
      </c>
      <c r="F37" s="9" t="inlineStr">
        <is>
          <t>direta</t>
        </is>
      </c>
      <c r="G37" s="9" t="inlineStr">
        <is>
          <t>Alguém daqui tirou noventa e seis mil ontem.</t>
        </is>
      </c>
      <c r="H37" s="9" t="inlineStr">
        <is>
          <t>prova</t>
        </is>
      </c>
      <c r="I37" s="9" t="inlineStr">
        <is>
          <t>Suprimento à 0392</t>
        </is>
      </c>
      <c r="J37" s="9" t="inlineStr"/>
      <c r="K37" s="9" t="inlineStr"/>
      <c r="L37" s="9" t="inlineStr">
        <is>
          <t>toda casa</t>
        </is>
      </c>
      <c r="M37" s="9" t="inlineStr">
        <is>
          <t>não</t>
        </is>
      </c>
      <c r="N37" s="9" t="inlineStr"/>
      <c r="O37" s="9" t="inlineStr"/>
      <c r="P37" s="9" t="inlineStr"/>
      <c r="Q37" s="9" t="inlineStr"/>
      <c r="R37" s="9" t="inlineStr"/>
      <c r="S37" s="9" t="inlineStr"/>
      <c r="T37" s="9" t="inlineStr"/>
    </row>
  </sheetData>
  <autoFilter ref="A1:T3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8"/>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c6-001</t>
        </is>
      </c>
      <c r="B2" s="8" t="inlineStr">
        <is>
          <t>10h04</t>
        </is>
      </c>
      <c r="C2" s="8" t="inlineStr">
        <is>
          <t>Registro / sistema</t>
        </is>
      </c>
      <c r="D2" s="8" t="inlineStr">
        <is>
          <t>todos</t>
        </is>
      </c>
      <c r="E2" s="8" t="inlineStr">
        <is>
          <t>registro</t>
        </is>
      </c>
      <c r="F2" s="8" t="inlineStr">
        <is>
          <t>indireta</t>
        </is>
      </c>
      <c r="G2" s="8" t="inlineStr">
        <is>
          <t>Arquivo ajuste_96 recuperado por cópia automática do servidor, que guarda tudo o que passa pela impressora. Planilha pequena com as colunas "valor", "origem", "malote" e "cofre"; na linha da origem, só uma palavra: "própria".</t>
        </is>
      </c>
      <c r="H2" s="8" t="inlineStr">
        <is>
          <t>revelação</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is>
          <t>Peça central do Cap. 6; não consta da tabela de cobertura. Registro do servidor da impressora (no quadro, a Estagiária está no terminal às 10h04, mas não fala).</t>
        </is>
      </c>
    </row>
    <row r="3">
      <c r="A3" s="9" t="inlineStr">
        <is>
          <t>c6-002</t>
        </is>
      </c>
      <c r="B3" s="9" t="inlineStr">
        <is>
          <t>~10h04</t>
        </is>
      </c>
      <c r="C3" s="9" t="inlineStr">
        <is>
          <t>A Operadora da Central</t>
        </is>
      </c>
      <c r="D3" s="9" t="inlineStr">
        <is>
          <t>todos</t>
        </is>
      </c>
      <c r="E3" s="9" t="inlineStr">
        <is>
          <t>presencial</t>
        </is>
      </c>
      <c r="F3" s="9" t="inlineStr">
        <is>
          <t>direta</t>
        </is>
      </c>
      <c r="G3" s="9" t="inlineStr">
        <is>
          <t>19h00, G sai, autoriza por telefone. 19h03, trava. 19h11, reprocesso. 19h20, assinatura sem contagem.</t>
        </is>
      </c>
      <c r="H3" s="9" t="inlineStr">
        <is>
          <t>revelação</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is>
          <t>Leitura em voz alta da cronologia do ajuste_96 (texto do arquivo, lido pela Operadora, parando no fim de cada linha).</t>
        </is>
      </c>
    </row>
    <row r="4">
      <c r="A4" s="8" t="inlineStr">
        <is>
          <t>c6-003</t>
        </is>
      </c>
      <c r="B4" s="8" t="inlineStr">
        <is>
          <t>~10h04</t>
        </is>
      </c>
      <c r="C4" s="8" t="inlineStr">
        <is>
          <t>O Gerente</t>
        </is>
      </c>
      <c r="D4" s="8" t="inlineStr">
        <is>
          <t>todos</t>
        </is>
      </c>
      <c r="E4" s="8" t="inlineStr">
        <is>
          <t>presencial</t>
        </is>
      </c>
      <c r="F4" s="8" t="inlineStr">
        <is>
          <t>indireta</t>
        </is>
      </c>
      <c r="G4" s="8" t="inlineStr">
        <is>
          <t>Saí às dezenove porque um cliente ameaçava denunciar um favorecimento numa concessão de crédito, e eu precisava encontrá-lo antes que ele procurasse a regional. Autorizei o fechamento por telefone.</t>
        </is>
      </c>
      <c r="H4" s="8" t="inlineStr">
        <is>
          <t>subtrama</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is>
          <t>Segredo inocente do Gerente (saída das 19h00). Fixa em todas as partidas; na G é também parte do motivo.</t>
        </is>
      </c>
    </row>
    <row r="5">
      <c r="A5" s="9" t="inlineStr">
        <is>
          <t>c6-004</t>
        </is>
      </c>
      <c r="B5" s="9" t="inlineStr">
        <is>
          <t>~10h04</t>
        </is>
      </c>
      <c r="C5" s="9" t="inlineStr">
        <is>
          <t>A Auditora</t>
        </is>
      </c>
      <c r="D5" s="9" t="inlineStr">
        <is>
          <t>operadora</t>
        </is>
      </c>
      <c r="E5" s="9" t="inlineStr">
        <is>
          <t>presencial</t>
        </is>
      </c>
      <c r="F5" s="9" t="inlineStr">
        <is>
          <t>direta</t>
        </is>
      </c>
      <c r="G5" s="9" t="inlineStr">
        <is>
          <t>Era sobre isso a conversa de ontem?</t>
        </is>
      </c>
      <c r="H5" s="9" t="inlineStr">
        <is>
          <t>subtrama</t>
        </is>
      </c>
      <c r="I5" s="9" t="inlineStr"/>
      <c r="J5" s="9" t="inlineStr"/>
      <c r="K5" s="9" t="inlineStr"/>
      <c r="L5" s="9" t="inlineStr">
        <is>
          <t>toda casa</t>
        </is>
      </c>
      <c r="M5" s="9" t="inlineStr">
        <is>
          <t>não</t>
        </is>
      </c>
      <c r="N5" s="9" t="inlineStr"/>
      <c r="O5" s="9" t="inlineStr"/>
      <c r="P5" s="9" t="inlineStr"/>
      <c r="Q5" s="9" t="inlineStr"/>
      <c r="R5" s="9" t="inlineStr"/>
      <c r="S5" s="9" t="inlineStr"/>
      <c r="T5" s="9" t="inlineStr">
        <is>
          <t>Dirigida à Operadora (olhando para ela), mas quem responde é o Gerente. Colhe a frase omitida "não cai só você".</t>
        </is>
      </c>
    </row>
    <row r="6">
      <c r="A6" s="8" t="inlineStr">
        <is>
          <t>c6-005</t>
        </is>
      </c>
      <c r="B6" s="8" t="inlineStr">
        <is>
          <t>~10h04</t>
        </is>
      </c>
      <c r="C6" s="8" t="inlineStr">
        <is>
          <t>O Gerente</t>
        </is>
      </c>
      <c r="D6" s="8" t="inlineStr">
        <is>
          <t>auditora</t>
        </is>
      </c>
      <c r="E6" s="8" t="inlineStr">
        <is>
          <t>presencial</t>
        </is>
      </c>
      <c r="F6" s="8" t="inlineStr">
        <is>
          <t>direta</t>
        </is>
      </c>
      <c r="G6" s="8" t="inlineStr">
        <is>
          <t>Era. Não tinha nada a ver com dinheiro.</t>
        </is>
      </c>
      <c r="H6" s="8" t="inlineStr">
        <is>
          <t>subtrama</t>
        </is>
      </c>
      <c r="I6" s="8" t="inlineStr"/>
      <c r="J6" s="8" t="inlineStr"/>
      <c r="K6" s="8" t="inlineStr"/>
      <c r="L6" s="8" t="inlineStr">
        <is>
          <t>toda casa</t>
        </is>
      </c>
      <c r="M6" s="8" t="inlineStr">
        <is>
          <t>não</t>
        </is>
      </c>
      <c r="N6" s="8" t="inlineStr"/>
      <c r="O6" s="8" t="inlineStr"/>
      <c r="P6" s="8" t="inlineStr"/>
      <c r="Q6" s="8" t="inlineStr"/>
      <c r="R6" s="8" t="inlineStr"/>
      <c r="S6" s="8" t="inlineStr"/>
      <c r="T6" s="8" t="inlineStr">
        <is>
          <t>Efeito teia: "não cai só você" deixa de ligar o Subgerente ao malote. A frase é interior da Operadora no texto, não dita.</t>
        </is>
      </c>
    </row>
    <row r="7">
      <c r="A7" s="9" t="inlineStr">
        <is>
          <t>c6-006</t>
        </is>
      </c>
      <c r="B7" s="9" t="inlineStr">
        <is>
          <t>~10h04</t>
        </is>
      </c>
      <c r="C7" s="9" t="inlineStr">
        <is>
          <t>O Subgerente</t>
        </is>
      </c>
      <c r="D7" s="9" t="inlineStr">
        <is>
          <t>todos</t>
        </is>
      </c>
      <c r="E7" s="9" t="inlineStr">
        <is>
          <t>presencial</t>
        </is>
      </c>
      <c r="F7" s="9" t="inlineStr">
        <is>
          <t>indireta</t>
        </is>
      </c>
      <c r="G7" s="9" t="inlineStr">
        <is>
          <t>Confirmo o reprocessamento das dezenove e onze. Fiz o que o procedimento mandava quando o sistema volta de uma trava: reenviar a fila. Não conferi o que ela trazia.</t>
        </is>
      </c>
      <c r="H7" s="9" t="inlineStr">
        <is>
          <t>subtrama</t>
        </is>
      </c>
      <c r="I7" s="9" t="inlineStr"/>
      <c r="J7" s="9" t="inlineStr"/>
      <c r="K7" s="9" t="inlineStr"/>
      <c r="L7" s="9" t="inlineStr">
        <is>
          <t>casa ≥ 8</t>
        </is>
      </c>
      <c r="M7" s="9" t="inlineStr">
        <is>
          <t>sim</t>
        </is>
      </c>
      <c r="N7" s="9" t="inlineStr"/>
      <c r="O7" s="9" t="inlineStr"/>
      <c r="P7" s="9" t="inlineStr"/>
      <c r="Q7" s="9" t="inlineStr"/>
      <c r="R7" s="9" t="inlineStr"/>
      <c r="S7" s="9" t="inlineStr"/>
      <c r="T7" s="9" t="inlineStr">
        <is>
          <t>Bloco 1. Nas casas sem o Subgerente a fala sai; o reprocessamento fica só na linha "19h11, reprocesso" do ajuste_96.</t>
        </is>
      </c>
    </row>
    <row r="8">
      <c r="A8" s="8" t="inlineStr">
        <is>
          <t>c6-007</t>
        </is>
      </c>
      <c r="B8" s="8" t="inlineStr">
        <is>
          <t>~10h04</t>
        </is>
      </c>
      <c r="C8" s="8" t="inlineStr">
        <is>
          <t>O Caixa Veterano</t>
        </is>
      </c>
      <c r="D8" s="8" t="inlineStr">
        <is>
          <t>todos</t>
        </is>
      </c>
      <c r="E8" s="8" t="inlineStr">
        <is>
          <t>presencial</t>
        </is>
      </c>
      <c r="F8" s="8" t="inlineStr">
        <is>
          <t>direta</t>
        </is>
      </c>
      <c r="G8" s="8" t="inlineStr">
        <is>
          <t>Às dezenove e vinte, eu assinei sem recontar. Tinham me ligado dizendo que um colega daquela foto tinha morrido. Eu queria chegar ao velório antes de fecharem o caixão.</t>
        </is>
      </c>
      <c r="H8" s="8" t="inlineStr">
        <is>
          <t>subtrama</t>
        </is>
      </c>
      <c r="I8" s="8" t="inlineStr"/>
      <c r="J8" s="8" t="inlineStr"/>
      <c r="K8" s="8" t="inlineStr"/>
      <c r="L8" s="8" t="inlineStr">
        <is>
          <t>toda casa</t>
        </is>
      </c>
      <c r="M8" s="8" t="inlineStr">
        <is>
          <t>não</t>
        </is>
      </c>
      <c r="N8" s="8" t="inlineStr"/>
      <c r="O8" s="8" t="inlineStr"/>
      <c r="P8" s="8" t="inlineStr"/>
      <c r="Q8" s="8" t="inlineStr"/>
      <c r="R8" s="8" t="inlineStr"/>
      <c r="S8" s="8" t="inlineStr"/>
      <c r="T8" s="8" t="inlineStr">
        <is>
          <t>Segredo inocente do Veterano (assinatura sem recontagem). Acompanha o gesto da fotografia virada sobre o balcão.</t>
        </is>
      </c>
    </row>
    <row r="9">
      <c r="A9" s="9" t="inlineStr">
        <is>
          <t>c6-008</t>
        </is>
      </c>
      <c r="B9" s="9" t="inlineStr">
        <is>
          <t>~10h04</t>
        </is>
      </c>
      <c r="C9" s="9" t="inlineStr">
        <is>
          <t>A Auditora</t>
        </is>
      </c>
      <c r="D9" s="9" t="inlineStr">
        <is>
          <t>todos</t>
        </is>
      </c>
      <c r="E9" s="9" t="inlineStr">
        <is>
          <t>presencial</t>
        </is>
      </c>
      <c r="F9" s="9" t="inlineStr">
        <is>
          <t>direta</t>
        </is>
      </c>
      <c r="G9" s="9" t="inlineStr">
        <is>
          <t>Quem escreveu este arquivo conhecia aquela noite por dentro. E chamou o dinheiro de próprio.</t>
        </is>
      </c>
      <c r="H9" s="9" t="inlineStr">
        <is>
          <t>revelação</t>
        </is>
      </c>
      <c r="I9" s="9" t="inlineStr"/>
      <c r="J9" s="9" t="inlineStr"/>
      <c r="K9" s="9" t="inlineStr"/>
      <c r="L9" s="9" t="inlineStr">
        <is>
          <t>toda casa</t>
        </is>
      </c>
      <c r="M9" s="9" t="inlineStr">
        <is>
          <t>não</t>
        </is>
      </c>
      <c r="N9" s="9" t="inlineStr"/>
      <c r="O9" s="9" t="inlineStr"/>
      <c r="P9" s="9" t="inlineStr"/>
      <c r="Q9" s="9" t="inlineStr"/>
      <c r="R9" s="9" t="inlineStr"/>
      <c r="S9" s="9" t="inlineStr"/>
      <c r="T9" s="9" t="inlineStr">
        <is>
          <t>A coluna "falhas" e a coluna vazia "atos" são escrita da Auditora, não fala.</t>
        </is>
      </c>
    </row>
    <row r="10">
      <c r="A10" s="8" t="inlineStr">
        <is>
          <t>c6-009</t>
        </is>
      </c>
      <c r="B10" s="8" t="inlineStr">
        <is>
          <t>~10h12</t>
        </is>
      </c>
      <c r="C10" s="8" t="inlineStr">
        <is>
          <t>O Caixa Novato</t>
        </is>
      </c>
      <c r="D10" s="8" t="inlineStr">
        <is>
          <t>todos</t>
        </is>
      </c>
      <c r="E10" s="8" t="inlineStr">
        <is>
          <t>presencial</t>
        </is>
      </c>
      <c r="F10" s="8" t="inlineStr">
        <is>
          <t>indireta</t>
        </is>
      </c>
      <c r="G10" s="8" t="inlineStr">
        <is>
          <t>Por que o saco vazio estava no chão, e não escondido?</t>
        </is>
      </c>
      <c r="H10" s="8" t="inlineStr">
        <is>
          <t>subtrama</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row>
    <row r="11">
      <c r="A11" s="9" t="inlineStr">
        <is>
          <t>c6-010</t>
        </is>
      </c>
      <c r="B11" s="9" t="inlineStr">
        <is>
          <t>10h12</t>
        </is>
      </c>
      <c r="C11" s="9" t="inlineStr">
        <is>
          <t>A Operadora da Central</t>
        </is>
      </c>
      <c r="D11" s="9" t="inlineStr">
        <is>
          <t>todos</t>
        </is>
      </c>
      <c r="E11" s="9" t="inlineStr">
        <is>
          <t>presencial</t>
        </is>
      </c>
      <c r="F11" s="9" t="inlineStr">
        <is>
          <t>indireta</t>
        </is>
      </c>
      <c r="G11" s="9" t="inlineStr">
        <is>
          <t>Às oito e um, a câmera 3 já funcionava. Na borda da imagem, junto à porta do Arquivo, aparece uma perna e a roda de um balde.</t>
        </is>
      </c>
      <c r="H11" s="9" t="inlineStr">
        <is>
          <t>prova</t>
        </is>
      </c>
      <c r="I11" s="9" t="inlineStr"/>
      <c r="J11" s="9" t="inlineStr"/>
      <c r="K11" s="9" t="inlineStr"/>
      <c r="L11" s="9" t="inlineStr">
        <is>
          <t>toda casa</t>
        </is>
      </c>
      <c r="M11" s="9" t="inlineStr">
        <is>
          <t>não</t>
        </is>
      </c>
      <c r="N11" s="9" t="inlineStr"/>
      <c r="O11" s="9" t="inlineStr"/>
      <c r="P11" s="9" t="inlineStr"/>
      <c r="Q11" s="9" t="inlineStr"/>
      <c r="R11" s="9" t="inlineStr"/>
      <c r="S11" s="9" t="inlineStr"/>
      <c r="T11" s="9" t="inlineStr">
        <is>
          <t>Imagem parcial das 8h01. Em casas sem a Limpeza, é a única explicação do saco no chão (a fala da Limpeza sai).</t>
        </is>
      </c>
    </row>
    <row r="12">
      <c r="A12" s="8" t="inlineStr">
        <is>
          <t>c6-011</t>
        </is>
      </c>
      <c r="B12" s="8" t="inlineStr">
        <is>
          <t>10h12</t>
        </is>
      </c>
      <c r="C12" s="8" t="inlineStr">
        <is>
          <t>O Funcionário da Limpeza</t>
        </is>
      </c>
      <c r="D12" s="8" t="inlineStr">
        <is>
          <t>todos</t>
        </is>
      </c>
      <c r="E12" s="8" t="inlineStr">
        <is>
          <t>presencial</t>
        </is>
      </c>
      <c r="F12" s="8" t="inlineStr">
        <is>
          <t>direta</t>
        </is>
      </c>
      <c r="G12" s="8" t="inlineStr">
        <is>
          <t>Fui eu.</t>
        </is>
      </c>
      <c r="H12" s="8" t="inlineStr">
        <is>
          <t>subtrama</t>
        </is>
      </c>
      <c r="I12" s="8" t="inlineStr"/>
      <c r="J12" s="8" t="inlineStr"/>
      <c r="K12" s="8" t="inlineStr"/>
      <c r="L12" s="8" t="inlineStr">
        <is>
          <t>casa ≥ 8</t>
        </is>
      </c>
      <c r="M12" s="8" t="inlineStr">
        <is>
          <t>sim</t>
        </is>
      </c>
      <c r="N12" s="8" t="inlineStr"/>
      <c r="O12" s="8" t="inlineStr"/>
      <c r="P12" s="8" t="inlineStr"/>
      <c r="Q12" s="8" t="inlineStr"/>
      <c r="R12" s="8" t="inlineStr"/>
      <c r="S12" s="8" t="inlineStr"/>
      <c r="T12" s="8" t="inlineStr"/>
    </row>
    <row r="13">
      <c r="A13" s="9" t="inlineStr">
        <is>
          <t>c6-012</t>
        </is>
      </c>
      <c r="B13" s="9" t="inlineStr">
        <is>
          <t>10h12</t>
        </is>
      </c>
      <c r="C13" s="9" t="inlineStr">
        <is>
          <t>O Funcionário da Limpeza</t>
        </is>
      </c>
      <c r="D13" s="9" t="inlineStr">
        <is>
          <t>todos</t>
        </is>
      </c>
      <c r="E13" s="9" t="inlineStr">
        <is>
          <t>presencial</t>
        </is>
      </c>
      <c r="F13" s="9" t="inlineStr">
        <is>
          <t>indireta</t>
        </is>
      </c>
      <c r="G13" s="9" t="inlineStr">
        <is>
          <t>Às oito e um, voltei ao Arquivo para buscar o balde. A tampa do cesto estava torta e havia lona saindo dela. Puxei e vi o lacre rompido. Pensei que alguém tinha descartado uma coisa sigilosa usando a chave que eu emprestei. Pensei na demissão, na minha irmã. Ouvi passos no corredor, larguei o saco no chão e saí para o fundo, para o Nicho do Rack, onde ninguém me veria.</t>
        </is>
      </c>
      <c r="H13" s="9" t="inlineStr">
        <is>
          <t>subtrama</t>
        </is>
      </c>
      <c r="I13" s="9" t="inlineStr"/>
      <c r="J13" s="9" t="inlineStr"/>
      <c r="K13" s="9" t="inlineStr"/>
      <c r="L13" s="9" t="inlineStr">
        <is>
          <t>casa ≥ 8</t>
        </is>
      </c>
      <c r="M13" s="9" t="inlineStr">
        <is>
          <t>sim</t>
        </is>
      </c>
      <c r="N13" s="9" t="inlineStr"/>
      <c r="O13" s="9" t="inlineStr"/>
      <c r="P13" s="9" t="inlineStr"/>
      <c r="Q13" s="9" t="inlineStr"/>
      <c r="R13" s="9" t="inlineStr"/>
      <c r="S13" s="9" t="inlineStr"/>
      <c r="T13" s="9" t="inlineStr">
        <is>
          <t>Explica o saco no chão (ato fixo das 8h01). Sem a Limpeza na casa (casa de 6 em G/V), sobra só a imagem parcial da Operadora; não há quem verbalize a explicação.</t>
        </is>
      </c>
    </row>
    <row r="14">
      <c r="A14" s="8" t="inlineStr">
        <is>
          <t>c6-013</t>
        </is>
      </c>
      <c r="B14" s="8" t="inlineStr">
        <is>
          <t>10h12</t>
        </is>
      </c>
      <c r="C14" s="8" t="inlineStr">
        <is>
          <t>O Gerente</t>
        </is>
      </c>
      <c r="D14" s="8" t="inlineStr">
        <is>
          <t>limpeza</t>
        </is>
      </c>
      <c r="E14" s="8" t="inlineStr">
        <is>
          <t>presencial</t>
        </is>
      </c>
      <c r="F14" s="8" t="inlineStr">
        <is>
          <t>direta</t>
        </is>
      </c>
      <c r="G14" s="8" t="inlineStr">
        <is>
          <t>Então foi você quem montou a cena do roubo.</t>
        </is>
      </c>
      <c r="H14" s="8" t="inlineStr">
        <is>
          <t>subtrama</t>
        </is>
      </c>
      <c r="I14" s="8" t="inlineStr"/>
      <c r="J14" s="8" t="inlineStr"/>
      <c r="K14" s="8" t="inlineStr"/>
      <c r="L14" s="8" t="inlineStr">
        <is>
          <t>toda casa</t>
        </is>
      </c>
      <c r="M14" s="8" t="inlineStr">
        <is>
          <t>não</t>
        </is>
      </c>
      <c r="N14" s="8" t="inlineStr"/>
      <c r="O14" s="8" t="inlineStr"/>
      <c r="P14" s="8" t="inlineStr"/>
      <c r="Q14" s="8" t="inlineStr"/>
      <c r="R14" s="8" t="inlineStr"/>
      <c r="S14" s="8" t="inlineStr"/>
      <c r="T14" s="8" t="inlineStr">
        <is>
          <t>Resposta à Limpeza; nas casas sem a Limpeza fica sem interlocutor e deve sair junto.</t>
        </is>
      </c>
    </row>
    <row r="15">
      <c r="A15" s="9" t="inlineStr">
        <is>
          <t>c6-014</t>
        </is>
      </c>
      <c r="B15" s="9" t="inlineStr">
        <is>
          <t>10h12</t>
        </is>
      </c>
      <c r="C15" s="9" t="inlineStr">
        <is>
          <t>O Funcionário da Limpeza</t>
        </is>
      </c>
      <c r="D15" s="9" t="inlineStr">
        <is>
          <t>gerente</t>
        </is>
      </c>
      <c r="E15" s="9" t="inlineStr">
        <is>
          <t>presencial</t>
        </is>
      </c>
      <c r="F15" s="9" t="inlineStr">
        <is>
          <t>direta</t>
        </is>
      </c>
      <c r="G15" s="9" t="inlineStr">
        <is>
          <t>Eu deixei um saco no chão. Quem criou o roubo foi o grito.</t>
        </is>
      </c>
      <c r="H15" s="9" t="inlineStr">
        <is>
          <t>subtrama</t>
        </is>
      </c>
      <c r="I15" s="9" t="inlineStr"/>
      <c r="J15" s="9" t="inlineStr"/>
      <c r="K15" s="9" t="inlineStr"/>
      <c r="L15" s="9" t="inlineStr">
        <is>
          <t>casa ≥ 8</t>
        </is>
      </c>
      <c r="M15" s="9" t="inlineStr">
        <is>
          <t>sim</t>
        </is>
      </c>
      <c r="N15" s="9" t="inlineStr"/>
      <c r="O15" s="9" t="inlineStr"/>
      <c r="P15" s="9" t="inlineStr"/>
      <c r="Q15" s="9" t="inlineStr"/>
      <c r="R15" s="9" t="inlineStr"/>
      <c r="S15" s="9" t="inlineStr"/>
      <c r="T15" s="9" t="inlineStr"/>
    </row>
    <row r="16">
      <c r="A16" s="8" t="inlineStr">
        <is>
          <t>c6-015</t>
        </is>
      </c>
      <c r="B16" s="8" t="inlineStr">
        <is>
          <t>~10h12</t>
        </is>
      </c>
      <c r="C16" s="8" t="inlineStr">
        <is>
          <t>A Auditora</t>
        </is>
      </c>
      <c r="D16" s="8" t="inlineStr">
        <is>
          <t>limpeza</t>
        </is>
      </c>
      <c r="E16" s="8" t="inlineStr">
        <is>
          <t>presencial</t>
        </is>
      </c>
      <c r="F16" s="8" t="inlineStr">
        <is>
          <t>indireta</t>
        </is>
      </c>
      <c r="G16" s="8" t="inlineStr">
        <is>
          <t>Tragam o cesto.</t>
        </is>
      </c>
      <c r="H16" s="8" t="inlineStr">
        <is>
          <t>ambiente</t>
        </is>
      </c>
      <c r="I16" s="8" t="inlineStr"/>
      <c r="J16" s="8" t="inlineStr"/>
      <c r="K16" s="8" t="inlineStr"/>
      <c r="L16" s="8" t="inlineStr">
        <is>
          <t>toda casa</t>
        </is>
      </c>
      <c r="M16" s="8" t="inlineStr">
        <is>
          <t>não</t>
        </is>
      </c>
      <c r="N16" s="8" t="inlineStr"/>
      <c r="O16" s="8" t="inlineStr"/>
      <c r="P16" s="8" t="inlineStr"/>
      <c r="Q16" s="8" t="inlineStr"/>
      <c r="R16" s="8" t="inlineStr"/>
      <c r="S16" s="8" t="inlineStr"/>
      <c r="T16" s="8" t="inlineStr">
        <is>
          <t>Pedido da Auditora; no texto quem traz é a Limpeza (casas sem ela: outro personagem traz).</t>
        </is>
      </c>
    </row>
    <row r="17">
      <c r="A17" s="9" t="inlineStr">
        <is>
          <t>c6-016</t>
        </is>
      </c>
      <c r="B17" s="9" t="inlineStr">
        <is>
          <t>~10h12</t>
        </is>
      </c>
      <c r="C17" s="9" t="inlineStr">
        <is>
          <t>A Auditora</t>
        </is>
      </c>
      <c r="D17" s="9" t="inlineStr">
        <is>
          <t>todos</t>
        </is>
      </c>
      <c r="E17" s="9" t="inlineStr">
        <is>
          <t>presencial</t>
        </is>
      </c>
      <c r="F17" s="9" t="inlineStr">
        <is>
          <t>indireta</t>
        </is>
      </c>
      <c r="G17" s="9" t="inlineStr">
        <is>
          <t>No fundo do cesto, debaixo de papéis da véspera, há uma luva de procedimento tamanho G, rasgada no indicador, com uma mancha escura de sangue seco. Colado a ela pela umidade, um cupom da farmácia da esquina: seis e trinta e um, luvas de procedimento G, fita microporosa de 1,2 cm, pago em dinheiro.</t>
        </is>
      </c>
      <c r="H17" s="9" t="inlineStr">
        <is>
          <t>prova</t>
        </is>
      </c>
      <c r="I17" s="9" t="inlineStr">
        <is>
          <t>Luva e cupom da farmácia</t>
        </is>
      </c>
      <c r="J17" s="9" t="inlineStr"/>
      <c r="K17" s="9" t="inlineStr"/>
      <c r="L17" s="9" t="inlineStr">
        <is>
          <t>toda casa</t>
        </is>
      </c>
      <c r="M17" s="9" t="inlineStr">
        <is>
          <t>não</t>
        </is>
      </c>
      <c r="N17" s="9" t="inlineStr"/>
      <c r="O17" s="9" t="inlineStr"/>
      <c r="P17" s="9" t="inlineStr"/>
      <c r="Q17" s="9" t="inlineStr"/>
      <c r="R17" s="9" t="inlineStr"/>
      <c r="S17" s="9" t="inlineStr"/>
      <c r="T17" s="9" t="inlineStr">
        <is>
          <t>No texto é narração da descoberta; atribuída à Auditora, fonte primária pela tabela (cesto). Planta a pista genuína.</t>
        </is>
      </c>
    </row>
    <row r="18">
      <c r="A18" s="8" t="inlineStr">
        <is>
          <t>c6-017</t>
        </is>
      </c>
      <c r="B18" s="8" t="inlineStr">
        <is>
          <t>~10h12</t>
        </is>
      </c>
      <c r="C18" s="8" t="inlineStr">
        <is>
          <t>A Auditora</t>
        </is>
      </c>
      <c r="D18" s="8" t="inlineStr">
        <is>
          <t>todos</t>
        </is>
      </c>
      <c r="E18" s="8" t="inlineStr">
        <is>
          <t>presencial</t>
        </is>
      </c>
      <c r="F18" s="8" t="inlineStr">
        <is>
          <t>direta</t>
        </is>
      </c>
      <c r="G18" s="8" t="inlineStr">
        <is>
          <t>A grapa do lacre foi cortada. Quem cortou se feriu através da luva.</t>
        </is>
      </c>
      <c r="H18" s="8" t="inlineStr">
        <is>
          <t>prova</t>
        </is>
      </c>
      <c r="I18" s="8" t="inlineStr">
        <is>
          <t>Luva e cupom da farmácia</t>
        </is>
      </c>
      <c r="J18" s="8" t="inlineStr"/>
      <c r="K18" s="8" t="inlineStr"/>
      <c r="L18" s="8" t="inlineStr">
        <is>
          <t>toda casa</t>
        </is>
      </c>
      <c r="M18" s="8" t="inlineStr">
        <is>
          <t>não</t>
        </is>
      </c>
      <c r="N18" s="8" t="inlineStr"/>
      <c r="O18" s="8" t="inlineStr"/>
      <c r="P18" s="8" t="inlineStr"/>
      <c r="Q18" s="8" t="inlineStr"/>
      <c r="R18" s="8" t="inlineStr"/>
      <c r="S18" s="8" t="inlineStr"/>
      <c r="T18" s="8" t="inlineStr"/>
    </row>
    <row r="19">
      <c r="A19" s="9" t="inlineStr">
        <is>
          <t>c6-018</t>
        </is>
      </c>
      <c r="B19" s="9" t="inlineStr">
        <is>
          <t>~10h12</t>
        </is>
      </c>
      <c r="C19" s="9" t="inlineStr">
        <is>
          <t>O Gerente</t>
        </is>
      </c>
      <c r="D19" s="9" t="inlineStr">
        <is>
          <t>tecnico</t>
        </is>
      </c>
      <c r="E19" s="9" t="inlineStr">
        <is>
          <t>presencial</t>
        </is>
      </c>
      <c r="F19" s="9" t="inlineStr">
        <is>
          <t>direta</t>
        </is>
      </c>
      <c r="G19" s="9" t="inlineStr">
        <is>
          <t>Tire.</t>
        </is>
      </c>
      <c r="H19" s="9" t="inlineStr">
        <is>
          <t>pista falsa</t>
        </is>
      </c>
      <c r="I19" s="9" t="inlineStr"/>
      <c r="J19" s="9" t="inlineStr"/>
      <c r="K19" s="9" t="inlineStr"/>
      <c r="L19" s="9" t="inlineStr">
        <is>
          <t>toda casa</t>
        </is>
      </c>
      <c r="M19" s="9" t="inlineStr">
        <is>
          <t>não</t>
        </is>
      </c>
      <c r="N19" s="9" t="inlineStr"/>
      <c r="O19" s="9" t="inlineStr"/>
      <c r="P19" s="9" t="inlineStr"/>
      <c r="Q19" s="9" t="inlineStr"/>
      <c r="R19" s="9" t="inlineStr"/>
      <c r="S19" s="9" t="inlineStr"/>
      <c r="T19" s="9" t="inlineStr">
        <is>
          <t>Gerente aponta a fita isolante nos dedos do Técnico (falsa pista do capítulo). Embaixo: calos e queimadura antiga, nenhum corte.</t>
        </is>
      </c>
    </row>
    <row r="20">
      <c r="A20" s="8" t="inlineStr">
        <is>
          <t>c6-019</t>
        </is>
      </c>
      <c r="B20" s="8" t="inlineStr">
        <is>
          <t>~10h12</t>
        </is>
      </c>
      <c r="C20" s="8" t="inlineStr">
        <is>
          <t>O Gerente</t>
        </is>
      </c>
      <c r="D20" s="8" t="inlineStr">
        <is>
          <t>todos</t>
        </is>
      </c>
      <c r="E20" s="8" t="inlineStr">
        <is>
          <t>presencial</t>
        </is>
      </c>
      <c r="F20" s="8" t="inlineStr">
        <is>
          <t>indireta</t>
        </is>
      </c>
      <c r="G20" s="8" t="inlineStr">
        <is>
          <t>Ele podia ter usado a outra mão.</t>
        </is>
      </c>
      <c r="H20" s="8" t="inlineStr">
        <is>
          <t>pista falsa</t>
        </is>
      </c>
      <c r="I20" s="8" t="inlineStr"/>
      <c r="J20" s="8" t="inlineStr"/>
      <c r="K20" s="8" t="inlineStr"/>
      <c r="L20" s="8" t="inlineStr">
        <is>
          <t>toda casa</t>
        </is>
      </c>
      <c r="M20" s="8" t="inlineStr">
        <is>
          <t>não</t>
        </is>
      </c>
      <c r="N20" s="8" t="inlineStr"/>
      <c r="O20" s="8" t="inlineStr"/>
      <c r="P20" s="8" t="inlineStr"/>
      <c r="Q20" s="8" t="inlineStr"/>
      <c r="R20" s="8" t="inlineStr"/>
      <c r="S20" s="8" t="inlineStr"/>
      <c r="T20" s="8" t="inlineStr">
        <is>
          <t>Logo depois, a Farmacêutica reconhece o próprio cupom em silêncio (sem fala; reforço mudo, bloco 3).</t>
        </is>
      </c>
    </row>
    <row r="21">
      <c r="A21" s="9" t="inlineStr">
        <is>
          <t>c6-020</t>
        </is>
      </c>
      <c r="B21" s="9" t="inlineStr">
        <is>
          <t>~10h12</t>
        </is>
      </c>
      <c r="C21" s="9" t="inlineStr">
        <is>
          <t>O Gerente</t>
        </is>
      </c>
      <c r="D21" s="9" t="inlineStr">
        <is>
          <t>todos</t>
        </is>
      </c>
      <c r="E21" s="9" t="inlineStr">
        <is>
          <t>presencial</t>
        </is>
      </c>
      <c r="F21" s="9" t="inlineStr">
        <is>
          <t>indireta</t>
        </is>
      </c>
      <c r="G21" s="9" t="inlineStr">
        <is>
          <t>O Técnico criou a conta, travou o sistema, tem chave da porta lateral, conhece a passagem e disse ter estado no Rack durante a janela.</t>
        </is>
      </c>
      <c r="H21" s="9" t="inlineStr">
        <is>
          <t>pista falsa</t>
        </is>
      </c>
      <c r="I21" s="9" t="inlineStr"/>
      <c r="J21" s="9" t="inlineStr"/>
      <c r="K21" s="9" t="inlineStr"/>
      <c r="L21" s="9" t="inlineStr">
        <is>
          <t>toda casa</t>
        </is>
      </c>
      <c r="M21" s="9" t="inlineStr">
        <is>
          <t>não</t>
        </is>
      </c>
      <c r="N21" s="9" t="inlineStr"/>
      <c r="O21" s="9" t="inlineStr"/>
      <c r="P21" s="9" t="inlineStr"/>
      <c r="Q21" s="9" t="inlineStr"/>
      <c r="R21" s="9" t="inlineStr"/>
      <c r="S21" s="9" t="inlineStr"/>
      <c r="T21" s="9" t="inlineStr">
        <is>
          <t>Lista de acusação do falso culpado fixo.</t>
        </is>
      </c>
    </row>
    <row r="22">
      <c r="A22" s="8" t="inlineStr">
        <is>
          <t>c6-021</t>
        </is>
      </c>
      <c r="B22" s="8" t="inlineStr">
        <is>
          <t>~10h12</t>
        </is>
      </c>
      <c r="C22" s="8" t="inlineStr">
        <is>
          <t>A Auditora</t>
        </is>
      </c>
      <c r="D22" s="8" t="inlineStr">
        <is>
          <t>tecnico</t>
        </is>
      </c>
      <c r="E22" s="8" t="inlineStr">
        <is>
          <t>presencial</t>
        </is>
      </c>
      <c r="F22" s="8" t="inlineStr">
        <is>
          <t>direta</t>
        </is>
      </c>
      <c r="G22" s="8" t="inlineStr">
        <is>
          <t>Onde o senhor estava às sete e cinquenta e oito?</t>
        </is>
      </c>
      <c r="H22" s="8" t="inlineStr">
        <is>
          <t>subtrama</t>
        </is>
      </c>
      <c r="I22" s="8" t="inlineStr"/>
      <c r="J22" s="8" t="inlineStr"/>
      <c r="K22" s="8" t="inlineStr"/>
      <c r="L22" s="8" t="inlineStr">
        <is>
          <t>toda casa</t>
        </is>
      </c>
      <c r="M22" s="8" t="inlineStr">
        <is>
          <t>não</t>
        </is>
      </c>
      <c r="N22" s="8" t="inlineStr"/>
      <c r="O22" s="8" t="inlineStr"/>
      <c r="P22" s="8" t="inlineStr"/>
      <c r="Q22" s="8" t="inlineStr"/>
      <c r="R22" s="8" t="inlineStr"/>
      <c r="S22" s="8" t="inlineStr"/>
      <c r="T22" s="8" t="inlineStr"/>
    </row>
    <row r="23">
      <c r="A23" s="9" t="inlineStr">
        <is>
          <t>c6-022</t>
        </is>
      </c>
      <c r="B23" s="9" t="inlineStr">
        <is>
          <t>~10h12</t>
        </is>
      </c>
      <c r="C23" s="9" t="inlineStr">
        <is>
          <t>O Segurança Interno</t>
        </is>
      </c>
      <c r="D23" s="9" t="inlineStr">
        <is>
          <t>tecnico</t>
        </is>
      </c>
      <c r="E23" s="9" t="inlineStr">
        <is>
          <t>presencial</t>
        </is>
      </c>
      <c r="F23" s="9" t="inlineStr">
        <is>
          <t>direta</t>
        </is>
      </c>
      <c r="G23" s="9" t="inlineStr">
        <is>
          <t>O homem de capa. Lá fora, com o motoboy. Eu bati no vidro e ele levantou a mão sem se virar. Era o senhor.</t>
        </is>
      </c>
      <c r="H23" s="9" t="inlineStr">
        <is>
          <t>prova</t>
        </is>
      </c>
      <c r="I23" s="9" t="inlineStr">
        <is>
          <t>O Técnico estava fora</t>
        </is>
      </c>
      <c r="J23" s="9" t="inlineStr"/>
      <c r="K23" s="9" t="inlineStr"/>
      <c r="L23" s="9" t="inlineStr">
        <is>
          <t>toda casa</t>
        </is>
      </c>
      <c r="M23" s="9" t="inlineStr">
        <is>
          <t>não</t>
        </is>
      </c>
      <c r="N23" s="9" t="inlineStr"/>
      <c r="O23" s="9" t="inlineStr"/>
      <c r="P23" s="9" t="inlineStr"/>
      <c r="Q23" s="9" t="inlineStr"/>
      <c r="R23" s="9" t="inlineStr"/>
      <c r="S23" s="9" t="inlineStr"/>
      <c r="T23" s="9" t="inlineStr">
        <is>
          <t>Fonte primária (apoio). Colhe o homem de capa do Cap. 2; gatilho: a capa pingando e a caixa do aplicativo ao lado da porta lateral.</t>
        </is>
      </c>
    </row>
    <row r="24">
      <c r="A24" s="8" t="inlineStr">
        <is>
          <t>c6-023</t>
        </is>
      </c>
      <c r="B24" s="8" t="inlineStr">
        <is>
          <t>~10h12</t>
        </is>
      </c>
      <c r="C24" s="8" t="inlineStr">
        <is>
          <t>A Auditora</t>
        </is>
      </c>
      <c r="D24" s="8" t="inlineStr">
        <is>
          <t>tecnico</t>
        </is>
      </c>
      <c r="E24" s="8" t="inlineStr">
        <is>
          <t>presencial</t>
        </is>
      </c>
      <c r="F24" s="8" t="inlineStr">
        <is>
          <t>indireta</t>
        </is>
      </c>
      <c r="G24" s="8" t="inlineStr">
        <is>
          <t>Me dê o seu telefone.</t>
        </is>
      </c>
      <c r="H24" s="8" t="inlineStr">
        <is>
          <t>ambiente</t>
        </is>
      </c>
      <c r="I24" s="8" t="inlineStr"/>
      <c r="J24" s="8" t="inlineStr"/>
      <c r="K24" s="8" t="inlineStr"/>
      <c r="L24" s="8" t="inlineStr">
        <is>
          <t>toda casa</t>
        </is>
      </c>
      <c r="M24" s="8" t="inlineStr">
        <is>
          <t>não</t>
        </is>
      </c>
      <c r="N24" s="8" t="inlineStr"/>
      <c r="O24" s="8" t="inlineStr"/>
      <c r="P24" s="8" t="inlineStr"/>
      <c r="Q24" s="8" t="inlineStr"/>
      <c r="R24" s="8" t="inlineStr"/>
      <c r="S24" s="8" t="inlineStr"/>
      <c r="T24" s="8" t="inlineStr"/>
    </row>
    <row r="25">
      <c r="A25" s="9" t="inlineStr">
        <is>
          <t>c6-024</t>
        </is>
      </c>
      <c r="B25" s="9" t="inlineStr">
        <is>
          <t>~10h12</t>
        </is>
      </c>
      <c r="C25" s="9" t="inlineStr">
        <is>
          <t>Registro / sistema</t>
        </is>
      </c>
      <c r="D25" s="9" t="inlineStr">
        <is>
          <t>todos</t>
        </is>
      </c>
      <c r="E25" s="9" t="inlineStr">
        <is>
          <t>registro</t>
        </is>
      </c>
      <c r="F25" s="9" t="inlineStr">
        <is>
          <t>indireta</t>
        </is>
      </c>
      <c r="G25" s="9" t="inlineStr">
        <is>
          <t>Entrega recebida às 7h58:51, com a fotografia do motoboy como prova: a porta lateral da agência, a calçada molhada, as mãos do Técnico segurando a caixa.</t>
        </is>
      </c>
      <c r="H25" s="9" t="inlineStr">
        <is>
          <t>prova</t>
        </is>
      </c>
      <c r="I25" s="9" t="inlineStr">
        <is>
          <t>O Técnico estava fora</t>
        </is>
      </c>
      <c r="J25" s="9" t="inlineStr"/>
      <c r="K25" s="9" t="inlineStr"/>
      <c r="L25" s="9" t="inlineStr">
        <is>
          <t>toda casa</t>
        </is>
      </c>
      <c r="M25" s="9" t="inlineStr">
        <is>
          <t>não</t>
        </is>
      </c>
      <c r="N25" s="9" t="inlineStr"/>
      <c r="O25" s="9" t="inlineStr"/>
      <c r="P25" s="9" t="inlineStr"/>
      <c r="Q25" s="9" t="inlineStr"/>
      <c r="R25" s="9" t="inlineStr"/>
      <c r="S25" s="9" t="inlineStr"/>
      <c r="T25" s="9" t="inlineStr">
        <is>
          <t>Registro do aplicativo de entregas no telefone do Técnico (fonte primária). Colhe a mensagem "chego em quinze" do prólogo.</t>
        </is>
      </c>
    </row>
    <row r="26">
      <c r="A26" s="8" t="inlineStr">
        <is>
          <t>c6-025</t>
        </is>
      </c>
      <c r="B26" s="8" t="inlineStr">
        <is>
          <t>10h21</t>
        </is>
      </c>
      <c r="C26" s="8" t="inlineStr">
        <is>
          <t>O Padeiro</t>
        </is>
      </c>
      <c r="D26" s="8" t="inlineStr">
        <is>
          <t>todos</t>
        </is>
      </c>
      <c r="E26" s="8" t="inlineStr">
        <is>
          <t>telefone</t>
        </is>
      </c>
      <c r="F26" s="8" t="inlineStr">
        <is>
          <t>indireta</t>
        </is>
      </c>
      <c r="G26" s="8" t="inlineStr">
        <is>
          <t>Procurei nas imagens da minha porta de serviço sem ninguém pedir. Mando duas: às sete e cinquenta e oito e quarenta e sete, o homem de capa recebendo a caixa; às sete e cinquenta e nove e cinquenta e um, o mesmo homem empurrando a porta com o ombro, o capuz caído.</t>
        </is>
      </c>
      <c r="H26" s="8" t="inlineStr">
        <is>
          <t>reforço</t>
        </is>
      </c>
      <c r="I26" s="8" t="inlineStr">
        <is>
          <t>O Técnico estava fora</t>
        </is>
      </c>
      <c r="J26" s="8" t="inlineStr"/>
      <c r="K26" s="8" t="inlineStr"/>
      <c r="L26" s="8" t="inlineStr">
        <is>
          <t>casa ≥ 10</t>
        </is>
      </c>
      <c r="M26" s="8" t="inlineStr">
        <is>
          <t>sim</t>
        </is>
      </c>
      <c r="N26" s="8" t="inlineStr"/>
      <c r="O26" s="8" t="inlineStr"/>
      <c r="P26" s="8" t="inlineStr"/>
      <c r="Q26" s="8" t="inlineStr"/>
      <c r="R26" s="8" t="inlineStr"/>
      <c r="S26" s="8" t="inlineStr"/>
      <c r="T26" s="8" t="inlineStr">
        <is>
          <t>Bloco 2, reforço. A identificação "Era o Técnico" é do narrador, não do Padeiro (ficha: nunca descreve rosto que não viu). A ficha do capítulo chama esta de "virada" pelas fotografias do Padeiro, mas a exclusão na casa de 6 já vem do Segurança Interno e do aplicativo.</t>
        </is>
      </c>
    </row>
    <row r="27">
      <c r="A27" s="9" t="inlineStr">
        <is>
          <t>c6-026</t>
        </is>
      </c>
      <c r="B27" s="9" t="inlineStr">
        <is>
          <t>10h21</t>
        </is>
      </c>
      <c r="C27" s="9" t="inlineStr">
        <is>
          <t>O Técnico</t>
        </is>
      </c>
      <c r="D27" s="9" t="inlineStr">
        <is>
          <t>todos</t>
        </is>
      </c>
      <c r="E27" s="9" t="inlineStr">
        <is>
          <t>presencial</t>
        </is>
      </c>
      <c r="F27" s="9" t="inlineStr">
        <is>
          <t>direta</t>
        </is>
      </c>
      <c r="G27" s="9" t="inlineStr">
        <is>
          <t>Era uma placa de vídeo usada, sem nota. Para esta agência. Eu menti que estava no Rack porque não podia explicar a caixa.</t>
        </is>
      </c>
      <c r="H27" s="9" t="inlineStr">
        <is>
          <t>revelação</t>
        </is>
      </c>
      <c r="I27" s="9" t="inlineStr"/>
      <c r="J27" s="9" t="inlineStr"/>
      <c r="K27" s="9" t="inlineStr"/>
      <c r="L27" s="9" t="inlineStr">
        <is>
          <t>toda casa</t>
        </is>
      </c>
      <c r="M27" s="9" t="inlineStr">
        <is>
          <t>não</t>
        </is>
      </c>
      <c r="N27" s="9" t="inlineStr"/>
      <c r="O27" s="9" t="inlineStr"/>
      <c r="P27" s="9" t="inlineStr"/>
      <c r="Q27" s="9" t="inlineStr"/>
      <c r="R27" s="9" t="inlineStr"/>
      <c r="S27" s="9" t="inlineStr"/>
      <c r="T27" s="9" t="inlineStr">
        <is>
          <t>Segredo inocente do falso culpado; virada do fim do Cap. 6.</t>
        </is>
      </c>
    </row>
    <row r="28">
      <c r="A28" s="8" t="inlineStr">
        <is>
          <t>c6-027</t>
        </is>
      </c>
      <c r="B28" s="8" t="inlineStr">
        <is>
          <t>10h21</t>
        </is>
      </c>
      <c r="C28" s="8" t="inlineStr">
        <is>
          <t>A Auditora</t>
        </is>
      </c>
      <c r="D28" s="8" t="inlineStr">
        <is>
          <t>tecnico</t>
        </is>
      </c>
      <c r="E28" s="8" t="inlineStr">
        <is>
          <t>presencial</t>
        </is>
      </c>
      <c r="F28" s="8" t="inlineStr">
        <is>
          <t>direta</t>
        </is>
      </c>
      <c r="G28" s="8" t="inlineStr">
        <is>
          <t>Então alguém passou da Gerência para o Rack enquanto o senhor estava lá fora.</t>
        </is>
      </c>
      <c r="H28" s="8" t="inlineStr">
        <is>
          <t>revelação</t>
        </is>
      </c>
      <c r="I28" s="8" t="inlineStr"/>
      <c r="J28" s="8" t="inlineStr"/>
      <c r="K28" s="8" t="inlineStr"/>
      <c r="L28" s="8" t="inlineStr">
        <is>
          <t>toda casa</t>
        </is>
      </c>
      <c r="M28" s="8" t="inlineStr">
        <is>
          <t>não</t>
        </is>
      </c>
      <c r="N28" s="8" t="inlineStr"/>
      <c r="O28" s="8" t="inlineStr"/>
      <c r="P28" s="8" t="inlineStr"/>
      <c r="Q28" s="8" t="inlineStr"/>
      <c r="R28" s="8" t="inlineStr"/>
      <c r="S28" s="8" t="inlineStr"/>
      <c r="T28" s="8" t="inlineStr">
        <is>
          <t>A pergunta seguinte (cabo derretido; Técnico sob vigilância desde 8h25) é narração, "ninguém quis fazer em voz alta"; não virou fala.</t>
        </is>
      </c>
    </row>
  </sheetData>
  <autoFilter ref="A1:T2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37"/>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c7-001</t>
        </is>
      </c>
      <c r="B2" s="8" t="inlineStr">
        <is>
          <t>10h28</t>
        </is>
      </c>
      <c r="C2" s="8" t="inlineStr">
        <is>
          <t>A Auditora</t>
        </is>
      </c>
      <c r="D2" s="8" t="inlineStr">
        <is>
          <t>todos</t>
        </is>
      </c>
      <c r="E2" s="8" t="inlineStr">
        <is>
          <t>presencial</t>
        </is>
      </c>
      <c r="F2" s="8" t="inlineStr">
        <is>
          <t>direta</t>
        </is>
      </c>
      <c r="G2" s="8" t="inlineStr">
        <is>
          <t>Funções dizem o que cada um podia fazer. Medos dizem o que cada um escolheu esconder.</t>
        </is>
      </c>
      <c r="H2" s="8" t="inlineStr">
        <is>
          <t>ambiente</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is>
          <t>Escreve quinze funções no quadro e se recusa a escrever nomes.</t>
        </is>
      </c>
    </row>
    <row r="3">
      <c r="A3" s="9" t="inlineStr">
        <is>
          <t>c7-002</t>
        </is>
      </c>
      <c r="B3" s="9" t="inlineStr">
        <is>
          <t>~10h28</t>
        </is>
      </c>
      <c r="C3" s="9" t="inlineStr">
        <is>
          <t>A Operadora da Central</t>
        </is>
      </c>
      <c r="D3" s="9" t="inlineStr">
        <is>
          <t>todos</t>
        </is>
      </c>
      <c r="E3" s="9" t="inlineStr">
        <is>
          <t>presencial</t>
        </is>
      </c>
      <c r="F3" s="9" t="inlineStr">
        <is>
          <t>indireta</t>
        </is>
      </c>
      <c r="G3" s="9" t="inlineStr">
        <is>
          <t>Na câmera 1: às oito e trinta e um, o Gerente entrou atrás da divisória da própria sala e só saiu cinquenta e quatro segundos depois.</t>
        </is>
      </c>
      <c r="H3" s="9" t="inlineStr">
        <is>
          <t>revelação</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is>
          <t>Encobrimento das 8h31. "Da Gerência ao Rack, pela passagem, eram quinze segundos" é narração (sem dono).</t>
        </is>
      </c>
    </row>
    <row r="4">
      <c r="A4" s="8" t="inlineStr">
        <is>
          <t>c7-003</t>
        </is>
      </c>
      <c r="B4" s="8" t="inlineStr">
        <is>
          <t>~10h28</t>
        </is>
      </c>
      <c r="C4" s="8" t="inlineStr">
        <is>
          <t>O Gerente</t>
        </is>
      </c>
      <c r="D4" s="8" t="inlineStr">
        <is>
          <t>todos</t>
        </is>
      </c>
      <c r="E4" s="8" t="inlineStr">
        <is>
          <t>presencial</t>
        </is>
      </c>
      <c r="F4" s="8" t="inlineStr">
        <is>
          <t>indireta</t>
        </is>
      </c>
      <c r="G4" s="8" t="inlineStr">
        <is>
          <t>Abri a fila da impressora para ver o que gemeu às sete e cinquenta e três e li, na tela, a minha própria saída de onze dias antes.</t>
        </is>
      </c>
      <c r="H4" s="8" t="inlineStr">
        <is>
          <t>revelação</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is>
          <t>Na partida G, esta explicação é verdadeira e também encobre a autoria.</t>
        </is>
      </c>
    </row>
    <row r="5">
      <c r="A5" s="9" t="inlineStr">
        <is>
          <t>c7-004</t>
        </is>
      </c>
      <c r="B5" s="9" t="inlineStr">
        <is>
          <t>~10h28</t>
        </is>
      </c>
      <c r="C5" s="9" t="inlineStr">
        <is>
          <t>O Gerente</t>
        </is>
      </c>
      <c r="D5" s="9" t="inlineStr">
        <is>
          <t>todos</t>
        </is>
      </c>
      <c r="E5" s="9" t="inlineStr">
        <is>
          <t>presencial</t>
        </is>
      </c>
      <c r="F5" s="9" t="inlineStr">
        <is>
          <t>direta</t>
        </is>
      </c>
      <c r="G5" s="9" t="inlineStr">
        <is>
          <t>Pensei que a auditoria ia levar aquilo como prova contra mim. Encostei o cabo. Não toquei no malote.</t>
        </is>
      </c>
      <c r="H5" s="9" t="inlineStr">
        <is>
          <t>revelação</t>
        </is>
      </c>
      <c r="I5" s="9" t="inlineStr"/>
      <c r="J5" s="9" t="inlineStr"/>
      <c r="K5" s="9" t="inlineStr"/>
      <c r="L5" s="9" t="inlineStr">
        <is>
          <t>toda casa</t>
        </is>
      </c>
      <c r="M5" s="9" t="inlineStr">
        <is>
          <t>não</t>
        </is>
      </c>
      <c r="N5" s="9" t="inlineStr"/>
      <c r="O5" s="9" t="inlineStr"/>
      <c r="P5" s="9" t="inlineStr"/>
      <c r="Q5" s="9" t="inlineStr"/>
      <c r="R5" s="9" t="inlineStr"/>
      <c r="S5" s="9" t="inlineStr"/>
      <c r="T5" s="9" t="inlineStr">
        <is>
          <t>Na partida G, "Não toquei no malote" é mentira do impostor; a fala é fixa (sem marca A#). Ver problemas.</t>
        </is>
      </c>
    </row>
    <row r="6">
      <c r="A6" s="8" t="inlineStr">
        <is>
          <t>c7-005</t>
        </is>
      </c>
      <c r="B6" s="8" t="inlineStr">
        <is>
          <t>~10h28</t>
        </is>
      </c>
      <c r="C6" s="8" t="inlineStr">
        <is>
          <t>A Cliente do Cofre</t>
        </is>
      </c>
      <c r="D6" s="8" t="inlineStr">
        <is>
          <t>todos</t>
        </is>
      </c>
      <c r="E6" s="8" t="inlineStr">
        <is>
          <t>presencial</t>
        </is>
      </c>
      <c r="F6" s="8" t="inlineStr">
        <is>
          <t>indireta</t>
        </is>
      </c>
      <c r="G6" s="8" t="inlineStr">
        <is>
          <t>Esta é a planta, dobrada em oito, com carimbo de 1987 e a assinatura do meu pai, o engenheiro da obra. Atrás da parede do banheiro, a lápis, uma linha estreita liga o armário da Gerência ao fundo do Rack. Grampeada à planta, uma folha datilografada de 1990: "O caminho do painel é de conhecimento exclusivo das três chaves da tesouraria."</t>
        </is>
      </c>
      <c r="H6" s="8" t="inlineStr">
        <is>
          <t>prova</t>
        </is>
      </c>
      <c r="I6" s="8" t="inlineStr">
        <is>
          <t>Passagem só da tesouraria</t>
        </is>
      </c>
      <c r="J6" s="8" t="inlineStr"/>
      <c r="K6" s="8" t="inlineStr"/>
      <c r="L6" s="8" t="inlineStr">
        <is>
          <t>toda casa</t>
        </is>
      </c>
      <c r="M6" s="8" t="inlineStr">
        <is>
          <t>não</t>
        </is>
      </c>
      <c r="N6" s="8" t="inlineStr"/>
      <c r="O6" s="8" t="inlineStr"/>
      <c r="P6" s="8" t="inlineStr"/>
      <c r="Q6" s="8" t="inlineStr"/>
      <c r="R6" s="8" t="inlineStr"/>
      <c r="S6" s="8" t="inlineStr"/>
      <c r="T6" s="8" t="inlineStr">
        <is>
          <t>No texto a Cliente só abre a pasta (narração); reescrito como fala para levar a prova ao canal. Fonte primária (núcleo).</t>
        </is>
      </c>
    </row>
    <row r="7">
      <c r="A7" s="9" t="inlineStr">
        <is>
          <t>c7-006</t>
        </is>
      </c>
      <c r="B7" s="9" t="inlineStr">
        <is>
          <t>~10h28</t>
        </is>
      </c>
      <c r="C7" s="9" t="inlineStr">
        <is>
          <t>A Cliente do Cofre</t>
        </is>
      </c>
      <c r="D7" s="9" t="inlineStr">
        <is>
          <t>todos</t>
        </is>
      </c>
      <c r="E7" s="9" t="inlineStr">
        <is>
          <t>presencial</t>
        </is>
      </c>
      <c r="F7" s="9" t="inlineStr">
        <is>
          <t>direta</t>
        </is>
      </c>
      <c r="G7" s="9" t="inlineStr">
        <is>
          <t>Meu pai recebeu por fora para construir isso. Para um gerente que guardava dinheiro que não constava em lugar nenhum. Eu vim tirar estas cartas daqui antes que alguém as lesse.</t>
        </is>
      </c>
      <c r="H7" s="9" t="inlineStr">
        <is>
          <t>subtrama</t>
        </is>
      </c>
      <c r="I7" s="9" t="inlineStr">
        <is>
          <t>Passagem só da tesouraria</t>
        </is>
      </c>
      <c r="J7" s="9" t="inlineStr"/>
      <c r="K7" s="9" t="inlineStr"/>
      <c r="L7" s="9" t="inlineStr">
        <is>
          <t>toda casa</t>
        </is>
      </c>
      <c r="M7" s="9" t="inlineStr">
        <is>
          <t>não</t>
        </is>
      </c>
      <c r="N7" s="9" t="inlineStr"/>
      <c r="O7" s="9" t="inlineStr"/>
      <c r="P7" s="9" t="inlineStr"/>
      <c r="Q7" s="9" t="inlineStr"/>
      <c r="R7" s="9" t="inlineStr"/>
      <c r="S7" s="9" t="inlineStr"/>
      <c r="T7" s="9" t="inlineStr">
        <is>
          <t>Segredo inocente da Cliente.</t>
        </is>
      </c>
    </row>
    <row r="8">
      <c r="A8" s="8" t="inlineStr">
        <is>
          <t>c7-007</t>
        </is>
      </c>
      <c r="B8" s="8" t="inlineStr">
        <is>
          <t>~10h28</t>
        </is>
      </c>
      <c r="C8" s="8" t="inlineStr">
        <is>
          <t>A Auditora</t>
        </is>
      </c>
      <c r="D8" s="8" t="inlineStr">
        <is>
          <t>todos</t>
        </is>
      </c>
      <c r="E8" s="8" t="inlineStr">
        <is>
          <t>presencial</t>
        </is>
      </c>
      <c r="F8" s="8" t="inlineStr">
        <is>
          <t>direta</t>
        </is>
      </c>
      <c r="G8" s="8" t="inlineStr">
        <is>
          <t>O Técnico descobriu sozinho. Os outros receberam de herança.</t>
        </is>
      </c>
      <c r="H8" s="8" t="inlineStr">
        <is>
          <t>prova</t>
        </is>
      </c>
      <c r="I8" s="8" t="inlineStr">
        <is>
          <t>Passagem só da tesouraria</t>
        </is>
      </c>
      <c r="J8" s="8" t="inlineStr"/>
      <c r="K8" s="8" t="inlineStr"/>
      <c r="L8" s="8" t="inlineStr">
        <is>
          <t>toda casa</t>
        </is>
      </c>
      <c r="M8" s="8" t="inlineStr">
        <is>
          <t>não</t>
        </is>
      </c>
      <c r="N8" s="8" t="inlineStr"/>
      <c r="O8" s="8" t="inlineStr"/>
      <c r="P8" s="8" t="inlineStr"/>
      <c r="Q8" s="8" t="inlineStr"/>
      <c r="R8" s="8" t="inlineStr"/>
      <c r="S8" s="8" t="inlineStr"/>
      <c r="T8" s="8" t="inlineStr">
        <is>
          <t>Efeito teia: a passagem deixa de ser indício do Técnico. A frase seguinte (as três chaves; o Veterano não ergue os olhos) é narração.</t>
        </is>
      </c>
    </row>
    <row r="9">
      <c r="A9" s="9" t="inlineStr">
        <is>
          <t>c7-008</t>
        </is>
      </c>
      <c r="B9" s="9" t="inlineStr">
        <is>
          <t>~10h30</t>
        </is>
      </c>
      <c r="C9" s="9" t="inlineStr">
        <is>
          <t>A Auditora</t>
        </is>
      </c>
      <c r="D9" s="9" t="inlineStr">
        <is>
          <t>todos</t>
        </is>
      </c>
      <c r="E9" s="9" t="inlineStr">
        <is>
          <t>presencial</t>
        </is>
      </c>
      <c r="F9" s="9" t="inlineStr">
        <is>
          <t>indireta</t>
        </is>
      </c>
      <c r="G9" s="9" t="inlineStr">
        <is>
          <t>Digam não o que viram, mas o que esperavam ver quando olharam.</t>
        </is>
      </c>
      <c r="H9" s="9" t="inlineStr">
        <is>
          <t>ambiente</t>
        </is>
      </c>
      <c r="I9" s="9" t="inlineStr"/>
      <c r="J9" s="9" t="inlineStr"/>
      <c r="K9" s="9" t="inlineStr"/>
      <c r="L9" s="9" t="inlineStr">
        <is>
          <t>toda casa</t>
        </is>
      </c>
      <c r="M9" s="9" t="inlineStr">
        <is>
          <t>não</t>
        </is>
      </c>
      <c r="N9" s="9" t="inlineStr"/>
      <c r="O9" s="9" t="inlineStr"/>
      <c r="P9" s="9" t="inlineStr"/>
      <c r="Q9" s="9" t="inlineStr"/>
      <c r="R9" s="9" t="inlineStr"/>
      <c r="S9" s="9" t="inlineStr"/>
      <c r="T9" s="9" t="inlineStr"/>
    </row>
    <row r="10">
      <c r="A10" s="8" t="inlineStr">
        <is>
          <t>c7-009</t>
        </is>
      </c>
      <c r="B10" s="8" t="inlineStr">
        <is>
          <t>~10h30</t>
        </is>
      </c>
      <c r="C10" s="8" t="inlineStr">
        <is>
          <t>O Segurança Interno</t>
        </is>
      </c>
      <c r="D10" s="8" t="inlineStr">
        <is>
          <t>auditora</t>
        </is>
      </c>
      <c r="E10" s="8" t="inlineStr">
        <is>
          <t>presencial</t>
        </is>
      </c>
      <c r="F10" s="8" t="inlineStr">
        <is>
          <t>indireta</t>
        </is>
      </c>
      <c r="G10" s="8" t="inlineStr">
        <is>
          <t>Eu esperava uma invasão e transformei um motoboy em ameaça.</t>
        </is>
      </c>
      <c r="H10" s="8" t="inlineStr">
        <is>
          <t>ambiente</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row>
    <row r="11">
      <c r="A11" s="9" t="inlineStr">
        <is>
          <t>c7-010</t>
        </is>
      </c>
      <c r="B11" s="9" t="inlineStr">
        <is>
          <t>~10h30</t>
        </is>
      </c>
      <c r="C11" s="9" t="inlineStr">
        <is>
          <t>O Técnico</t>
        </is>
      </c>
      <c r="D11" s="9" t="inlineStr">
        <is>
          <t>auditora</t>
        </is>
      </c>
      <c r="E11" s="9" t="inlineStr">
        <is>
          <t>presencial</t>
        </is>
      </c>
      <c r="F11" s="9" t="inlineStr">
        <is>
          <t>indireta</t>
        </is>
      </c>
      <c r="G11" s="9" t="inlineStr">
        <is>
          <t>Eu esperava uma falha humana e desconfiei do conector, não da parede.</t>
        </is>
      </c>
      <c r="H11" s="9" t="inlineStr">
        <is>
          <t>ambiente</t>
        </is>
      </c>
      <c r="I11" s="9" t="inlineStr"/>
      <c r="J11" s="9" t="inlineStr"/>
      <c r="K11" s="9" t="inlineStr"/>
      <c r="L11" s="9" t="inlineStr">
        <is>
          <t>toda casa</t>
        </is>
      </c>
      <c r="M11" s="9" t="inlineStr">
        <is>
          <t>não</t>
        </is>
      </c>
      <c r="N11" s="9" t="inlineStr"/>
      <c r="O11" s="9" t="inlineStr"/>
      <c r="P11" s="9" t="inlineStr"/>
      <c r="Q11" s="9" t="inlineStr"/>
      <c r="R11" s="9" t="inlineStr"/>
      <c r="S11" s="9" t="inlineStr"/>
      <c r="T11" s="9" t="inlineStr"/>
    </row>
    <row r="12">
      <c r="A12" s="8" t="inlineStr">
        <is>
          <t>c7-011</t>
        </is>
      </c>
      <c r="B12" s="8" t="inlineStr">
        <is>
          <t>~10h30</t>
        </is>
      </c>
      <c r="C12" s="8" t="inlineStr">
        <is>
          <t>A Farmacêutica</t>
        </is>
      </c>
      <c r="D12" s="8" t="inlineStr">
        <is>
          <t>auditora</t>
        </is>
      </c>
      <c r="E12" s="8" t="inlineStr">
        <is>
          <t>presencial</t>
        </is>
      </c>
      <c r="F12" s="8" t="inlineStr">
        <is>
          <t>indireta</t>
        </is>
      </c>
      <c r="G12" s="8" t="inlineStr">
        <is>
          <t>Eu esperava uma crise e notei respirações antes de notar mentiras.</t>
        </is>
      </c>
      <c r="H12" s="8" t="inlineStr">
        <is>
          <t>ambiente</t>
        </is>
      </c>
      <c r="I12" s="8" t="inlineStr"/>
      <c r="J12" s="8" t="inlineStr"/>
      <c r="K12" s="8" t="inlineStr"/>
      <c r="L12" s="8" t="inlineStr">
        <is>
          <t>casa ≥ 12</t>
        </is>
      </c>
      <c r="M12" s="8" t="inlineStr">
        <is>
          <t>sim</t>
        </is>
      </c>
      <c r="N12" s="8" t="inlineStr"/>
      <c r="O12" s="8" t="inlineStr"/>
      <c r="P12" s="8" t="inlineStr"/>
      <c r="Q12" s="8" t="inlineStr"/>
      <c r="R12" s="8" t="inlineStr"/>
      <c r="S12" s="8" t="inlineStr"/>
      <c r="T12" s="8" t="inlineStr"/>
    </row>
    <row r="13">
      <c r="A13" s="9" t="inlineStr">
        <is>
          <t>c7-012</t>
        </is>
      </c>
      <c r="B13" s="9" t="inlineStr">
        <is>
          <t>~10h30</t>
        </is>
      </c>
      <c r="C13" s="9" t="inlineStr">
        <is>
          <t>A Auditora</t>
        </is>
      </c>
      <c r="D13" s="9" t="inlineStr">
        <is>
          <t>todos</t>
        </is>
      </c>
      <c r="E13" s="9" t="inlineStr">
        <is>
          <t>presencial</t>
        </is>
      </c>
      <c r="F13" s="9" t="inlineStr">
        <is>
          <t>indireta</t>
        </is>
      </c>
      <c r="G13" s="9" t="inlineStr">
        <is>
          <t>Agora, as declarações: quero confirmações.</t>
        </is>
      </c>
      <c r="H13" s="9" t="inlineStr">
        <is>
          <t>ambiente</t>
        </is>
      </c>
      <c r="I13" s="9" t="inlineStr"/>
      <c r="J13" s="9" t="inlineStr"/>
      <c r="K13" s="9" t="inlineStr"/>
      <c r="L13" s="9" t="inlineStr">
        <is>
          <t>toda casa</t>
        </is>
      </c>
      <c r="M13" s="9" t="inlineStr">
        <is>
          <t>não</t>
        </is>
      </c>
      <c r="N13" s="9" t="inlineStr"/>
      <c r="O13" s="9" t="inlineStr"/>
      <c r="P13" s="9" t="inlineStr"/>
      <c r="Q13" s="9" t="inlineStr"/>
      <c r="R13" s="9" t="inlineStr"/>
      <c r="S13" s="9" t="inlineStr"/>
      <c r="T13" s="9" t="inlineStr"/>
    </row>
    <row r="14">
      <c r="A14" s="12" t="inlineStr">
        <is>
          <t>c7-013</t>
        </is>
      </c>
      <c r="B14" s="12" t="inlineStr">
        <is>
          <t>~10h30</t>
        </is>
      </c>
      <c r="C14" s="12" t="inlineStr">
        <is>
          <t>A Cliente do Cofre</t>
        </is>
      </c>
      <c r="D14" s="12" t="inlineStr">
        <is>
          <t>todos</t>
        </is>
      </c>
      <c r="E14" s="12" t="inlineStr">
        <is>
          <t>presencial</t>
        </is>
      </c>
      <c r="F14" s="12" t="inlineStr">
        <is>
          <t>direta</t>
        </is>
      </c>
      <c r="G14" s="12" t="inlineStr">
        <is>
          <t>Às sete e cinquenta e sete, entraram dois na Gerência para assinar o livro. Saiu um, quase em seguida, e foi para a Mesa. O outro ficou. Depois disso, ninguém mais entrou naquela sala até o malote atravessar.</t>
        </is>
      </c>
      <c r="H14" s="12" t="inlineStr">
        <is>
          <t>prova</t>
        </is>
      </c>
      <c r="I14" s="12" t="inlineStr">
        <is>
          <t>Dois entraram na Gerência, um saiu</t>
        </is>
      </c>
      <c r="J14" s="12" t="inlineStr">
        <is>
          <t>A4</t>
        </is>
      </c>
      <c r="K14" s="12" t="inlineStr">
        <is>
          <t>Variante G: Às sete e cinquenta e sete, entraram dois na Gerência para assinar o livro e saíram os dois. Logo depois, o Gerente deixou a Auditora "para um telefonema" e entrou sozinho. Depois disso, ninguém mais entrou naquela sala até o malote atravessar. | Variante V: Às sete e cinquenta e sete, entraram dois na Gerência para assinar o livro. Saiu um, quase em seguida, e foi para os Guichês. O outro ficou. Depois disso, ninguém mais entrou naquela sala até o malote atravessar.</t>
        </is>
      </c>
      <c r="L14" s="12" t="inlineStr">
        <is>
          <t>toda casa</t>
        </is>
      </c>
      <c r="M14" s="12" t="inlineStr">
        <is>
          <t>não</t>
        </is>
      </c>
      <c r="N14" s="12" t="inlineStr"/>
      <c r="O14" s="12" t="inlineStr"/>
      <c r="P14" s="12" t="inlineStr"/>
      <c r="Q14" s="12" t="inlineStr"/>
      <c r="R14" s="12" t="inlineStr"/>
      <c r="S14" s="12" t="inlineStr"/>
      <c r="T14" s="12" t="inlineStr">
        <is>
          <t>Fonte primária (núcleo). Antes da fala, narração: estivera junto à Porta Giratória contando silhuetas. Na G a variação foi montada da tabela A4 + Variante G (o texto não traz a fala pronta); a prova deixa de ser "dois entraram, um saiu".</t>
        </is>
      </c>
    </row>
    <row r="15">
      <c r="A15" s="12" t="inlineStr">
        <is>
          <t>c7-014</t>
        </is>
      </c>
      <c r="B15" s="12" t="inlineStr">
        <is>
          <t>~10h30</t>
        </is>
      </c>
      <c r="C15" s="12" t="inlineStr">
        <is>
          <t>A Operadora da Central</t>
        </is>
      </c>
      <c r="D15" s="12" t="inlineStr">
        <is>
          <t>todos</t>
        </is>
      </c>
      <c r="E15" s="12" t="inlineStr">
        <is>
          <t>presencial</t>
        </is>
      </c>
      <c r="F15" s="12" t="inlineStr">
        <is>
          <t>indireta</t>
        </is>
      </c>
      <c r="G15" s="12" t="inlineStr">
        <is>
          <t>A câmera 1, que vê a divisória por fora, confirma a conta.</t>
        </is>
      </c>
      <c r="H15" s="12" t="inlineStr">
        <is>
          <t>prova</t>
        </is>
      </c>
      <c r="I15" s="12" t="inlineStr">
        <is>
          <t>Dois entraram na Gerência, um saiu</t>
        </is>
      </c>
      <c r="J15" s="12" t="inlineStr">
        <is>
          <t>A4</t>
        </is>
      </c>
      <c r="K15" s="12" t="inlineStr">
        <is>
          <t>Variante G: a câmera 1 confirma que os dois saíram e mostra o Gerente entrando na divisória às 7h57:50. | Variante V: a câmera 1 confirma a conta (dois entraram, um saiu).</t>
        </is>
      </c>
      <c r="L15" s="12" t="inlineStr">
        <is>
          <t>toda casa</t>
        </is>
      </c>
      <c r="M15" s="12" t="inlineStr">
        <is>
          <t>não</t>
        </is>
      </c>
      <c r="N15" s="12" t="inlineStr"/>
      <c r="O15" s="12" t="inlineStr"/>
      <c r="P15" s="12" t="inlineStr"/>
      <c r="Q15" s="12" t="inlineStr"/>
      <c r="R15" s="12" t="inlineStr"/>
      <c r="S15" s="12" t="inlineStr"/>
      <c r="T15" s="12" t="inlineStr">
        <is>
          <t>Fonte primária (câmera 1, Operadora).</t>
        </is>
      </c>
    </row>
    <row r="16">
      <c r="A16" s="12" t="inlineStr">
        <is>
          <t>c7-015</t>
        </is>
      </c>
      <c r="B16" s="12" t="inlineStr">
        <is>
          <t>~10h30</t>
        </is>
      </c>
      <c r="C16" s="12" t="inlineStr">
        <is>
          <t>A Farmacêutica</t>
        </is>
      </c>
      <c r="D16" s="12" t="inlineStr">
        <is>
          <t>todos</t>
        </is>
      </c>
      <c r="E16" s="12" t="inlineStr">
        <is>
          <t>presencial</t>
        </is>
      </c>
      <c r="F16" s="12" t="inlineStr">
        <is>
          <t>indireta</t>
        </is>
      </c>
      <c r="G16" s="12" t="inlineStr">
        <is>
          <t>Confirmo a conta. Conto pessoas sem querer, como conto comprimidos.</t>
        </is>
      </c>
      <c r="H16" s="12" t="inlineStr">
        <is>
          <t>reforço</t>
        </is>
      </c>
      <c r="I16" s="12" t="inlineStr">
        <is>
          <t>Dois entraram na Gerência, um saiu</t>
        </is>
      </c>
      <c r="J16" s="12" t="inlineStr">
        <is>
          <t>A4</t>
        </is>
      </c>
      <c r="K16" s="12" t="inlineStr">
        <is>
          <t>Variante G: confirma que os dois saíram e que o Gerente entrou sozinho depois. | Variante V: igual à referência.</t>
        </is>
      </c>
      <c r="L16" s="12" t="inlineStr">
        <is>
          <t>casa ≥ 12</t>
        </is>
      </c>
      <c r="M16" s="12" t="inlineStr">
        <is>
          <t>sim</t>
        </is>
      </c>
      <c r="N16" s="12" t="inlineStr"/>
      <c r="O16" s="12" t="inlineStr"/>
      <c r="P16" s="12" t="inlineStr"/>
      <c r="Q16" s="12" t="inlineStr"/>
      <c r="R16" s="12" t="inlineStr"/>
      <c r="S16" s="12" t="inlineStr"/>
      <c r="T16" s="12" t="inlineStr">
        <is>
          <t>Bloco 3, reforço.</t>
        </is>
      </c>
    </row>
    <row r="17">
      <c r="A17" s="12" t="inlineStr">
        <is>
          <t>c7-016</t>
        </is>
      </c>
      <c r="B17" s="12" t="inlineStr">
        <is>
          <t>~10h30</t>
        </is>
      </c>
      <c r="C17" s="12" t="inlineStr">
        <is>
          <t>A Operadora da Central</t>
        </is>
      </c>
      <c r="D17" s="12" t="inlineStr">
        <is>
          <t>todos</t>
        </is>
      </c>
      <c r="E17" s="12" t="inlineStr">
        <is>
          <t>presencial</t>
        </is>
      </c>
      <c r="F17" s="12" t="inlineStr">
        <is>
          <t>indireta</t>
        </is>
      </c>
      <c r="G17" s="12" t="inlineStr">
        <is>
          <t>Na câmera 2, que vê os Guichês e a Mesa e não caiu em momento algum: o Caixa Veterano chega à Mesa às sete e cinquenta e sete e cinquenta e cinco e não sai dali.</t>
        </is>
      </c>
      <c r="H17" s="12" t="inlineStr">
        <is>
          <t>prova</t>
        </is>
      </c>
      <c r="I17" s="12" t="inlineStr">
        <is>
          <t>Quem estava onde na janela</t>
        </is>
      </c>
      <c r="J17" s="12" t="inlineStr">
        <is>
          <t>A5b</t>
        </is>
      </c>
      <c r="K17" s="12" t="inlineStr">
        <is>
          <t>Variante G: igual (Caixa Veterano na Mesa, câmera 2). | Variante V: a câmera 2 mostra a Mesa vazia até 8h00:02 (o Caixa Veterano, que disse estar na Mesa, não está).</t>
        </is>
      </c>
      <c r="L17" s="12" t="inlineStr">
        <is>
          <t>toda casa</t>
        </is>
      </c>
      <c r="M17" s="12" t="inlineStr">
        <is>
          <t>não</t>
        </is>
      </c>
      <c r="N17" s="12" t="inlineStr"/>
      <c r="O17" s="12" t="inlineStr"/>
      <c r="P17" s="12" t="inlineStr"/>
      <c r="Q17" s="12" t="inlineStr"/>
      <c r="R17" s="12" t="inlineStr"/>
      <c r="S17" s="12" t="inlineStr"/>
      <c r="T17" s="12" t="inlineStr">
        <is>
          <t>Fonte primária (câmera 2). Na V, o ponto vira A5 (desmentido).</t>
        </is>
      </c>
    </row>
    <row r="18">
      <c r="A18" s="12" t="inlineStr">
        <is>
          <t>c7-017</t>
        </is>
      </c>
      <c r="B18" s="12" t="inlineStr">
        <is>
          <t>~10h30</t>
        </is>
      </c>
      <c r="C18" s="12" t="inlineStr">
        <is>
          <t>O Segurança do Veículo</t>
        </is>
      </c>
      <c r="D18" s="12" t="inlineStr">
        <is>
          <t>todos</t>
        </is>
      </c>
      <c r="E18" s="12" t="inlineStr">
        <is>
          <t>presencial</t>
        </is>
      </c>
      <c r="F18" s="12" t="inlineStr">
        <is>
          <t>indireta</t>
        </is>
      </c>
      <c r="G18" s="12" t="inlineStr">
        <is>
          <t>Da Eclusa, pelo vidro, eu o vi do mesmo jeito, na Mesa.</t>
        </is>
      </c>
      <c r="H18" s="12" t="inlineStr">
        <is>
          <t>reforço</t>
        </is>
      </c>
      <c r="I18" s="12" t="inlineStr">
        <is>
          <t>Quem estava onde na janela</t>
        </is>
      </c>
      <c r="J18" s="12" t="inlineStr">
        <is>
          <t>A5b</t>
        </is>
      </c>
      <c r="K18" s="12" t="inlineStr">
        <is>
          <t>Variante G: igual. | Variante V: Da Eclusa, pelo vidro, vi a Mesa vazia até as oito e zero zero e dois.</t>
        </is>
      </c>
      <c r="L18" s="12" t="inlineStr">
        <is>
          <t>casa ≥ 10</t>
        </is>
      </c>
      <c r="M18" s="12" t="inlineStr">
        <is>
          <t>sim</t>
        </is>
      </c>
      <c r="N18" s="12" t="inlineStr"/>
      <c r="O18" s="12" t="inlineStr"/>
      <c r="P18" s="12" t="inlineStr"/>
      <c r="Q18" s="12" t="inlineStr"/>
      <c r="R18" s="12" t="inlineStr"/>
      <c r="S18" s="12" t="inlineStr"/>
      <c r="T18" s="12" t="inlineStr">
        <is>
          <t>Bloco 2, reforço. Na V a Variante do Cap. 8 cita o Segurança do Veículo como quem viu; na casa de 6 ele não está, e a fonte tem de ser a câmera 2.</t>
        </is>
      </c>
    </row>
    <row r="19">
      <c r="A19" s="12" t="inlineStr">
        <is>
          <t>c7-018</t>
        </is>
      </c>
      <c r="B19" s="12" t="inlineStr">
        <is>
          <t>~10h30</t>
        </is>
      </c>
      <c r="C19" s="12" t="inlineStr">
        <is>
          <t>A Operadora da Central</t>
        </is>
      </c>
      <c r="D19" s="12" t="inlineStr">
        <is>
          <t>todos</t>
        </is>
      </c>
      <c r="E19" s="12" t="inlineStr">
        <is>
          <t>presencial</t>
        </is>
      </c>
      <c r="F19" s="12" t="inlineStr">
        <is>
          <t>indireta</t>
        </is>
      </c>
      <c r="G19" s="12" t="inlineStr">
        <is>
          <t>O Gerente esteve junto à Porta Giratória o tempo todo.</t>
        </is>
      </c>
      <c r="H19" s="12" t="inlineStr">
        <is>
          <t>prova</t>
        </is>
      </c>
      <c r="I19" s="12" t="inlineStr">
        <is>
          <t>Quem estava onde na janela</t>
        </is>
      </c>
      <c r="J19" s="12" t="inlineStr">
        <is>
          <t>A5b</t>
        </is>
      </c>
      <c r="K19" s="12" t="inlineStr">
        <is>
          <t>Variante G: a câmera 1 mostra o Gerente entrando na divisória às 7h57:50; o ramal da Gerência não tem chamada entre 7h50 e 8h10 (A5, desmentido do "telefonema"). | Variante V: igual à referência.</t>
        </is>
      </c>
      <c r="L19" s="12" t="inlineStr">
        <is>
          <t>toda casa</t>
        </is>
      </c>
      <c r="M19" s="12" t="inlineStr">
        <is>
          <t>não</t>
        </is>
      </c>
      <c r="N19" s="12" t="inlineStr"/>
      <c r="O19" s="12" t="inlineStr"/>
      <c r="P19" s="12" t="inlineStr"/>
      <c r="Q19" s="12" t="inlineStr"/>
      <c r="R19" s="12" t="inlineStr"/>
      <c r="S19" s="12" t="inlineStr"/>
      <c r="T19" s="12" t="inlineStr">
        <is>
          <t>No texto a fonte não é nomeada nesta frase; pela tabela A5b é a câmera 1 (Operadora).</t>
        </is>
      </c>
    </row>
    <row r="20">
      <c r="A20" s="12" t="inlineStr">
        <is>
          <t>c7-019</t>
        </is>
      </c>
      <c r="B20" s="12" t="inlineStr">
        <is>
          <t>~10h30</t>
        </is>
      </c>
      <c r="C20" s="12" t="inlineStr">
        <is>
          <t>A Auditora</t>
        </is>
      </c>
      <c r="D20" s="12" t="inlineStr">
        <is>
          <t>todos</t>
        </is>
      </c>
      <c r="E20" s="12" t="inlineStr">
        <is>
          <t>presencial</t>
        </is>
      </c>
      <c r="F20" s="12" t="inlineStr">
        <is>
          <t>indireta</t>
        </is>
      </c>
      <c r="G20" s="12" t="inlineStr">
        <is>
          <t>Confirmo: o Gerente esteve junto à Porta Giratória.</t>
        </is>
      </c>
      <c r="H20" s="12" t="inlineStr">
        <is>
          <t>prova</t>
        </is>
      </c>
      <c r="I20" s="12" t="inlineStr">
        <is>
          <t>Quem estava onde na janela</t>
        </is>
      </c>
      <c r="J20" s="12" t="inlineStr">
        <is>
          <t>A5b</t>
        </is>
      </c>
      <c r="K20" s="12" t="inlineStr">
        <is>
          <t>Variante G: O Gerente me deixou "para um telefonema" e entrou na sala às sete e cinquenta e sete e cinquenta. | Variante V: igual à referência.</t>
        </is>
      </c>
      <c r="L20" s="12" t="inlineStr">
        <is>
          <t>toda casa</t>
        </is>
      </c>
      <c r="M20" s="12" t="inlineStr">
        <is>
          <t>não</t>
        </is>
      </c>
      <c r="N20" s="12" t="inlineStr"/>
      <c r="O20" s="12" t="inlineStr"/>
      <c r="P20" s="12" t="inlineStr"/>
      <c r="Q20" s="12" t="inlineStr"/>
      <c r="R20" s="12" t="inlineStr"/>
      <c r="S20" s="12" t="inlineStr"/>
      <c r="T20" s="12" t="inlineStr"/>
    </row>
    <row r="21">
      <c r="A21" s="12" t="inlineStr">
        <is>
          <t>c7-020</t>
        </is>
      </c>
      <c r="B21" s="12" t="inlineStr">
        <is>
          <t>~10h30</t>
        </is>
      </c>
      <c r="C21" s="12" t="inlineStr">
        <is>
          <t>A Cliente do Cofre</t>
        </is>
      </c>
      <c r="D21" s="12" t="inlineStr">
        <is>
          <t>todos</t>
        </is>
      </c>
      <c r="E21" s="12" t="inlineStr">
        <is>
          <t>presencial</t>
        </is>
      </c>
      <c r="F21" s="12" t="inlineStr">
        <is>
          <t>indireta</t>
        </is>
      </c>
      <c r="G21" s="12" t="inlineStr">
        <is>
          <t>Confirmo: o Gerente esteve junto à Porta Giratória.</t>
        </is>
      </c>
      <c r="H21" s="12" t="inlineStr">
        <is>
          <t>prova</t>
        </is>
      </c>
      <c r="I21" s="12" t="inlineStr">
        <is>
          <t>Quem estava onde na janela</t>
        </is>
      </c>
      <c r="J21" s="12" t="inlineStr">
        <is>
          <t>A5b</t>
        </is>
      </c>
      <c r="K21" s="12" t="inlineStr">
        <is>
          <t>Variante G: O Gerente deixou a Auditora e entrou sozinho na Gerência. | Variante V: igual à referência.</t>
        </is>
      </c>
      <c r="L21" s="12" t="inlineStr">
        <is>
          <t>toda casa</t>
        </is>
      </c>
      <c r="M21" s="12" t="inlineStr">
        <is>
          <t>não</t>
        </is>
      </c>
      <c r="N21" s="12" t="inlineStr"/>
      <c r="O21" s="12" t="inlineStr"/>
      <c r="P21" s="12" t="inlineStr"/>
      <c r="Q21" s="12" t="inlineStr"/>
      <c r="R21" s="12" t="inlineStr"/>
      <c r="S21" s="12" t="inlineStr"/>
      <c r="T21" s="12" t="inlineStr"/>
    </row>
    <row r="22">
      <c r="A22" s="12" t="inlineStr">
        <is>
          <t>c7-021</t>
        </is>
      </c>
      <c r="B22" s="12" t="inlineStr">
        <is>
          <t>~10h30</t>
        </is>
      </c>
      <c r="C22" s="12" t="inlineStr">
        <is>
          <t>A Operadora da Central</t>
        </is>
      </c>
      <c r="D22" s="12" t="inlineStr">
        <is>
          <t>todos</t>
        </is>
      </c>
      <c r="E22" s="12" t="inlineStr">
        <is>
          <t>presencial</t>
        </is>
      </c>
      <c r="F22" s="12" t="inlineStr">
        <is>
          <t>indireta</t>
        </is>
      </c>
      <c r="G22" s="12" t="inlineStr">
        <is>
          <t>Nos Guichês, a Estagiária recolhia folhas sozinha. O Subgerente, que disse estar ali buscando a guia, só entra no quadro às oito e zero cinco.</t>
        </is>
      </c>
      <c r="H22" s="12" t="inlineStr">
        <is>
          <t>prova</t>
        </is>
      </c>
      <c r="I22" s="12" t="inlineStr">
        <is>
          <t>Quem estava onde na janela</t>
        </is>
      </c>
      <c r="J22" s="12" t="inlineStr">
        <is>
          <t>A5</t>
        </is>
      </c>
      <c r="K22" s="12" t="inlineStr">
        <is>
          <t>Variante G: Nos Guichês, a Estagiária recolhia folhas e o Subgerente buscava a guia; a câmera 2 o mostra ali (A5b). | Variante V: Nos Guichês, a Estagiária recolhia folhas e o Subgerente buscava a guia (A5b); quem falta é o Caixa Veterano, ausente da Mesa até 8h00:02.</t>
        </is>
      </c>
      <c r="L22" s="12" t="inlineStr">
        <is>
          <t>toda casa</t>
        </is>
      </c>
      <c r="M22" s="12" t="inlineStr">
        <is>
          <t>não</t>
        </is>
      </c>
      <c r="N22" s="12" t="inlineStr"/>
      <c r="O22" s="12" t="inlineStr"/>
      <c r="P22" s="12" t="inlineStr"/>
      <c r="Q22" s="12" t="inlineStr"/>
      <c r="R22" s="12" t="inlineStr"/>
      <c r="S22" s="12" t="inlineStr"/>
      <c r="T22" s="12" t="inlineStr">
        <is>
          <t>Fonte primária (câmera 2). Na S a casa mínima é 8, onde a mentira cai pela câmera 2 e pela contagem da Cliente.</t>
        </is>
      </c>
    </row>
    <row r="23">
      <c r="A23" s="12" t="inlineStr">
        <is>
          <t>c7-022</t>
        </is>
      </c>
      <c r="B23" s="12" t="inlineStr">
        <is>
          <t>~10h30</t>
        </is>
      </c>
      <c r="C23" s="12" t="inlineStr">
        <is>
          <t>A Estagiária</t>
        </is>
      </c>
      <c r="D23" s="12" t="inlineStr">
        <is>
          <t>todos</t>
        </is>
      </c>
      <c r="E23" s="12" t="inlineStr">
        <is>
          <t>presencial</t>
        </is>
      </c>
      <c r="F23" s="12" t="inlineStr">
        <is>
          <t>indireta</t>
        </is>
      </c>
      <c r="G23" s="12" t="inlineStr">
        <is>
          <t>Confirmo. Eu estava nos Guichês o tempo todo.</t>
        </is>
      </c>
      <c r="H23" s="12" t="inlineStr">
        <is>
          <t>reforço</t>
        </is>
      </c>
      <c r="I23" s="12" t="inlineStr">
        <is>
          <t>Quem estava onde na janela</t>
        </is>
      </c>
      <c r="J23" s="12" t="inlineStr">
        <is>
          <t>A5</t>
        </is>
      </c>
      <c r="K23" s="12" t="inlineStr">
        <is>
          <t>Variante G: confirma o Subgerente nos Guichês. | Variante V: confirma o Subgerente nos Guichês (a Mesa vazia é com a câmera 2 / Segurança do Veículo).</t>
        </is>
      </c>
      <c r="L23" s="12" t="inlineStr">
        <is>
          <t>casa ≥ 12</t>
        </is>
      </c>
      <c r="M23" s="12" t="inlineStr">
        <is>
          <t>sim</t>
        </is>
      </c>
      <c r="N23" s="12" t="inlineStr"/>
      <c r="O23" s="12" t="inlineStr"/>
      <c r="P23" s="12" t="inlineStr"/>
      <c r="Q23" s="12" t="inlineStr"/>
      <c r="R23" s="12" t="inlineStr"/>
      <c r="S23" s="12" t="inlineStr"/>
      <c r="T23" s="12" t="inlineStr">
        <is>
          <t>No texto é gesto (olhou para o chão e confirmou com a cabeça), não fala. Bloco 3, reforço.</t>
        </is>
      </c>
    </row>
    <row r="24">
      <c r="A24" s="8" t="inlineStr">
        <is>
          <t>c7-023</t>
        </is>
      </c>
      <c r="B24" s="8" t="inlineStr">
        <is>
          <t>~10h30</t>
        </is>
      </c>
      <c r="C24" s="8" t="inlineStr">
        <is>
          <t>A Operadora da Central</t>
        </is>
      </c>
      <c r="D24" s="8" t="inlineStr">
        <is>
          <t>todos</t>
        </is>
      </c>
      <c r="E24" s="8" t="inlineStr">
        <is>
          <t>presencial</t>
        </is>
      </c>
      <c r="F24" s="8" t="inlineStr">
        <is>
          <t>indireta</t>
        </is>
      </c>
      <c r="G24" s="8" t="inlineStr">
        <is>
          <t>Na câmera interna da Central: do começo ao fim da janela, eu estava no console, com a mão no rádio. A câmera 1 mostra o Funcionário da Limpeza e o carrinho no Saguão, e a Cliente, a Farmacêutica e a Auditora juntas na Porta Giratória.</t>
        </is>
      </c>
      <c r="H24" s="8" t="inlineStr">
        <is>
          <t>prova</t>
        </is>
      </c>
      <c r="I24" s="8" t="inlineStr">
        <is>
          <t>Quem estava onde na janela</t>
        </is>
      </c>
      <c r="J24" s="8" t="inlineStr"/>
      <c r="K24" s="8" t="inlineStr"/>
      <c r="L24" s="8" t="inlineStr">
        <is>
          <t>toda casa</t>
        </is>
      </c>
      <c r="M24" s="8" t="inlineStr">
        <is>
          <t>não</t>
        </is>
      </c>
      <c r="N24" s="8" t="inlineStr"/>
      <c r="O24" s="8" t="inlineStr"/>
      <c r="P24" s="8" t="inlineStr"/>
      <c r="Q24" s="8" t="inlineStr"/>
      <c r="R24" s="8" t="inlineStr"/>
      <c r="S24" s="8" t="inlineStr"/>
      <c r="T24" s="8" t="inlineStr">
        <is>
          <t>Fonte primária (câmera da Central e câmera 1). Situa inocentes; fixa em todas as partidas (não cita o Gerente).</t>
        </is>
      </c>
    </row>
    <row r="25">
      <c r="A25" s="12" t="inlineStr">
        <is>
          <t>c7-024</t>
        </is>
      </c>
      <c r="B25" s="12" t="inlineStr">
        <is>
          <t>~10h35</t>
        </is>
      </c>
      <c r="C25" s="12" t="inlineStr">
        <is>
          <t>A Operadora da Central</t>
        </is>
      </c>
      <c r="D25" s="12" t="inlineStr">
        <is>
          <t>todos</t>
        </is>
      </c>
      <c r="E25" s="12" t="inlineStr">
        <is>
          <t>presencial</t>
        </is>
      </c>
      <c r="F25" s="12" t="inlineStr">
        <is>
          <t>indireta</t>
        </is>
      </c>
      <c r="G25" s="12" t="inlineStr">
        <is>
          <t>No livro de lacres: o ML-8842 foi aplicado na véspera, às quinze e cinquenta, com duas assinaturas, a do Subgerente, que contou, e a do Caixa Veterano.</t>
        </is>
      </c>
      <c r="H25" s="12" t="inlineStr">
        <is>
          <t>prova</t>
        </is>
      </c>
      <c r="I25" s="12" t="inlineStr">
        <is>
          <t>Livro de lacres, titular, cartão</t>
        </is>
      </c>
      <c r="J25" s="12" t="inlineStr">
        <is>
          <t>A2</t>
        </is>
      </c>
      <c r="K25" s="12" t="inlineStr">
        <is>
          <t>Variante G: ... com duas assinaturas, a do Gerente, que contou, e a do Subgerente. | Variante V: ... com duas assinaturas, a do Caixa Veterano, que contou, e a do Subgerente.</t>
        </is>
      </c>
      <c r="L25" s="12" t="inlineStr">
        <is>
          <t>toda casa</t>
        </is>
      </c>
      <c r="M25" s="12" t="inlineStr">
        <is>
          <t>não</t>
        </is>
      </c>
      <c r="N25" s="12" t="inlineStr"/>
      <c r="O25" s="12" t="inlineStr"/>
      <c r="P25" s="12" t="inlineStr"/>
      <c r="Q25" s="12" t="inlineStr"/>
      <c r="R25" s="12" t="inlineStr"/>
      <c r="S25" s="12" t="inlineStr"/>
      <c r="T25" s="12" t="inlineStr">
        <is>
          <t>Fonte primária (Operadora).</t>
        </is>
      </c>
    </row>
    <row r="26">
      <c r="A26" s="12" t="inlineStr">
        <is>
          <t>c7-025</t>
        </is>
      </c>
      <c r="B26" s="12" t="inlineStr">
        <is>
          <t>~10h35</t>
        </is>
      </c>
      <c r="C26" s="12" t="inlineStr">
        <is>
          <t>O Caixa Veterano</t>
        </is>
      </c>
      <c r="D26" s="12" t="inlineStr">
        <is>
          <t>todos</t>
        </is>
      </c>
      <c r="E26" s="12" t="inlineStr">
        <is>
          <t>presencial</t>
        </is>
      </c>
      <c r="F26" s="12" t="inlineStr">
        <is>
          <t>direta</t>
        </is>
      </c>
      <c r="G26" s="12" t="inlineStr">
        <is>
          <t>Eu assinei sem contar. De novo. Achei que a guia bastava.</t>
        </is>
      </c>
      <c r="H26" s="12" t="inlineStr">
        <is>
          <t>prova</t>
        </is>
      </c>
      <c r="I26" s="12" t="inlineStr">
        <is>
          <t>Livro de lacres, titular, cartão</t>
        </is>
      </c>
      <c r="J26" s="12" t="inlineStr">
        <is>
          <t>A2</t>
        </is>
      </c>
      <c r="K26" s="12" t="inlineStr">
        <is>
          <t>Variante G e V: a confissão passa ao Subgerente (o ajudante): "Eu assinei sem contar. Achei que a guia bastava."</t>
        </is>
      </c>
      <c r="L26" s="12" t="inlineStr">
        <is>
          <t>toda casa</t>
        </is>
      </c>
      <c r="M26" s="12" t="inlineStr">
        <is>
          <t>não</t>
        </is>
      </c>
      <c r="N26" s="12" t="inlineStr"/>
      <c r="O26" s="12" t="inlineStr"/>
      <c r="P26" s="12" t="inlineStr"/>
      <c r="Q26" s="12" t="inlineStr"/>
      <c r="R26" s="12" t="inlineStr"/>
      <c r="S26" s="12" t="inlineStr"/>
      <c r="T26" s="12" t="inlineStr">
        <is>
          <t>Na S é núcleo. Em G/V o ajudante é o Subgerente, ausente na casa de 6: a fala sai e só o livro (Operadora) sustenta. "De novo" só vale para quem assinou a consolidação das 19h20 (Veterano e Subgerente).</t>
        </is>
      </c>
    </row>
    <row r="27">
      <c r="A27" s="12" t="inlineStr">
        <is>
          <t>c7-026</t>
        </is>
      </c>
      <c r="B27" s="12" t="inlineStr">
        <is>
          <t>~10h37</t>
        </is>
      </c>
      <c r="C27" s="12" t="inlineStr">
        <is>
          <t>A Auditora</t>
        </is>
      </c>
      <c r="D27" s="12" t="inlineStr">
        <is>
          <t>todos</t>
        </is>
      </c>
      <c r="E27" s="12" t="inlineStr">
        <is>
          <t>presencial</t>
        </is>
      </c>
      <c r="F27" s="12" t="inlineStr">
        <is>
          <t>indireta</t>
        </is>
      </c>
      <c r="G27" s="12" t="inlineStr">
        <is>
          <t>A fita vendida às seis e trinta e um tem 1,2 centímetro. A do kit de primeiros socorros da Gerência, 2,5, a mesma que o Caixa Novato usa no indicador. E há uma tira estreita no indicador do Subgerente.</t>
        </is>
      </c>
      <c r="H27" s="12" t="inlineStr">
        <is>
          <t>prova</t>
        </is>
      </c>
      <c r="I27" s="12" t="inlineStr">
        <is>
          <t>Fita estreita</t>
        </is>
      </c>
      <c r="J27" s="12" t="inlineStr">
        <is>
          <t>A3</t>
        </is>
      </c>
      <c r="K27" s="12" t="inlineStr">
        <is>
          <t>Variante G: ... no indicador do Gerente (tabela A3; a Variante G do Cap. 8 diz "indicador"). | Variante V: ... no indicador do Caixa Veterano.</t>
        </is>
      </c>
      <c r="L27" s="12" t="inlineStr">
        <is>
          <t>toda casa</t>
        </is>
      </c>
      <c r="M27" s="12" t="inlineStr">
        <is>
          <t>não</t>
        </is>
      </c>
      <c r="N27" s="12" t="inlineStr"/>
      <c r="O27" s="12" t="inlineStr"/>
      <c r="P27" s="12" t="inlineStr"/>
      <c r="Q27" s="12" t="inlineStr"/>
      <c r="R27" s="12" t="inlineStr"/>
      <c r="S27" s="12" t="inlineStr"/>
      <c r="T27" s="12" t="inlineStr">
        <is>
          <t>Fonte primária (Auditora: cupom × kit). No texto a última frase é um olhar, não fala.</t>
        </is>
      </c>
    </row>
    <row r="28">
      <c r="A28" s="8" t="inlineStr">
        <is>
          <t>c7-027</t>
        </is>
      </c>
      <c r="B28" s="8" t="inlineStr">
        <is>
          <t>~10h37</t>
        </is>
      </c>
      <c r="C28" s="8" t="inlineStr">
        <is>
          <t>A Farmacêutica</t>
        </is>
      </c>
      <c r="D28" s="8" t="inlineStr">
        <is>
          <t>todos</t>
        </is>
      </c>
      <c r="E28" s="8" t="inlineStr">
        <is>
          <t>presencial</t>
        </is>
      </c>
      <c r="F28" s="8" t="inlineStr">
        <is>
          <t>indireta</t>
        </is>
      </c>
      <c r="G28" s="8" t="inlineStr">
        <is>
          <t>Vendi luvas tamanho G e fita estreita a alguém de capa e guarda-chuva de cabo claro, que pagou em dinheiro e não tirou o capuz.</t>
        </is>
      </c>
      <c r="H28" s="8" t="inlineStr">
        <is>
          <t>reforço</t>
        </is>
      </c>
      <c r="I28" s="8" t="inlineStr">
        <is>
          <t>Fita estreita</t>
        </is>
      </c>
      <c r="J28" s="8" t="inlineStr"/>
      <c r="K28" s="8" t="inlineStr"/>
      <c r="L28" s="8" t="inlineStr">
        <is>
          <t>casa ≥ 12</t>
        </is>
      </c>
      <c r="M28" s="8" t="inlineStr">
        <is>
          <t>sim</t>
        </is>
      </c>
      <c r="N28" s="8" t="inlineStr"/>
      <c r="O28" s="8" t="inlineStr"/>
      <c r="P28" s="8" t="inlineStr"/>
      <c r="Q28" s="8" t="inlineStr"/>
      <c r="R28" s="8" t="inlineStr"/>
      <c r="S28" s="8" t="inlineStr"/>
      <c r="T28" s="8" t="inlineStr">
        <is>
          <t>Bloco 3, reforço (acompanha o envelope deixado no balcão).</t>
        </is>
      </c>
    </row>
    <row r="29">
      <c r="A29" s="9" t="inlineStr">
        <is>
          <t>c7-028</t>
        </is>
      </c>
      <c r="B29" s="9" t="inlineStr">
        <is>
          <t>~10h37</t>
        </is>
      </c>
      <c r="C29" s="9" t="inlineStr">
        <is>
          <t>A Farmacêutica</t>
        </is>
      </c>
      <c r="D29" s="9" t="inlineStr">
        <is>
          <t>todos</t>
        </is>
      </c>
      <c r="E29" s="9" t="inlineStr">
        <is>
          <t>presencial</t>
        </is>
      </c>
      <c r="F29" s="9" t="inlineStr">
        <is>
          <t>direta</t>
        </is>
      </c>
      <c r="G29" s="9" t="inlineStr">
        <is>
          <t>Eu vi às oito e vinte. Não disse porque teria de contar o resto.</t>
        </is>
      </c>
      <c r="H29" s="9" t="inlineStr">
        <is>
          <t>subtrama</t>
        </is>
      </c>
      <c r="I29" s="9" t="inlineStr"/>
      <c r="J29" s="9" t="inlineStr"/>
      <c r="K29" s="9" t="inlineStr"/>
      <c r="L29" s="9" t="inlineStr">
        <is>
          <t>casa ≥ 12</t>
        </is>
      </c>
      <c r="M29" s="9" t="inlineStr">
        <is>
          <t>sim</t>
        </is>
      </c>
      <c r="N29" s="9" t="inlineStr"/>
      <c r="O29" s="9" t="inlineStr"/>
      <c r="P29" s="9" t="inlineStr"/>
      <c r="Q29" s="9" t="inlineStr"/>
      <c r="R29" s="9" t="inlineStr"/>
      <c r="S29" s="9" t="inlineStr"/>
      <c r="T29" s="9" t="inlineStr">
        <is>
          <t>Ambíguo: não diz o que viu às 8h20 (a fita estreita no dedo do impostor? o cupom? a figura?). Se for a fita, deveria ser ponto de ajuste.</t>
        </is>
      </c>
    </row>
    <row r="30">
      <c r="A30" s="8" t="inlineStr">
        <is>
          <t>c7-029</t>
        </is>
      </c>
      <c r="B30" s="8" t="inlineStr">
        <is>
          <t>~10h38</t>
        </is>
      </c>
      <c r="C30" s="8" t="inlineStr">
        <is>
          <t>A Auditora</t>
        </is>
      </c>
      <c r="D30" s="8" t="inlineStr">
        <is>
          <t>todos</t>
        </is>
      </c>
      <c r="E30" s="8" t="inlineStr">
        <is>
          <t>presencial</t>
        </is>
      </c>
      <c r="F30" s="8" t="inlineStr">
        <is>
          <t>indireta</t>
        </is>
      </c>
      <c r="G30" s="8" t="inlineStr">
        <is>
          <t>Comprei café pela frente, onde o chão do balcão é de farinha fina, que gruda na ponteira de um guarda-chuva. Quem atravessa a porta de serviço, onde os sacos ficam empilhados na altura do joelho, sai com a barra branca.</t>
        </is>
      </c>
      <c r="H30" s="8" t="inlineStr">
        <is>
          <t>prova</t>
        </is>
      </c>
      <c r="I30" s="8" t="inlineStr">
        <is>
          <t>Farinha na barra</t>
        </is>
      </c>
      <c r="J30" s="8" t="inlineStr"/>
      <c r="K30" s="8" t="inlineStr"/>
      <c r="L30" s="8" t="inlineStr">
        <is>
          <t>toda casa</t>
        </is>
      </c>
      <c r="M30" s="8" t="inlineStr">
        <is>
          <t>não</t>
        </is>
      </c>
      <c r="N30" s="8" t="inlineStr"/>
      <c r="O30" s="8" t="inlineStr"/>
      <c r="P30" s="8" t="inlineStr"/>
      <c r="Q30" s="8" t="inlineStr"/>
      <c r="R30" s="8" t="inlineStr"/>
      <c r="S30" s="8" t="inlineStr"/>
      <c r="T30" s="8" t="inlineStr">
        <is>
          <t>Desfaz a falsa pista da farinha da própria Auditora; fonte primária.</t>
        </is>
      </c>
    </row>
    <row r="31">
      <c r="A31" s="12" t="inlineStr">
        <is>
          <t>c7-030</t>
        </is>
      </c>
      <c r="B31" s="12" t="inlineStr">
        <is>
          <t>~10h38</t>
        </is>
      </c>
      <c r="C31" s="12" t="inlineStr">
        <is>
          <t>A Cliente do Cofre</t>
        </is>
      </c>
      <c r="D31" s="12" t="inlineStr">
        <is>
          <t>todos</t>
        </is>
      </c>
      <c r="E31" s="12" t="inlineStr">
        <is>
          <t>presencial</t>
        </is>
      </c>
      <c r="F31" s="12" t="inlineStr">
        <is>
          <t>indireta</t>
        </is>
      </c>
      <c r="G31" s="12" t="inlineStr">
        <is>
          <t>Há uma faixa branca e seca na barra da calça do Subgerente.</t>
        </is>
      </c>
      <c r="H31" s="12" t="inlineStr">
        <is>
          <t>prova</t>
        </is>
      </c>
      <c r="I31" s="12" t="inlineStr">
        <is>
          <t>Farinha na barra</t>
        </is>
      </c>
      <c r="J31" s="12" t="inlineStr">
        <is>
          <t>A6</t>
        </is>
      </c>
      <c r="K31" s="12" t="inlineStr">
        <is>
          <t>Variante G: ... na barra da calça do Gerente. | Variante V: ... na barra da calça do Caixa Veterano.</t>
        </is>
      </c>
      <c r="L31" s="12" t="inlineStr">
        <is>
          <t>toda casa</t>
        </is>
      </c>
      <c r="M31" s="12" t="inlineStr">
        <is>
          <t>não</t>
        </is>
      </c>
      <c r="N31" s="12" t="inlineStr"/>
      <c r="O31" s="12" t="inlineStr"/>
      <c r="P31" s="12" t="inlineStr"/>
      <c r="Q31" s="12" t="inlineStr"/>
      <c r="R31" s="12" t="inlineStr"/>
      <c r="S31" s="12" t="inlineStr"/>
      <c r="T31" s="12" t="inlineStr">
        <is>
          <t>Fonte primária (núcleo). No texto ela aponta.</t>
        </is>
      </c>
    </row>
    <row r="32">
      <c r="A32" s="8" t="inlineStr">
        <is>
          <t>c7-031</t>
        </is>
      </c>
      <c r="B32" s="8" t="inlineStr">
        <is>
          <t>~10h38</t>
        </is>
      </c>
      <c r="C32" s="8" t="inlineStr">
        <is>
          <t>O Padeiro</t>
        </is>
      </c>
      <c r="D32" s="8" t="inlineStr">
        <is>
          <t>todos</t>
        </is>
      </c>
      <c r="E32" s="8" t="inlineStr">
        <is>
          <t>telefone</t>
        </is>
      </c>
      <c r="F32" s="8" t="inlineStr">
        <is>
          <t>indireta</t>
        </is>
      </c>
      <c r="G32" s="8" t="inlineStr">
        <is>
          <t>Ali ninguém passa sem roçar os sacos.</t>
        </is>
      </c>
      <c r="H32" s="8" t="inlineStr">
        <is>
          <t>reforço</t>
        </is>
      </c>
      <c r="I32" s="8" t="inlineStr">
        <is>
          <t>Farinha na barra</t>
        </is>
      </c>
      <c r="J32" s="8" t="inlineStr"/>
      <c r="K32" s="8" t="inlineStr"/>
      <c r="L32" s="8" t="inlineStr">
        <is>
          <t>casa ≥ 10</t>
        </is>
      </c>
      <c r="M32" s="8" t="inlineStr">
        <is>
          <t>sim</t>
        </is>
      </c>
      <c r="N32" s="8" t="inlineStr"/>
      <c r="O32" s="8" t="inlineStr"/>
      <c r="P32" s="8" t="inlineStr"/>
      <c r="Q32" s="8" t="inlineStr"/>
      <c r="R32" s="8" t="inlineStr"/>
      <c r="S32" s="8" t="inlineStr"/>
      <c r="T32" s="8" t="inlineStr">
        <is>
          <t>Bloco 2, reforço.</t>
        </is>
      </c>
    </row>
    <row r="33">
      <c r="A33" s="12" t="inlineStr">
        <is>
          <t>c7-032</t>
        </is>
      </c>
      <c r="B33" s="12" t="inlineStr">
        <is>
          <t>10h41</t>
        </is>
      </c>
      <c r="C33" s="12" t="inlineStr">
        <is>
          <t>Registro / sistema</t>
        </is>
      </c>
      <c r="D33" s="12" t="inlineStr">
        <is>
          <t>auditora</t>
        </is>
      </c>
      <c r="E33" s="12" t="inlineStr">
        <is>
          <t>registro</t>
        </is>
      </c>
      <c r="F33" s="12" t="inlineStr">
        <is>
          <t>indireta</t>
        </is>
      </c>
      <c r="G33" s="12" t="inlineStr">
        <is>
          <t>O saque agendado de noventa e seis mil reais, retirado em espécie na véspera, às dezesseis e trinta, na agência 0392, tem um titular: o Subgerente, com garantia de joias de família empenhadas cinco dias antes.</t>
        </is>
      </c>
      <c r="H33" s="12" t="inlineStr">
        <is>
          <t>prova</t>
        </is>
      </c>
      <c r="I33" s="12" t="inlineStr">
        <is>
          <t>Livro de lacres, titular, cartão</t>
        </is>
      </c>
      <c r="J33" s="12" t="inlineStr">
        <is>
          <t>A8</t>
        </is>
      </c>
      <c r="K33" s="12" t="inlineStr">
        <is>
          <t>Variante G: ... tem um titular: o Gerente, com recursos do resgate antecipado da previdência privada. | Variante V: ... tem um titular: o Caixa Veterano, com as economias guardadas para a aposentadoria.</t>
        </is>
      </c>
      <c r="L33" s="12" t="inlineStr">
        <is>
          <t>toda casa</t>
        </is>
      </c>
      <c r="M33" s="12" t="inlineStr">
        <is>
          <t>não</t>
        </is>
      </c>
      <c r="N33" s="12" t="inlineStr"/>
      <c r="O33" s="12" t="inlineStr"/>
      <c r="P33" s="12" t="inlineStr"/>
      <c r="Q33" s="12" t="inlineStr"/>
      <c r="R33" s="12" t="inlineStr"/>
      <c r="S33" s="12" t="inlineStr"/>
      <c r="T33" s="12" t="inlineStr">
        <is>
          <t>Resposta da regional ao pedido da Auditora (fonte: regional, pela Auditora). Canal: registro/mensagem institucional.</t>
        </is>
      </c>
    </row>
    <row r="34">
      <c r="A34" s="12" t="inlineStr">
        <is>
          <t>c7-033</t>
        </is>
      </c>
      <c r="B34" s="12" t="inlineStr">
        <is>
          <t>10h46</t>
        </is>
      </c>
      <c r="C34" s="12" t="inlineStr">
        <is>
          <t>A Operadora da Central</t>
        </is>
      </c>
      <c r="D34" s="12" t="inlineStr">
        <is>
          <t>todos</t>
        </is>
      </c>
      <c r="E34" s="12" t="inlineStr">
        <is>
          <t>presencial</t>
        </is>
      </c>
      <c r="F34" s="12" t="inlineStr">
        <is>
          <t>indireta</t>
        </is>
      </c>
      <c r="G34" s="12" t="inlineStr">
        <is>
          <t>Chegou o retorno do fornecedor do rádio: o registro completo do pareamento das sete e cinquenta e sete e cinquenta e cinco, com os dígitos recuperados. Comparando com os cartões sobre o balcão, pertencem ao cartão do Subgerente.</t>
        </is>
      </c>
      <c r="H34" s="12" t="inlineStr">
        <is>
          <t>prova</t>
        </is>
      </c>
      <c r="I34" s="12" t="inlineStr">
        <is>
          <t>Livro de lacres, titular, cartão</t>
        </is>
      </c>
      <c r="J34" s="12" t="inlineStr">
        <is>
          <t>A7</t>
        </is>
      </c>
      <c r="K34" s="12" t="inlineStr">
        <is>
          <t>Variante G: ... pertencem ao cartão do Gerente. | Variante V: ... pertencem ao cartão do Caixa Veterano.</t>
        </is>
      </c>
      <c r="L34" s="12" t="inlineStr">
        <is>
          <t>toda casa</t>
        </is>
      </c>
      <c r="M34" s="12" t="inlineStr">
        <is>
          <t>não</t>
        </is>
      </c>
      <c r="N34" s="12" t="inlineStr"/>
      <c r="O34" s="12" t="inlineStr"/>
      <c r="P34" s="12" t="inlineStr"/>
      <c r="Q34" s="12" t="inlineStr"/>
      <c r="R34" s="12" t="inlineStr"/>
      <c r="S34" s="12" t="inlineStr"/>
      <c r="T34" s="12" t="inlineStr">
        <is>
          <t>Fonte primária. O texto diz "quase no mesmo minuto" (10h41), mas a ficha e o quadro dão 10h46 ao checksum.</t>
        </is>
      </c>
    </row>
    <row r="35">
      <c r="A35" s="9" t="inlineStr">
        <is>
          <t>c7-034</t>
        </is>
      </c>
      <c r="B35" s="9" t="inlineStr">
        <is>
          <t>10h46</t>
        </is>
      </c>
      <c r="C35" s="9" t="inlineStr">
        <is>
          <t>A Operadora da Central</t>
        </is>
      </c>
      <c r="D35" s="9" t="inlineStr">
        <is>
          <t>todos</t>
        </is>
      </c>
      <c r="E35" s="9" t="inlineStr">
        <is>
          <t>presencial</t>
        </is>
      </c>
      <c r="F35" s="9" t="inlineStr">
        <is>
          <t>indireta</t>
        </is>
      </c>
      <c r="G35" s="9" t="inlineStr">
        <is>
          <t>Junto veio outra informação: a reimpressão das oito e trinta e cinco não saiu de dentro da agência. A origem é a rede de segurança regional.</t>
        </is>
      </c>
      <c r="H35" s="9" t="inlineStr">
        <is>
          <t>revelação</t>
        </is>
      </c>
      <c r="I35" s="9" t="inlineStr"/>
      <c r="J35" s="9" t="inlineStr"/>
      <c r="K35" s="9" t="inlineStr"/>
      <c r="L35" s="9" t="inlineStr">
        <is>
          <t>toda casa</t>
        </is>
      </c>
      <c r="M35" s="9" t="inlineStr">
        <is>
          <t>não</t>
        </is>
      </c>
      <c r="N35" s="9" t="inlineStr"/>
      <c r="O35" s="9" t="inlineStr"/>
      <c r="P35" s="9" t="inlineStr"/>
      <c r="Q35" s="9" t="inlineStr"/>
      <c r="R35" s="9" t="inlineStr"/>
      <c r="S35" s="9" t="inlineStr"/>
      <c r="T35" s="9" t="inlineStr">
        <is>
          <t>Planta a presença do oculto.</t>
        </is>
      </c>
    </row>
    <row r="36">
      <c r="A36" s="8" t="inlineStr">
        <is>
          <t>c7-035</t>
        </is>
      </c>
      <c r="B36" s="8" t="inlineStr">
        <is>
          <t>10h46</t>
        </is>
      </c>
      <c r="C36" s="8" t="inlineStr">
        <is>
          <t>A Operadora da Central</t>
        </is>
      </c>
      <c r="D36" s="8" t="inlineStr">
        <is>
          <t>todos</t>
        </is>
      </c>
      <c r="E36" s="8" t="inlineStr">
        <is>
          <t>presencial</t>
        </is>
      </c>
      <c r="F36" s="8" t="inlineStr">
        <is>
          <t>direta</t>
        </is>
      </c>
      <c r="G36" s="8" t="inlineStr">
        <is>
          <t>Alguém nos vê de longe. Desde cedo.</t>
        </is>
      </c>
      <c r="H36" s="8" t="inlineStr">
        <is>
          <t>revelação</t>
        </is>
      </c>
      <c r="I36" s="8" t="inlineStr"/>
      <c r="J36" s="8" t="inlineStr"/>
      <c r="K36" s="8" t="inlineStr"/>
      <c r="L36" s="8" t="inlineStr">
        <is>
          <t>toda casa</t>
        </is>
      </c>
      <c r="M36" s="8" t="inlineStr">
        <is>
          <t>não</t>
        </is>
      </c>
      <c r="N36" s="8" t="inlineStr"/>
      <c r="O36" s="8" t="inlineStr"/>
      <c r="P36" s="8" t="inlineStr"/>
      <c r="Q36" s="8" t="inlineStr"/>
      <c r="R36" s="8" t="inlineStr"/>
      <c r="S36" s="8" t="inlineStr"/>
      <c r="T36" s="8" t="inlineStr">
        <is>
          <t>A releitura da mensagem das 8h10 ("Procurem quem abriu antes") e a pergunta "por que alguém que vê tudo precisa se esconder?" são pensamento/caderno da Auditora, não falas.</t>
        </is>
      </c>
    </row>
    <row r="37">
      <c r="A37" s="12" t="inlineStr">
        <is>
          <t>c7-036</t>
        </is>
      </c>
      <c r="B37" s="12" t="inlineStr">
        <is>
          <t>~10h50</t>
        </is>
      </c>
      <c r="C37" s="12" t="inlineStr">
        <is>
          <t>O Subgerente</t>
        </is>
      </c>
      <c r="D37" s="12" t="inlineStr">
        <is>
          <t>todos</t>
        </is>
      </c>
      <c r="E37" s="12" t="inlineStr">
        <is>
          <t>presencial</t>
        </is>
      </c>
      <c r="F37" s="12" t="inlineStr">
        <is>
          <t>direta</t>
        </is>
      </c>
      <c r="G37" s="12" t="inlineStr">
        <is>
          <t>Antes que escrevam qualquer coisa, eu quero ouvir a soma inteira.</t>
        </is>
      </c>
      <c r="H37" s="12" t="inlineStr">
        <is>
          <t>revelação</t>
        </is>
      </c>
      <c r="I37" s="12" t="inlineStr"/>
      <c r="J37" s="12" t="inlineStr">
        <is>
          <t>A9</t>
        </is>
      </c>
      <c r="K37" s="12" t="inlineStr">
        <is>
          <t>Variante G: a mesma fala, dita pelo Gerente. | Variante V: a mesma fala, dita pelo Caixa Veterano.</t>
        </is>
      </c>
      <c r="L37" s="12" t="inlineStr">
        <is>
          <t>casa ≥ 8</t>
        </is>
      </c>
      <c r="M37" s="12" t="inlineStr">
        <is>
          <t>não</t>
        </is>
      </c>
      <c r="N37" s="12" t="inlineStr"/>
      <c r="O37" s="12" t="inlineStr"/>
      <c r="P37" s="12" t="inlineStr"/>
      <c r="Q37" s="12" t="inlineStr"/>
      <c r="R37" s="12" t="inlineStr"/>
      <c r="S37" s="12" t="inlineStr"/>
      <c r="T37" s="12" t="inlineStr">
        <is>
          <t>Fala do impostor (marca A9 no nome). Antes, gesto: ajeita a fita no dedo (A3; em G "indicador"/indicador, em V base do indicador).</t>
        </is>
      </c>
    </row>
  </sheetData>
  <autoFilter ref="A1:T3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39"/>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c8-001</t>
        </is>
      </c>
      <c r="B2" s="8" t="inlineStr">
        <is>
          <t>10h52</t>
        </is>
      </c>
      <c r="C2" s="8" t="inlineStr">
        <is>
          <t>O Gerente</t>
        </is>
      </c>
      <c r="D2" s="8" t="inlineStr">
        <is>
          <t>todos</t>
        </is>
      </c>
      <c r="E2" s="8" t="inlineStr">
        <is>
          <t>presencial</t>
        </is>
      </c>
      <c r="F2" s="8" t="inlineStr">
        <is>
          <t>indireta</t>
        </is>
      </c>
      <c r="G2" s="8" t="inlineStr">
        <is>
          <t>Exijo uma acusação formal.</t>
        </is>
      </c>
      <c r="H2" s="8" t="inlineStr">
        <is>
          <t>ambiente</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is>
          <t>Na partida G, o próprio impostor exige a acusação.</t>
        </is>
      </c>
    </row>
    <row r="3">
      <c r="A3" s="9" t="inlineStr">
        <is>
          <t>c8-002</t>
        </is>
      </c>
      <c r="B3" s="9" t="inlineStr">
        <is>
          <t>10h52</t>
        </is>
      </c>
      <c r="C3" s="9" t="inlineStr">
        <is>
          <t>A Operadora da Central</t>
        </is>
      </c>
      <c r="D3" s="9" t="inlineStr">
        <is>
          <t>todos</t>
        </is>
      </c>
      <c r="E3" s="9" t="inlineStr">
        <is>
          <t>presencial</t>
        </is>
      </c>
      <c r="F3" s="9" t="inlineStr">
        <is>
          <t>indireta</t>
        </is>
      </c>
      <c r="G3" s="9" t="inlineStr">
        <is>
          <t>Abro uma página nova na ata. Cada um diga de quem desconfiou.</t>
        </is>
      </c>
      <c r="H3" s="9" t="inlineStr">
        <is>
          <t>ambiente</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is>
          <t>No texto, a Operadora só abre a página; o convite é implícito.</t>
        </is>
      </c>
    </row>
    <row r="4">
      <c r="A4" s="8" t="inlineStr">
        <is>
          <t>c8-003</t>
        </is>
      </c>
      <c r="B4" s="8" t="inlineStr">
        <is>
          <t>10h52</t>
        </is>
      </c>
      <c r="C4" s="8" t="inlineStr">
        <is>
          <t>O Segurança Interno</t>
        </is>
      </c>
      <c r="D4" s="8" t="inlineStr">
        <is>
          <t>todos</t>
        </is>
      </c>
      <c r="E4" s="8" t="inlineStr">
        <is>
          <t>presencial</t>
        </is>
      </c>
      <c r="F4" s="8" t="inlineStr">
        <is>
          <t>indireta</t>
        </is>
      </c>
      <c r="G4" s="8" t="inlineStr">
        <is>
          <t>Desconfiei da Operadora, pelo esmalte. Desculpe.</t>
        </is>
      </c>
      <c r="H4" s="8" t="inlineStr">
        <is>
          <t>pista falsa</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is>
          <t>Acusação de todos. Pede desculpas antes de terminar.</t>
        </is>
      </c>
    </row>
    <row r="5">
      <c r="A5" s="12" t="inlineStr">
        <is>
          <t>c8-004</t>
        </is>
      </c>
      <c r="B5" s="12" t="inlineStr">
        <is>
          <t>10h52</t>
        </is>
      </c>
      <c r="C5" s="12" t="inlineStr">
        <is>
          <t>A Cliente do Cofre</t>
        </is>
      </c>
      <c r="D5" s="12" t="inlineStr">
        <is>
          <t>todos</t>
        </is>
      </c>
      <c r="E5" s="12" t="inlineStr">
        <is>
          <t>presencial</t>
        </is>
      </c>
      <c r="F5" s="12" t="inlineStr">
        <is>
          <t>indireta</t>
        </is>
      </c>
      <c r="G5" s="12" t="inlineStr">
        <is>
          <t>Desconfiei do Gerente, pela frase de ontem.</t>
        </is>
      </c>
      <c r="H5" s="12" t="inlineStr">
        <is>
          <t>pista falsa</t>
        </is>
      </c>
      <c r="I5" s="12" t="inlineStr"/>
      <c r="J5" s="12" t="inlineStr">
        <is>
          <t>A9</t>
        </is>
      </c>
      <c r="K5" s="12" t="inlineStr">
        <is>
          <t>Variante G: a Cliente mantém a desconfiança do Gerente (mesmo texto, agora acerta). | Variante V: igual à referência.</t>
        </is>
      </c>
      <c r="L5" s="12" t="inlineStr">
        <is>
          <t>toda casa</t>
        </is>
      </c>
      <c r="M5" s="12" t="inlineStr">
        <is>
          <t>não</t>
        </is>
      </c>
      <c r="N5" s="12" t="inlineStr"/>
      <c r="O5" s="12" t="inlineStr"/>
      <c r="P5" s="12" t="inlineStr"/>
      <c r="Q5" s="12" t="inlineStr"/>
      <c r="R5" s="12" t="inlineStr"/>
      <c r="S5" s="12" t="inlineStr"/>
      <c r="T5" s="12" t="inlineStr">
        <is>
          <t>Sem marca ^A^ no texto; mudança vem da Variante G ("mudanças na acusação").</t>
        </is>
      </c>
    </row>
    <row r="6">
      <c r="A6" s="8" t="inlineStr">
        <is>
          <t>c8-005</t>
        </is>
      </c>
      <c r="B6" s="8" t="inlineStr">
        <is>
          <t>10h52</t>
        </is>
      </c>
      <c r="C6" s="8" t="inlineStr">
        <is>
          <t>O Motorista</t>
        </is>
      </c>
      <c r="D6" s="8" t="inlineStr">
        <is>
          <t>todos</t>
        </is>
      </c>
      <c r="E6" s="8" t="inlineStr">
        <is>
          <t>rádio</t>
        </is>
      </c>
      <c r="F6" s="8" t="inlineStr">
        <is>
          <t>indireta</t>
        </is>
      </c>
      <c r="G6" s="8" t="inlineStr">
        <is>
          <t>Desconfiei do Técnico, pela câmera.</t>
        </is>
      </c>
      <c r="H6" s="8" t="inlineStr">
        <is>
          <t>pista falsa</t>
        </is>
      </c>
      <c r="I6" s="8" t="inlineStr"/>
      <c r="J6" s="8" t="inlineStr"/>
      <c r="K6" s="8" t="inlineStr"/>
      <c r="L6" s="8" t="inlineStr">
        <is>
          <t>toda casa</t>
        </is>
      </c>
      <c r="M6" s="8" t="inlineStr">
        <is>
          <t>não</t>
        </is>
      </c>
      <c r="N6" s="8" t="inlineStr"/>
      <c r="O6" s="8" t="inlineStr"/>
      <c r="P6" s="8" t="inlineStr"/>
      <c r="Q6" s="8" t="inlineStr"/>
      <c r="R6" s="8" t="inlineStr"/>
      <c r="S6" s="8" t="inlineStr"/>
      <c r="T6" s="8" t="inlineStr"/>
    </row>
    <row r="7">
      <c r="A7" s="9" t="inlineStr">
        <is>
          <t>c8-006</t>
        </is>
      </c>
      <c r="B7" s="9" t="inlineStr">
        <is>
          <t>10h52</t>
        </is>
      </c>
      <c r="C7" s="9" t="inlineStr">
        <is>
          <t>A Estagiária</t>
        </is>
      </c>
      <c r="D7" s="9" t="inlineStr">
        <is>
          <t>todos</t>
        </is>
      </c>
      <c r="E7" s="9" t="inlineStr">
        <is>
          <t>presencial</t>
        </is>
      </c>
      <c r="F7" s="9" t="inlineStr">
        <is>
          <t>indireta</t>
        </is>
      </c>
      <c r="G7" s="9" t="inlineStr">
        <is>
          <t>Eu também desconfiei do Técnico.</t>
        </is>
      </c>
      <c r="H7" s="9" t="inlineStr">
        <is>
          <t>pista falsa</t>
        </is>
      </c>
      <c r="I7" s="9" t="inlineStr"/>
      <c r="J7" s="9" t="inlineStr"/>
      <c r="K7" s="9" t="inlineStr"/>
      <c r="L7" s="9" t="inlineStr">
        <is>
          <t>casa ≥ 12</t>
        </is>
      </c>
      <c r="M7" s="9" t="inlineStr">
        <is>
          <t>sim</t>
        </is>
      </c>
      <c r="N7" s="9" t="inlineStr"/>
      <c r="O7" s="9" t="inlineStr"/>
      <c r="P7" s="9" t="inlineStr"/>
      <c r="Q7" s="9" t="inlineStr"/>
      <c r="R7" s="9" t="inlineStr"/>
      <c r="S7" s="9" t="inlineStr"/>
      <c r="T7" s="9" t="inlineStr">
        <is>
          <t>Fica vermelha.</t>
        </is>
      </c>
    </row>
    <row r="8">
      <c r="A8" s="8" t="inlineStr">
        <is>
          <t>c8-007</t>
        </is>
      </c>
      <c r="B8" s="8" t="inlineStr">
        <is>
          <t>10h52</t>
        </is>
      </c>
      <c r="C8" s="8" t="inlineStr">
        <is>
          <t>A Farmacêutica</t>
        </is>
      </c>
      <c r="D8" s="8" t="inlineStr">
        <is>
          <t>todos</t>
        </is>
      </c>
      <c r="E8" s="8" t="inlineStr">
        <is>
          <t>presencial</t>
        </is>
      </c>
      <c r="F8" s="8" t="inlineStr">
        <is>
          <t>indireta</t>
        </is>
      </c>
      <c r="G8" s="8" t="inlineStr">
        <is>
          <t>Desconfiei do Caixa Novato... não, me corrijo.</t>
        </is>
      </c>
      <c r="H8" s="8" t="inlineStr">
        <is>
          <t>pista falsa</t>
        </is>
      </c>
      <c r="I8" s="8" t="inlineStr"/>
      <c r="J8" s="8" t="inlineStr"/>
      <c r="K8" s="8" t="inlineStr"/>
      <c r="L8" s="8" t="inlineStr">
        <is>
          <t>casa ≥ 12</t>
        </is>
      </c>
      <c r="M8" s="8" t="inlineStr">
        <is>
          <t>sim</t>
        </is>
      </c>
      <c r="N8" s="8" t="inlineStr"/>
      <c r="O8" s="8" t="inlineStr"/>
      <c r="P8" s="8" t="inlineStr"/>
      <c r="Q8" s="8" t="inlineStr"/>
      <c r="R8" s="8" t="inlineStr"/>
      <c r="S8" s="8" t="inlineStr"/>
      <c r="T8" s="8" t="inlineStr"/>
    </row>
    <row r="9">
      <c r="A9" s="9" t="inlineStr">
        <is>
          <t>c8-008</t>
        </is>
      </c>
      <c r="B9" s="9" t="inlineStr">
        <is>
          <t>10h52</t>
        </is>
      </c>
      <c r="C9" s="9" t="inlineStr">
        <is>
          <t>O Caixa Novato</t>
        </is>
      </c>
      <c r="D9" s="9" t="inlineStr">
        <is>
          <t>todos</t>
        </is>
      </c>
      <c r="E9" s="9" t="inlineStr">
        <is>
          <t>presencial</t>
        </is>
      </c>
      <c r="F9" s="9" t="inlineStr">
        <is>
          <t>indireta</t>
        </is>
      </c>
      <c r="G9" s="9" t="inlineStr">
        <is>
          <t>Desconfiei de mim mesmo.</t>
        </is>
      </c>
      <c r="H9" s="9" t="inlineStr">
        <is>
          <t>pista falsa</t>
        </is>
      </c>
      <c r="I9" s="9" t="inlineStr"/>
      <c r="J9" s="9" t="inlineStr"/>
      <c r="K9" s="9" t="inlineStr"/>
      <c r="L9" s="9" t="inlineStr">
        <is>
          <t>toda casa</t>
        </is>
      </c>
      <c r="M9" s="9" t="inlineStr">
        <is>
          <t>não</t>
        </is>
      </c>
      <c r="N9" s="9" t="inlineStr"/>
      <c r="O9" s="9" t="inlineStr"/>
      <c r="P9" s="9" t="inlineStr"/>
      <c r="Q9" s="9" t="inlineStr"/>
      <c r="R9" s="9" t="inlineStr"/>
      <c r="S9" s="9" t="inlineStr"/>
      <c r="T9" s="9" t="inlineStr">
        <is>
          <t>"O momento mais cruel da manhã"; aponta para si.</t>
        </is>
      </c>
    </row>
    <row r="10">
      <c r="A10" s="8" t="inlineStr">
        <is>
          <t>c8-009</t>
        </is>
      </c>
      <c r="B10" s="8" t="inlineStr">
        <is>
          <t>10h52</t>
        </is>
      </c>
      <c r="C10" s="8" t="inlineStr">
        <is>
          <t>O Técnico</t>
        </is>
      </c>
      <c r="D10" s="8" t="inlineStr">
        <is>
          <t>todos</t>
        </is>
      </c>
      <c r="E10" s="8" t="inlineStr">
        <is>
          <t>presencial</t>
        </is>
      </c>
      <c r="F10" s="8" t="inlineStr">
        <is>
          <t>direta</t>
        </is>
      </c>
      <c r="G10" s="8" t="inlineStr">
        <is>
          <t>A parede.</t>
        </is>
      </c>
      <c r="H10" s="8" t="inlineStr">
        <is>
          <t>pista falsa</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is>
          <t>Discurso direto sem travessão no texto.</t>
        </is>
      </c>
    </row>
    <row r="11">
      <c r="A11" s="9" t="inlineStr">
        <is>
          <t>c8-010</t>
        </is>
      </c>
      <c r="B11" s="9" t="inlineStr">
        <is>
          <t>10h52</t>
        </is>
      </c>
      <c r="C11" s="9" t="inlineStr">
        <is>
          <t>O Segurança do Veículo</t>
        </is>
      </c>
      <c r="D11" s="9" t="inlineStr">
        <is>
          <t>todos</t>
        </is>
      </c>
      <c r="E11" s="9" t="inlineStr">
        <is>
          <t>presencial</t>
        </is>
      </c>
      <c r="F11" s="9" t="inlineStr">
        <is>
          <t>direta</t>
        </is>
      </c>
      <c r="G11" s="9" t="inlineStr">
        <is>
          <t>Eu, que deixei passar.</t>
        </is>
      </c>
      <c r="H11" s="9" t="inlineStr">
        <is>
          <t>subtrama</t>
        </is>
      </c>
      <c r="I11" s="9" t="inlineStr"/>
      <c r="J11" s="9" t="inlineStr"/>
      <c r="K11" s="9" t="inlineStr"/>
      <c r="L11" s="9" t="inlineStr">
        <is>
          <t>casa ≥ 10</t>
        </is>
      </c>
      <c r="M11" s="9" t="inlineStr">
        <is>
          <t>sim</t>
        </is>
      </c>
      <c r="N11" s="9" t="inlineStr"/>
      <c r="O11" s="9" t="inlineStr"/>
      <c r="P11" s="9" t="inlineStr"/>
      <c r="Q11" s="9" t="inlineStr"/>
      <c r="R11" s="9" t="inlineStr"/>
      <c r="S11" s="9" t="inlineStr"/>
      <c r="T11" s="9" t="inlineStr"/>
    </row>
    <row r="12">
      <c r="A12" s="8" t="inlineStr">
        <is>
          <t>c8-011</t>
        </is>
      </c>
      <c r="B12" s="8" t="inlineStr">
        <is>
          <t>10h52</t>
        </is>
      </c>
      <c r="C12" s="8" t="inlineStr">
        <is>
          <t>O Funcionário da Limpeza</t>
        </is>
      </c>
      <c r="D12" s="8" t="inlineStr">
        <is>
          <t>todos</t>
        </is>
      </c>
      <c r="E12" s="8" t="inlineStr">
        <is>
          <t>presencial</t>
        </is>
      </c>
      <c r="F12" s="8" t="inlineStr">
        <is>
          <t>indireta</t>
        </is>
      </c>
      <c r="G12" s="8" t="inlineStr">
        <is>
          <t>Desconfiei do saco, não de gente.</t>
        </is>
      </c>
      <c r="H12" s="8" t="inlineStr">
        <is>
          <t>ambiente</t>
        </is>
      </c>
      <c r="I12" s="8" t="inlineStr"/>
      <c r="J12" s="8" t="inlineStr"/>
      <c r="K12" s="8" t="inlineStr"/>
      <c r="L12" s="8" t="inlineStr">
        <is>
          <t>casa ≥ 8</t>
        </is>
      </c>
      <c r="M12" s="8" t="inlineStr">
        <is>
          <t>sim</t>
        </is>
      </c>
      <c r="N12" s="8" t="inlineStr"/>
      <c r="O12" s="8" t="inlineStr"/>
      <c r="P12" s="8" t="inlineStr"/>
      <c r="Q12" s="8" t="inlineStr"/>
      <c r="R12" s="8" t="inlineStr"/>
      <c r="S12" s="8" t="inlineStr"/>
      <c r="T12" s="8" t="inlineStr"/>
    </row>
    <row r="13">
      <c r="A13" s="9" t="inlineStr">
        <is>
          <t>c8-012</t>
        </is>
      </c>
      <c r="B13" s="9" t="inlineStr">
        <is>
          <t>10h52</t>
        </is>
      </c>
      <c r="C13" s="9" t="inlineStr">
        <is>
          <t>O Padeiro</t>
        </is>
      </c>
      <c r="D13" s="9" t="inlineStr">
        <is>
          <t>todos</t>
        </is>
      </c>
      <c r="E13" s="9" t="inlineStr">
        <is>
          <t>telefone</t>
        </is>
      </c>
      <c r="F13" s="9" t="inlineStr">
        <is>
          <t>direta</t>
        </is>
      </c>
      <c r="G13" s="9" t="inlineStr">
        <is>
          <t>De quem atravessou minha porta sem comprar nada.</t>
        </is>
      </c>
      <c r="H13" s="9" t="inlineStr">
        <is>
          <t>reforço</t>
        </is>
      </c>
      <c r="I13" s="9" t="inlineStr"/>
      <c r="J13" s="9" t="inlineStr"/>
      <c r="K13" s="9" t="inlineStr"/>
      <c r="L13" s="9" t="inlineStr">
        <is>
          <t>casa ≥ 10</t>
        </is>
      </c>
      <c r="M13" s="9" t="inlineStr">
        <is>
          <t>sim</t>
        </is>
      </c>
      <c r="N13" s="9" t="inlineStr"/>
      <c r="O13" s="9" t="inlineStr"/>
      <c r="P13" s="9" t="inlineStr"/>
      <c r="Q13" s="9" t="inlineStr"/>
      <c r="R13" s="9" t="inlineStr"/>
      <c r="S13" s="9" t="inlineStr"/>
      <c r="T13" s="9" t="inlineStr"/>
    </row>
    <row r="14">
      <c r="A14" s="8" t="inlineStr">
        <is>
          <t>c8-013</t>
        </is>
      </c>
      <c r="B14" s="8" t="inlineStr">
        <is>
          <t>10h52</t>
        </is>
      </c>
      <c r="C14" s="8" t="inlineStr">
        <is>
          <t>O Operador de Rádio</t>
        </is>
      </c>
      <c r="D14" s="8" t="inlineStr">
        <is>
          <t>todos</t>
        </is>
      </c>
      <c r="E14" s="8" t="inlineStr">
        <is>
          <t>rádio</t>
        </is>
      </c>
      <c r="F14" s="8" t="inlineStr">
        <is>
          <t>indireta</t>
        </is>
      </c>
      <c r="G14" s="8" t="inlineStr">
        <is>
          <t>Não identifico pessoas, só códigos. E o código era de tesouraria.</t>
        </is>
      </c>
      <c r="H14" s="8" t="inlineStr">
        <is>
          <t>prova</t>
        </is>
      </c>
      <c r="I14" s="8" t="inlineStr"/>
      <c r="J14" s="8" t="inlineStr"/>
      <c r="K14" s="8" t="inlineStr"/>
      <c r="L14" s="8" t="inlineStr">
        <is>
          <t>toda casa</t>
        </is>
      </c>
      <c r="M14" s="8" t="inlineStr">
        <is>
          <t>não</t>
        </is>
      </c>
      <c r="N14" s="8" t="inlineStr"/>
      <c r="O14" s="8" t="inlineStr"/>
      <c r="P14" s="8" t="inlineStr"/>
      <c r="Q14" s="8" t="inlineStr"/>
      <c r="R14" s="8" t="inlineStr"/>
      <c r="S14" s="8" t="inlineStr"/>
      <c r="T14" s="8" t="inlineStr">
        <is>
          <t>Vigia de fora; pertence ao bloco "completa" (ver problemas: casa de 6 sem o vigia).</t>
        </is>
      </c>
    </row>
    <row r="15">
      <c r="A15" s="12" t="inlineStr">
        <is>
          <t>c8-014</t>
        </is>
      </c>
      <c r="B15" s="12" t="inlineStr">
        <is>
          <t>10h52</t>
        </is>
      </c>
      <c r="C15" s="12" t="inlineStr">
        <is>
          <t>O Gerente</t>
        </is>
      </c>
      <c r="D15" s="12" t="inlineStr">
        <is>
          <t>todos</t>
        </is>
      </c>
      <c r="E15" s="12" t="inlineStr">
        <is>
          <t>presencial</t>
        </is>
      </c>
      <c r="F15" s="12" t="inlineStr">
        <is>
          <t>indireta</t>
        </is>
      </c>
      <c r="G15" s="12" t="inlineStr">
        <is>
          <t>Desconfio do Técnico.</t>
        </is>
      </c>
      <c r="H15" s="12" t="inlineStr">
        <is>
          <t>pista falsa</t>
        </is>
      </c>
      <c r="I15" s="12" t="inlineStr"/>
      <c r="J15" s="12" t="inlineStr">
        <is>
          <t>A9</t>
        </is>
      </c>
      <c r="K15" s="12" t="inlineStr">
        <is>
          <t>Variante G: o Gerente aponta o Técnico com mais força ("Foi o Técnico."). | Variante V: igual à referência (sem convicção).</t>
        </is>
      </c>
      <c r="L15" s="12" t="inlineStr">
        <is>
          <t>toda casa</t>
        </is>
      </c>
      <c r="M15" s="12" t="inlineStr">
        <is>
          <t>não</t>
        </is>
      </c>
      <c r="N15" s="12" t="inlineStr"/>
      <c r="O15" s="12" t="inlineStr"/>
      <c r="P15" s="12" t="inlineStr"/>
      <c r="Q15" s="12" t="inlineStr"/>
      <c r="R15" s="12" t="inlineStr"/>
      <c r="S15" s="12" t="inlineStr"/>
      <c r="T15" s="12" t="inlineStr">
        <is>
          <t>Repete o Técnico sem convicção. Sem marca no texto; mudança vem da Variante G.</t>
        </is>
      </c>
    </row>
    <row r="16">
      <c r="A16" s="12" t="inlineStr">
        <is>
          <t>c8-015</t>
        </is>
      </c>
      <c r="B16" s="12" t="inlineStr">
        <is>
          <t>10h52</t>
        </is>
      </c>
      <c r="C16" s="12" t="inlineStr">
        <is>
          <t>O Caixa Veterano</t>
        </is>
      </c>
      <c r="D16" s="12" t="inlineStr">
        <is>
          <t>todos</t>
        </is>
      </c>
      <c r="E16" s="12" t="inlineStr">
        <is>
          <t>presencial</t>
        </is>
      </c>
      <c r="F16" s="12" t="inlineStr">
        <is>
          <t>indireta</t>
        </is>
      </c>
      <c r="G16" s="12" t="inlineStr">
        <is>
          <t>(não diz nome)</t>
        </is>
      </c>
      <c r="H16" s="12" t="inlineStr">
        <is>
          <t>ambiente</t>
        </is>
      </c>
      <c r="I16" s="12" t="inlineStr"/>
      <c r="J16" s="12" t="inlineStr">
        <is>
          <t>A9</t>
        </is>
      </c>
      <c r="K16" s="12" t="inlineStr">
        <is>
          <t>Variante G: igual à referência. | Variante V (jogo, 05/10): na acusação não diz nome; diz "Fui eu", em voz baixa, durante a reconstrução da Auditora (c8-023).</t>
        </is>
      </c>
      <c r="L16" s="12" t="inlineStr">
        <is>
          <t>toda casa</t>
        </is>
      </c>
      <c r="M16" s="12" t="inlineStr">
        <is>
          <t>não</t>
        </is>
      </c>
      <c r="N16" s="12" t="inlineStr"/>
      <c r="O16" s="12" t="inlineStr"/>
      <c r="P16" s="12" t="inlineStr"/>
      <c r="Q16" s="12" t="inlineStr"/>
      <c r="R16" s="12" t="inlineStr"/>
      <c r="S16" s="12" t="inlineStr"/>
      <c r="T16" s="12" t="inlineStr">
        <is>
          <t>Silêncio no texto; registrado para manter uma entrada por personagem. Sem marca; mudança vem da Variante V.</t>
        </is>
      </c>
    </row>
    <row r="17">
      <c r="A17" s="9" t="inlineStr">
        <is>
          <t>c8-016</t>
        </is>
      </c>
      <c r="B17" s="9" t="inlineStr">
        <is>
          <t>10h52</t>
        </is>
      </c>
      <c r="C17" s="9" t="inlineStr">
        <is>
          <t>O Subgerente</t>
        </is>
      </c>
      <c r="D17" s="9" t="inlineStr">
        <is>
          <t>todos</t>
        </is>
      </c>
      <c r="E17" s="9" t="inlineStr">
        <is>
          <t>presencial</t>
        </is>
      </c>
      <c r="F17" s="9" t="inlineStr">
        <is>
          <t>indireta</t>
        </is>
      </c>
      <c r="G17" s="9" t="inlineStr">
        <is>
          <t>Desconfiei de todos, porque é o meu trabalho.</t>
        </is>
      </c>
      <c r="H17" s="9" t="inlineStr">
        <is>
          <t>pista falsa</t>
        </is>
      </c>
      <c r="I17" s="9" t="inlineStr"/>
      <c r="J17" s="9" t="inlineStr"/>
      <c r="K17" s="9" t="inlineStr"/>
      <c r="L17" s="9" t="inlineStr">
        <is>
          <t>casa ≥ 8</t>
        </is>
      </c>
      <c r="M17" s="9" t="inlineStr">
        <is>
          <t>sim</t>
        </is>
      </c>
      <c r="N17" s="9" t="inlineStr"/>
      <c r="O17" s="9" t="inlineStr"/>
      <c r="P17" s="9" t="inlineStr"/>
      <c r="Q17" s="9" t="inlineStr"/>
      <c r="R17" s="9" t="inlineStr"/>
      <c r="S17" s="9" t="inlineStr"/>
      <c r="T17" s="9" t="inlineStr">
        <is>
          <t>Na S é a fala do impostor na acusação. Nas casas sem o Subgerente (G/V casa 6), sai.</t>
        </is>
      </c>
    </row>
    <row r="18">
      <c r="A18" s="8" t="inlineStr">
        <is>
          <t>c8-017</t>
        </is>
      </c>
      <c r="B18" s="8" t="inlineStr">
        <is>
          <t>10h52</t>
        </is>
      </c>
      <c r="C18" s="8" t="inlineStr">
        <is>
          <t>O Transportador</t>
        </is>
      </c>
      <c r="D18" s="8" t="inlineStr">
        <is>
          <t>todos</t>
        </is>
      </c>
      <c r="E18" s="8" t="inlineStr">
        <is>
          <t>rádio</t>
        </is>
      </c>
      <c r="F18" s="8" t="inlineStr">
        <is>
          <t>direta</t>
        </is>
      </c>
      <c r="G18" s="8" t="inlineStr">
        <is>
          <t>Eu disse às oito e quarenta e oito: pesava o certo. Ninguém tirou. Alguém pôs.</t>
        </is>
      </c>
      <c r="H18" s="8" t="inlineStr">
        <is>
          <t>reforço</t>
        </is>
      </c>
      <c r="I18" s="8" t="inlineStr">
        <is>
          <t>Peso de 7,0 kg e composição</t>
        </is>
      </c>
      <c r="J18" s="8" t="inlineStr"/>
      <c r="K18" s="8" t="inlineStr"/>
      <c r="L18" s="8" t="inlineStr">
        <is>
          <t>casa ≥ 13</t>
        </is>
      </c>
      <c r="M18" s="8" t="inlineStr">
        <is>
          <t>não (sem ele, o Motorista repete a frase pelo rádio)</t>
        </is>
      </c>
      <c r="N18" s="8" t="inlineStr"/>
      <c r="O18" s="8" t="inlineStr"/>
      <c r="P18" s="8" t="inlineStr"/>
      <c r="Q18" s="8" t="inlineStr"/>
      <c r="R18" s="8" t="inlineStr"/>
      <c r="S18" s="8" t="inlineStr"/>
      <c r="T18" s="8" t="inlineStr">
        <is>
          <t>Bloco completo, reforço. A conclusão "Alguém pôs" fica sem dono na casa de 6; precisa vir do Motorista (balança) ou da Auditora.</t>
        </is>
      </c>
    </row>
    <row r="19">
      <c r="A19" s="9" t="inlineStr">
        <is>
          <t>c8-018</t>
        </is>
      </c>
      <c r="B19" s="9" t="inlineStr">
        <is>
          <t>10h54</t>
        </is>
      </c>
      <c r="C19" s="9" t="inlineStr">
        <is>
          <t>A Auditora</t>
        </is>
      </c>
      <c r="D19" s="9" t="inlineStr">
        <is>
          <t>todos</t>
        </is>
      </c>
      <c r="E19" s="9" t="inlineStr">
        <is>
          <t>presencial</t>
        </is>
      </c>
      <c r="F19" s="9" t="inlineStr">
        <is>
          <t>indireta</t>
        </is>
      </c>
      <c r="G19" s="9" t="inlineStr">
        <is>
          <t>O saco do Arquivo era o malote da véspera, esvaziado e largado no chão por um homem com medo de uma chave emprestada. A voz a mais saiu da Gerência. A etiqueta nasceu às seis e cinquenta e oito, antes de qualquer pane. A rota era a parede. Nos oitenta e sete segundos, o dinheiro entrou. O número sem corpo nasceu de quatro falhas numa noite de chuva. E as outras mentiras protegiam vergonhas verdadeiras e pequenas.</t>
        </is>
      </c>
      <c r="H19" s="9" t="inlineStr">
        <is>
          <t>revelação</t>
        </is>
      </c>
      <c r="I19" s="9" t="inlineStr"/>
      <c r="J19" s="9" t="inlineStr"/>
      <c r="K19" s="9" t="inlineStr"/>
      <c r="L19" s="9" t="inlineStr">
        <is>
          <t>toda casa</t>
        </is>
      </c>
      <c r="M19" s="9" t="inlineStr">
        <is>
          <t>não</t>
        </is>
      </c>
      <c r="N19" s="9" t="inlineStr"/>
      <c r="O19" s="9" t="inlineStr"/>
      <c r="P19" s="9" t="inlineStr"/>
      <c r="Q19" s="9" t="inlineStr"/>
      <c r="R19" s="9" t="inlineStr"/>
      <c r="S19" s="9" t="inlineStr"/>
      <c r="T19" s="9" t="inlineStr">
        <is>
          <t>As sete grandes questões, em ordem.</t>
        </is>
      </c>
    </row>
    <row r="20">
      <c r="A20" s="12" t="inlineStr">
        <is>
          <t>c8-019</t>
        </is>
      </c>
      <c r="B20" s="12" t="inlineStr">
        <is>
          <t>~10h53</t>
        </is>
      </c>
      <c r="C20" s="12" t="inlineStr">
        <is>
          <t>A Auditora</t>
        </is>
      </c>
      <c r="D20" s="12" t="inlineStr">
        <is>
          <t>todos</t>
        </is>
      </c>
      <c r="E20" s="12" t="inlineStr">
        <is>
          <t>presencial</t>
        </is>
      </c>
      <c r="F20" s="12" t="inlineStr">
        <is>
          <t>indireta</t>
        </is>
      </c>
      <c r="G20" s="12" t="inlineStr">
        <is>
          <t>Oito dias antes, ao reler o espelho do reprocessamento, o Subgerente percebeu que o depósito do frigorífico entrou duas vezes, e calou.</t>
        </is>
      </c>
      <c r="H20" s="12" t="inlineStr">
        <is>
          <t>revelação</t>
        </is>
      </c>
      <c r="I20" s="12" t="inlineStr"/>
      <c r="J20" s="12" t="inlineStr">
        <is>
          <t>A1</t>
        </is>
      </c>
      <c r="K20" s="12" t="inlineStr">
        <is>
          <t>Variante G: Oito dias antes, ao assinar o balancete semanal do Cofre, o Gerente percebeu que o depósito do frigorífico entrou duas vezes, e calou. | Variante V: Oito dias antes, ao refazer de cabeça a soma do frigorífico, numa noite sem sono, o Caixa Veterano percebeu que o depósito entrou duas vezes, e calou.</t>
        </is>
      </c>
      <c r="L20" s="12" t="inlineStr">
        <is>
          <t>toda casa</t>
        </is>
      </c>
      <c r="M20" s="12" t="inlineStr">
        <is>
          <t>não</t>
        </is>
      </c>
      <c r="N20" s="12" t="inlineStr"/>
      <c r="O20" s="12" t="inlineStr"/>
      <c r="P20" s="12" t="inlineStr"/>
      <c r="Q20" s="12" t="inlineStr"/>
      <c r="R20" s="12" t="inlineStr"/>
      <c r="S20" s="12" t="inlineStr"/>
      <c r="T20" s="12" t="inlineStr"/>
    </row>
    <row r="21">
      <c r="A21" s="12" t="inlineStr">
        <is>
          <t>c8-020</t>
        </is>
      </c>
      <c r="B21" s="12" t="inlineStr">
        <is>
          <t>~10h53</t>
        </is>
      </c>
      <c r="C21" s="12" t="inlineStr">
        <is>
          <t>A Auditora</t>
        </is>
      </c>
      <c r="D21" s="12" t="inlineStr">
        <is>
          <t>todos</t>
        </is>
      </c>
      <c r="E21" s="12" t="inlineStr">
        <is>
          <t>presencial</t>
        </is>
      </c>
      <c r="F21" s="12" t="inlineStr">
        <is>
          <t>indireta</t>
        </is>
      </c>
      <c r="G21" s="12" t="inlineStr">
        <is>
          <t>Na véspera, às quinze e cinquenta, ele contou o excedente, encontrou trezentos e oitenta e quatro mil onde a guia pedia quatrocentos e oitenta, e lacrou assim mesmo. O Caixa Veterano assinou sem contar. Era o que ele sabia: o malote sairia curto e a base descobriria.</t>
        </is>
      </c>
      <c r="H21" s="12" t="inlineStr">
        <is>
          <t>revelação</t>
        </is>
      </c>
      <c r="I21" s="12" t="inlineStr"/>
      <c r="J21" s="12" t="inlineStr">
        <is>
          <t>A2</t>
        </is>
      </c>
      <c r="K21" s="12" t="inlineStr">
        <is>
          <t>Variante G: ... o Gerente contou ... e lacrou assim mesmo. O Subgerente assinou sem contar. ... | Variante V: ... o Caixa Veterano contou ... e lacrou assim mesmo. O Subgerente assinou sem contar. ...</t>
        </is>
      </c>
      <c r="L21" s="12" t="inlineStr">
        <is>
          <t>toda casa</t>
        </is>
      </c>
      <c r="M21" s="12" t="inlineStr">
        <is>
          <t>não</t>
        </is>
      </c>
      <c r="N21" s="12" t="inlineStr"/>
      <c r="O21" s="12" t="inlineStr"/>
      <c r="P21" s="12" t="inlineStr"/>
      <c r="Q21" s="12" t="inlineStr"/>
      <c r="R21" s="12" t="inlineStr"/>
      <c r="S21" s="12" t="inlineStr"/>
      <c r="T21" s="12" t="inlineStr"/>
    </row>
    <row r="22">
      <c r="A22" s="8" t="inlineStr">
        <is>
          <t>c8-021</t>
        </is>
      </c>
      <c r="B22" s="8" t="inlineStr">
        <is>
          <t>~10h53</t>
        </is>
      </c>
      <c r="C22" s="8" t="inlineStr">
        <is>
          <t>A Auditora</t>
        </is>
      </c>
      <c r="D22" s="8" t="inlineStr">
        <is>
          <t>todos</t>
        </is>
      </c>
      <c r="E22" s="8" t="inlineStr">
        <is>
          <t>presencial</t>
        </is>
      </c>
      <c r="F22" s="8" t="inlineStr">
        <is>
          <t>indireta</t>
        </is>
      </c>
      <c r="G22" s="8" t="inlineStr">
        <is>
          <t>Por onde foi: da Gerência para a passagem, da passagem para o Rack, do Rack para o Arquivo e para a Antecâmara, e de volta, sem atravessar o Saguão.</t>
        </is>
      </c>
      <c r="H22" s="8" t="inlineStr">
        <is>
          <t>revelação</t>
        </is>
      </c>
      <c r="I22" s="8" t="inlineStr"/>
      <c r="J22" s="8" t="inlineStr"/>
      <c r="K22" s="8" t="inlineStr"/>
      <c r="L22" s="8" t="inlineStr">
        <is>
          <t>toda casa</t>
        </is>
      </c>
      <c r="M22" s="8" t="inlineStr">
        <is>
          <t>não</t>
        </is>
      </c>
      <c r="N22" s="8" t="inlineStr"/>
      <c r="O22" s="8" t="inlineStr"/>
      <c r="P22" s="8" t="inlineStr"/>
      <c r="Q22" s="8" t="inlineStr"/>
      <c r="R22" s="8" t="inlineStr"/>
      <c r="S22" s="8" t="inlineStr"/>
      <c r="T22" s="8" t="inlineStr">
        <is>
          <t>Rota fixa nas três partidas.</t>
        </is>
      </c>
    </row>
    <row r="23">
      <c r="A23" s="12" t="inlineStr">
        <is>
          <t>c8-022</t>
        </is>
      </c>
      <c r="B23" s="12" t="inlineStr">
        <is>
          <t>~10h53</t>
        </is>
      </c>
      <c r="C23" s="12" t="inlineStr">
        <is>
          <t>A Auditora</t>
        </is>
      </c>
      <c r="D23" s="12" t="inlineStr">
        <is>
          <t>todos</t>
        </is>
      </c>
      <c r="E23" s="12" t="inlineStr">
        <is>
          <t>presencial</t>
        </is>
      </c>
      <c r="F23" s="12" t="inlineStr">
        <is>
          <t>indireta</t>
        </is>
      </c>
      <c r="G23" s="12" t="inlineStr">
        <is>
          <t>Quem o viu não estar: a câmera 2, que mostra os Guichês sem ele até as oito e zero cinco, e a Estagiária, que estava lá; a Cliente do Cofre e a câmera 1, que viram dois entrarem na Gerência e um sair.</t>
        </is>
      </c>
      <c r="H23" s="12" t="inlineStr">
        <is>
          <t>revelação</t>
        </is>
      </c>
      <c r="I23" s="12" t="inlineStr">
        <is>
          <t>Quem estava onde na janela</t>
        </is>
      </c>
      <c r="J23" s="12" t="inlineStr">
        <is>
          <t>A5</t>
        </is>
      </c>
      <c r="K23" s="12" t="inlineStr">
        <is>
          <t>Variante G: o ramal da Gerência, sem chamada entre 7h50 e 8h10, e a câmera 1, que o mostra entrando na divisória às 7h57:50. | Variante V: a câmera 2, que mostra a Mesa vazia até 8h00:02, e o Segurança do Veículo, que via a Mesa da Eclusa; a Cliente do Cofre e a câmera 1, que viram dois entrarem na Gerência e um sair.</t>
        </is>
      </c>
      <c r="L23" s="12" t="inlineStr">
        <is>
          <t>toda casa</t>
        </is>
      </c>
      <c r="M23" s="12" t="inlineStr">
        <is>
          <t>não</t>
        </is>
      </c>
      <c r="N23" s="12" t="inlineStr"/>
      <c r="O23" s="12" t="inlineStr"/>
      <c r="P23" s="12" t="inlineStr"/>
      <c r="Q23" s="12" t="inlineStr"/>
      <c r="R23" s="12" t="inlineStr"/>
      <c r="S23" s="12" t="inlineStr"/>
      <c r="T23" s="12" t="inlineStr">
        <is>
          <t>Cita a Estagiária (bloco 3), ausente na casa de 8 da partida S; e, na V, o Segurança do Veículo (bloco 2), ausente na casa de 6.</t>
        </is>
      </c>
    </row>
    <row r="24">
      <c r="A24" s="12" t="inlineStr">
        <is>
          <t>c8-023</t>
        </is>
      </c>
      <c r="B24" s="12" t="inlineStr">
        <is>
          <t>~10h53</t>
        </is>
      </c>
      <c r="C24" s="12" t="inlineStr">
        <is>
          <t>A Auditora</t>
        </is>
      </c>
      <c r="D24" s="12" t="inlineStr">
        <is>
          <t>todos</t>
        </is>
      </c>
      <c r="E24" s="12" t="inlineStr">
        <is>
          <t>presencial</t>
        </is>
      </c>
      <c r="F24" s="12" t="inlineStr">
        <is>
          <t>indireta</t>
        </is>
      </c>
      <c r="G24" s="12" t="inlineStr">
        <is>
          <t>O que o registro desmente: o sensor da porta lateral, aberta às seis e trinta e seis, quando nenhum crachá tinha passado, e o crachá dele, às sete e dezesseis, que pretendia ser a chegada; os dígitos do cartão dele no rádio; o saque em nome dele na 0392; a fita da farmácia no indicador e a luva rasgada no cesto.</t>
        </is>
      </c>
      <c r="H24" s="12" t="inlineStr">
        <is>
          <t>revelação</t>
        </is>
      </c>
      <c r="I24" s="12" t="inlineStr">
        <is>
          <t>Livro de lacres, titular, cartão</t>
        </is>
      </c>
      <c r="J24" s="12" t="inlineStr">
        <is>
          <t>A5, A7, A8, A3</t>
        </is>
      </c>
      <c r="K24" s="12" t="inlineStr">
        <is>
          <t>Variante G: "dele" = Gerente; saque do resgate da previdência; fita no indicador (Variante G) ou indicador (tabela A3); o horário do crachá não tem valor definido para a G. | Variante V: "dele" = Caixa Veterano; saque das economias da aposentadoria; fita no indicador; horário do crachá não definido para a V.</t>
        </is>
      </c>
      <c r="L24" s="12" t="inlineStr">
        <is>
          <t>toda casa</t>
        </is>
      </c>
      <c r="M24" s="12" t="inlineStr">
        <is>
          <t>não</t>
        </is>
      </c>
      <c r="N24" s="12" t="inlineStr"/>
      <c r="O24" s="12" t="inlineStr"/>
      <c r="P24" s="12" t="inlineStr"/>
      <c r="Q24" s="12" t="inlineStr"/>
      <c r="R24" s="12" t="inlineStr"/>
      <c r="S24" s="12" t="inlineStr"/>
      <c r="T24" s="12" t="inlineStr">
        <is>
          <t>O crachá das 7h16 não aparece no cânone nem na tabela de ajuste (marcado A5 sem valor para G/V).</t>
        </is>
      </c>
    </row>
    <row r="25">
      <c r="A25" s="12" t="inlineStr">
        <is>
          <t>c8-024</t>
        </is>
      </c>
      <c r="B25" s="12" t="inlineStr">
        <is>
          <t>~10h53</t>
        </is>
      </c>
      <c r="C25" s="12" t="inlineStr">
        <is>
          <t>A Auditora</t>
        </is>
      </c>
      <c r="D25" s="12" t="inlineStr">
        <is>
          <t>todos</t>
        </is>
      </c>
      <c r="E25" s="12" t="inlineStr">
        <is>
          <t>presencial</t>
        </is>
      </c>
      <c r="F25" s="12" t="inlineStr">
        <is>
          <t>indireta</t>
        </is>
      </c>
      <c r="G25" s="12" t="inlineStr">
        <is>
          <t>Quem ajudou, sem saber: o Caixa Veterano, que assinou sem contar; o Segurança Interno, que deixou o rádio fora do carregador; o Segurança do Veículo, que conferiu a tela; o Funcionário da Limpeza, que transformou o descarte numa cena.</t>
        </is>
      </c>
      <c r="H25" s="12" t="inlineStr">
        <is>
          <t>revelação</t>
        </is>
      </c>
      <c r="I25" s="12" t="inlineStr"/>
      <c r="J25" s="12" t="inlineStr">
        <is>
          <t>A2</t>
        </is>
      </c>
      <c r="K25" s="12" t="inlineStr">
        <is>
          <t>Variante G e V: ... o Subgerente, que assinou sem contar; ... (demais iguais).</t>
        </is>
      </c>
      <c r="L25" s="12" t="inlineStr">
        <is>
          <t>toda casa</t>
        </is>
      </c>
      <c r="M25" s="12" t="inlineStr">
        <is>
          <t>não</t>
        </is>
      </c>
      <c r="N25" s="12" t="inlineStr"/>
      <c r="O25" s="12" t="inlineStr"/>
      <c r="P25" s="12" t="inlineStr"/>
      <c r="Q25" s="12" t="inlineStr"/>
      <c r="R25" s="12" t="inlineStr"/>
      <c r="S25" s="12" t="inlineStr"/>
      <c r="T25" s="12" t="inlineStr"/>
    </row>
    <row r="26">
      <c r="A26" s="8" t="inlineStr">
        <is>
          <t>c8-025</t>
        </is>
      </c>
      <c r="B26" s="8" t="inlineStr">
        <is>
          <t>~10h53</t>
        </is>
      </c>
      <c r="C26" s="8" t="inlineStr">
        <is>
          <t>A Auditora</t>
        </is>
      </c>
      <c r="D26" s="8" t="inlineStr">
        <is>
          <t>todos</t>
        </is>
      </c>
      <c r="E26" s="8" t="inlineStr">
        <is>
          <t>presencial</t>
        </is>
      </c>
      <c r="F26" s="8" t="inlineStr">
        <is>
          <t>indireta</t>
        </is>
      </c>
      <c r="G26" s="8" t="inlineStr">
        <is>
          <t>E por que os outros pareceram culpados: o Técnico tinha a conta, a chave e o segredo de uma caixa sem nota; o Caixa Novato tinha uma pasta trocada e um pânico sem testemunha; a Estagiária guardava uma senha e uma cópia; a Operadora tinha um esmalte e uma omissão; a Cliente, uma planta; a própria Auditora, um guarda-chuva e um passado. O Gerente tinha um cabo queimado, que era seu de fato, mas era outra coisa.</t>
        </is>
      </c>
      <c r="H26" s="8" t="inlineStr">
        <is>
          <t>revelação</t>
        </is>
      </c>
      <c r="I26" s="8" t="inlineStr"/>
      <c r="J26" s="8" t="inlineStr"/>
      <c r="K26" s="8" t="inlineStr">
        <is>
          <t>Variante G: a última frase vira "E o cabo queimado das oito e trinta e um não era outra coisa: era o mesmo plano, agora escondendo a si mesmo."</t>
        </is>
      </c>
      <c r="L26" s="8" t="inlineStr">
        <is>
          <t>toda casa</t>
        </is>
      </c>
      <c r="M26" s="8" t="inlineStr">
        <is>
          <t>não</t>
        </is>
      </c>
      <c r="N26" s="8" t="inlineStr"/>
      <c r="O26" s="8" t="inlineStr"/>
      <c r="P26" s="8" t="inlineStr"/>
      <c r="Q26" s="8" t="inlineStr"/>
      <c r="R26" s="8" t="inlineStr"/>
      <c r="S26" s="8" t="inlineStr"/>
      <c r="T26" s="8" t="inlineStr">
        <is>
          <t>Sem marca de ajuste, mas na G a frase final sobre o Gerente é falsa (o cabo é encobrimento e autoria). Também falta, em G/V, a explicação inocente do Subgerente (chave 17-B/espelho).</t>
        </is>
      </c>
    </row>
    <row r="27">
      <c r="A27" s="12" t="inlineStr">
        <is>
          <t>c8-026</t>
        </is>
      </c>
      <c r="B27" s="12" t="inlineStr">
        <is>
          <t>~10h55</t>
        </is>
      </c>
      <c r="C27" s="12" t="inlineStr">
        <is>
          <t>O Subgerente</t>
        </is>
      </c>
      <c r="D27" s="12" t="inlineStr">
        <is>
          <t>todos</t>
        </is>
      </c>
      <c r="E27" s="12" t="inlineStr">
        <is>
          <t>presencial</t>
        </is>
      </c>
      <c r="F27" s="12" t="inlineStr">
        <is>
          <t>direta</t>
        </is>
      </c>
      <c r="G27" s="12" t="inlineStr">
        <is>
          <t>Eu descobri três dias depois. Se comunicasse, viria a regional. Meu reprocessamento, a assinatura dele, a saída do Gerente, a trava do Técnico. Seria uma fila de gente. Empenhei as joias da minha mãe. Agendei o saque. Fechei o malote curto porque não tinha o dinheiro às quinze e cinquenta, e ia pôr o que faltava antes de ele sair. Auditoria surpresa costuma chegar com a abertura, às oito. Antecipei a coleta para as sete e cinquenta. Vocês chegaram às sete e quarenta e sete.</t>
        </is>
      </c>
      <c r="H27" s="12" t="inlineStr">
        <is>
          <t>revelação</t>
        </is>
      </c>
      <c r="I27" s="12" t="inlineStr"/>
      <c r="J27" s="12" t="inlineStr">
        <is>
          <t>A9</t>
        </is>
      </c>
      <c r="K27" s="12" t="inlineStr">
        <is>
          <t>Variante G (Gerente): Eu saí às sete naquela noite porque um homem ia me denunciar. Quando vi o número, entendi que a minha saída estava dentro dele. Se a regional viesse, viria por tudo: pela saída, pelo crédito, por mim. Resgatei a previdência. Fechei o malote curto e ia completar antes da coleta. Queimei o cabo porque o arquivo dizia 'G sai'. Eu mesmo escrevi isso, para não esquecer quem eu tinha sido naquela noite. | Variante V (Caixa Veterano): Eu assinei sem contar para ir enterrar um amigo. Vinte e sete anos sem uma diferença, e a primeira foi minha. Tirei o dinheiro da aposentadoria. Não era para ninguém pagar por isso, nem eu, nem o nome desta agência. Fechei o malote curto porque às quinze e cinquenta eu ainda não tinha o dinheiro. Pensei que ninguém nunca saberia que eu tinha errado.</t>
        </is>
      </c>
      <c r="L27" s="12" t="inlineStr">
        <is>
          <t>casa ≥ 8</t>
        </is>
      </c>
      <c r="M27" s="12" t="inlineStr">
        <is>
          <t>não</t>
        </is>
      </c>
      <c r="N27" s="12" t="inlineStr"/>
      <c r="O27" s="12" t="inlineStr"/>
      <c r="P27" s="12" t="inlineStr"/>
      <c r="Q27" s="12" t="inlineStr"/>
      <c r="R27" s="12" t="inlineStr"/>
      <c r="S27" s="12" t="inlineStr"/>
      <c r="T27" s="12" t="inlineStr">
        <is>
          <t>Confissão do impostor. "três dias depois" = oito dias antes do crime (coerente com A1). Na S o Subgerente está sempre presente (casa mínima 8).</t>
        </is>
      </c>
    </row>
    <row r="28">
      <c r="A28" s="12" t="inlineStr">
        <is>
          <t>c8-027</t>
        </is>
      </c>
      <c r="B28" s="12" t="inlineStr">
        <is>
          <t>~10h55</t>
        </is>
      </c>
      <c r="C28" s="12" t="inlineStr">
        <is>
          <t>A Auditora</t>
        </is>
      </c>
      <c r="D28" s="12" t="inlineStr">
        <is>
          <t>subgerente</t>
        </is>
      </c>
      <c r="E28" s="12" t="inlineStr">
        <is>
          <t>presencial</t>
        </is>
      </c>
      <c r="F28" s="12" t="inlineStr">
        <is>
          <t>direta</t>
        </is>
      </c>
      <c r="G28" s="12" t="inlineStr">
        <is>
          <t>E a voz no rádio?</t>
        </is>
      </c>
      <c r="H28" s="12" t="inlineStr">
        <is>
          <t>revelação</t>
        </is>
      </c>
      <c r="I28" s="12" t="inlineStr"/>
      <c r="J28" s="12" t="inlineStr">
        <is>
          <t>A9</t>
        </is>
      </c>
      <c r="K28" s="12" t="inlineStr">
        <is>
          <t>Variante G: dirigida ao Gerente. | Variante V: dirigida ao Caixa Veterano.</t>
        </is>
      </c>
      <c r="L28" s="12" t="inlineStr">
        <is>
          <t>toda casa</t>
        </is>
      </c>
      <c r="M28" s="12" t="inlineStr">
        <is>
          <t>não</t>
        </is>
      </c>
      <c r="N28" s="12" t="inlineStr"/>
      <c r="O28" s="12" t="inlineStr"/>
      <c r="P28" s="12" t="inlineStr"/>
      <c r="Q28" s="12" t="inlineStr"/>
      <c r="R28" s="12" t="inlineStr"/>
      <c r="S28" s="12" t="inlineStr"/>
      <c r="T28" s="12" t="inlineStr">
        <is>
          <t>Sem marca; o destinatário é o impostor da partida.</t>
        </is>
      </c>
    </row>
    <row r="29">
      <c r="A29" s="12" t="inlineStr">
        <is>
          <t>c8-028</t>
        </is>
      </c>
      <c r="B29" s="12" t="inlineStr">
        <is>
          <t>~10h55</t>
        </is>
      </c>
      <c r="C29" s="12" t="inlineStr">
        <is>
          <t>O Subgerente</t>
        </is>
      </c>
      <c r="D29" s="12" t="inlineStr">
        <is>
          <t>auditora</t>
        </is>
      </c>
      <c r="E29" s="12" t="inlineStr">
        <is>
          <t>presencial</t>
        </is>
      </c>
      <c r="F29" s="12" t="inlineStr">
        <is>
          <t>direta</t>
        </is>
      </c>
      <c r="G29" s="12" t="inlineStr">
        <is>
          <t>Eu precisava do corredor sem ninguém.</t>
        </is>
      </c>
      <c r="H29" s="12" t="inlineStr">
        <is>
          <t>revelação</t>
        </is>
      </c>
      <c r="I29" s="12" t="inlineStr"/>
      <c r="J29" s="12" t="inlineStr">
        <is>
          <t>A9</t>
        </is>
      </c>
      <c r="K29" s="12" t="inlineStr">
        <is>
          <t>Variante G: a mesma fala, dita pelo Gerente. | Variante V: a mesma fala, dita pelo Caixa Veterano.</t>
        </is>
      </c>
      <c r="L29" s="12" t="inlineStr">
        <is>
          <t>casa ≥ 8</t>
        </is>
      </c>
      <c r="M29" s="12" t="inlineStr">
        <is>
          <t>não</t>
        </is>
      </c>
      <c r="N29" s="12" t="inlineStr"/>
      <c r="O29" s="12" t="inlineStr"/>
      <c r="P29" s="12" t="inlineStr"/>
      <c r="Q29" s="12" t="inlineStr"/>
      <c r="R29" s="12" t="inlineStr"/>
      <c r="S29" s="12" t="inlineStr"/>
      <c r="T29" s="12" t="inlineStr">
        <is>
          <t>Sem marca no texto, mas é fala do impostor; as Variantes G/V não reescrevem estas respostas.</t>
        </is>
      </c>
    </row>
    <row r="30">
      <c r="A30" s="12" t="inlineStr">
        <is>
          <t>c8-029</t>
        </is>
      </c>
      <c r="B30" s="12" t="inlineStr">
        <is>
          <t>~10h55</t>
        </is>
      </c>
      <c r="C30" s="12" t="inlineStr">
        <is>
          <t>A Auditora</t>
        </is>
      </c>
      <c r="D30" s="12" t="inlineStr">
        <is>
          <t>subgerente</t>
        </is>
      </c>
      <c r="E30" s="12" t="inlineStr">
        <is>
          <t>presencial</t>
        </is>
      </c>
      <c r="F30" s="12" t="inlineStr">
        <is>
          <t>direta</t>
        </is>
      </c>
      <c r="G30" s="12" t="inlineStr">
        <is>
          <t>E a câmera?</t>
        </is>
      </c>
      <c r="H30" s="12" t="inlineStr">
        <is>
          <t>revelação</t>
        </is>
      </c>
      <c r="I30" s="12" t="inlineStr"/>
      <c r="J30" s="12" t="inlineStr">
        <is>
          <t>A9</t>
        </is>
      </c>
      <c r="K30" s="12" t="inlineStr">
        <is>
          <t>Variante G: dirigida ao Gerente. | Variante V: dirigida ao Caixa Veterano.</t>
        </is>
      </c>
      <c r="L30" s="12" t="inlineStr">
        <is>
          <t>toda casa</t>
        </is>
      </c>
      <c r="M30" s="12" t="inlineStr">
        <is>
          <t>não</t>
        </is>
      </c>
      <c r="N30" s="12" t="inlineStr"/>
      <c r="O30" s="12" t="inlineStr"/>
      <c r="P30" s="12" t="inlineStr"/>
      <c r="Q30" s="12" t="inlineStr"/>
      <c r="R30" s="12" t="inlineStr"/>
      <c r="S30" s="12" t="inlineStr"/>
      <c r="T30" s="12" t="inlineStr"/>
    </row>
    <row r="31">
      <c r="A31" s="12" t="inlineStr">
        <is>
          <t>c8-030</t>
        </is>
      </c>
      <c r="B31" s="12" t="inlineStr">
        <is>
          <t>~10h55</t>
        </is>
      </c>
      <c r="C31" s="12" t="inlineStr">
        <is>
          <t>O Subgerente</t>
        </is>
      </c>
      <c r="D31" s="12" t="inlineStr">
        <is>
          <t>auditora</t>
        </is>
      </c>
      <c r="E31" s="12" t="inlineStr">
        <is>
          <t>presencial</t>
        </is>
      </c>
      <c r="F31" s="12" t="inlineStr">
        <is>
          <t>direta</t>
        </is>
      </c>
      <c r="G31" s="12" t="inlineStr">
        <is>
          <t>Para que ninguém visse dinheiro entrando e achasse que era dinheiro saindo.</t>
        </is>
      </c>
      <c r="H31" s="12" t="inlineStr">
        <is>
          <t>revelação</t>
        </is>
      </c>
      <c r="I31" s="12" t="inlineStr"/>
      <c r="J31" s="12" t="inlineStr">
        <is>
          <t>A9</t>
        </is>
      </c>
      <c r="K31" s="12" t="inlineStr">
        <is>
          <t>Variante G: a mesma fala, dita pelo Gerente. | Variante V: a mesma fala, dita pelo Caixa Veterano.</t>
        </is>
      </c>
      <c r="L31" s="12" t="inlineStr">
        <is>
          <t>casa ≥ 8</t>
        </is>
      </c>
      <c r="M31" s="12" t="inlineStr">
        <is>
          <t>não</t>
        </is>
      </c>
      <c r="N31" s="12" t="inlineStr"/>
      <c r="O31" s="12" t="inlineStr"/>
      <c r="P31" s="12" t="inlineStr"/>
      <c r="Q31" s="12" t="inlineStr"/>
      <c r="R31" s="12" t="inlineStr"/>
      <c r="S31" s="12" t="inlineStr"/>
      <c r="T31" s="12" t="inlineStr"/>
    </row>
    <row r="32">
      <c r="A32" s="8" t="inlineStr">
        <is>
          <t>c8-031</t>
        </is>
      </c>
      <c r="B32" s="8" t="inlineStr">
        <is>
          <t>~10h55</t>
        </is>
      </c>
      <c r="C32" s="8" t="inlineStr">
        <is>
          <t>O Caixa Novato</t>
        </is>
      </c>
      <c r="D32" s="8" t="inlineStr">
        <is>
          <t>todos</t>
        </is>
      </c>
      <c r="E32" s="8" t="inlineStr">
        <is>
          <t>presencial</t>
        </is>
      </c>
      <c r="F32" s="8" t="inlineStr">
        <is>
          <t>direta</t>
        </is>
      </c>
      <c r="G32" s="8" t="inlineStr">
        <is>
          <t>Foi exatamente o que achamos. Eu achei. Em voz alta.</t>
        </is>
      </c>
      <c r="H32" s="8" t="inlineStr">
        <is>
          <t>subtrama</t>
        </is>
      </c>
      <c r="I32" s="8" t="inlineStr"/>
      <c r="J32" s="8" t="inlineStr"/>
      <c r="K32" s="8" t="inlineStr"/>
      <c r="L32" s="8" t="inlineStr">
        <is>
          <t>toda casa</t>
        </is>
      </c>
      <c r="M32" s="8" t="inlineStr">
        <is>
          <t>não</t>
        </is>
      </c>
      <c r="N32" s="8" t="inlineStr"/>
      <c r="O32" s="8" t="inlineStr"/>
      <c r="P32" s="8" t="inlineStr"/>
      <c r="Q32" s="8" t="inlineStr"/>
      <c r="R32" s="8" t="inlineStr"/>
      <c r="S32" s="8" t="inlineStr"/>
      <c r="T32" s="8" t="inlineStr"/>
    </row>
    <row r="33">
      <c r="A33" s="9" t="inlineStr">
        <is>
          <t>c8-032</t>
        </is>
      </c>
      <c r="B33" s="9" t="inlineStr">
        <is>
          <t>~10h56</t>
        </is>
      </c>
      <c r="C33" s="9" t="inlineStr">
        <is>
          <t>O Gerente</t>
        </is>
      </c>
      <c r="D33" s="9" t="inlineStr">
        <is>
          <t>todos</t>
        </is>
      </c>
      <c r="E33" s="9" t="inlineStr">
        <is>
          <t>presencial</t>
        </is>
      </c>
      <c r="F33" s="9" t="inlineStr">
        <is>
          <t>indireta</t>
        </is>
      </c>
      <c r="G33" s="9" t="inlineStr">
        <is>
          <t>Isto é fraude.</t>
        </is>
      </c>
      <c r="H33" s="9" t="inlineStr">
        <is>
          <t>ambiente</t>
        </is>
      </c>
      <c r="I33" s="9" t="inlineStr"/>
      <c r="J33" s="9" t="inlineStr"/>
      <c r="K33" s="9" t="inlineStr">
        <is>
          <t>Variante G: "Alguém falou em fraude." (o Gerente é o impostor)</t>
        </is>
      </c>
      <c r="L33" s="9" t="inlineStr">
        <is>
          <t>toda casa</t>
        </is>
      </c>
      <c r="M33" s="9" t="inlineStr">
        <is>
          <t>não</t>
        </is>
      </c>
      <c r="N33" s="9" t="inlineStr"/>
      <c r="O33" s="9" t="inlineStr"/>
      <c r="P33" s="9" t="inlineStr"/>
      <c r="Q33" s="9" t="inlineStr"/>
      <c r="R33" s="9" t="inlineStr"/>
      <c r="S33" s="9" t="inlineStr"/>
      <c r="T33" s="9" t="inlineStr">
        <is>
          <t>No texto: "quis falar de fraude" e a Auditora não deixa. Na partida G o Gerente é o impostor e acabou de confessar: a fala fica incoerente e não tem ajuste.</t>
        </is>
      </c>
    </row>
    <row r="34">
      <c r="A34" s="8" t="inlineStr">
        <is>
          <t>c8-033</t>
        </is>
      </c>
      <c r="B34" s="8" t="inlineStr">
        <is>
          <t>~10h56</t>
        </is>
      </c>
      <c r="C34" s="8" t="inlineStr">
        <is>
          <t>A Auditora</t>
        </is>
      </c>
      <c r="D34" s="8" t="inlineStr">
        <is>
          <t>todos</t>
        </is>
      </c>
      <c r="E34" s="8" t="inlineStr">
        <is>
          <t>presencial</t>
        </is>
      </c>
      <c r="F34" s="8" t="inlineStr">
        <is>
          <t>direta</t>
        </is>
      </c>
      <c r="G34" s="8" t="inlineStr">
        <is>
          <t>Ninguém roubou. Uma pessoa falsificou a realidade para que ela obedecesse a um registro falso. E, para isso, usou o descuido e o medo de todos nós.</t>
        </is>
      </c>
      <c r="H34" s="8" t="inlineStr">
        <is>
          <t>revelação</t>
        </is>
      </c>
      <c r="I34" s="8" t="inlineStr"/>
      <c r="J34" s="8" t="inlineStr"/>
      <c r="K34" s="8" t="inlineStr"/>
      <c r="L34" s="8" t="inlineStr">
        <is>
          <t>toda casa</t>
        </is>
      </c>
      <c r="M34" s="8" t="inlineStr">
        <is>
          <t>não</t>
        </is>
      </c>
      <c r="N34" s="8" t="inlineStr"/>
      <c r="O34" s="8" t="inlineStr"/>
      <c r="P34" s="8" t="inlineStr"/>
      <c r="Q34" s="8" t="inlineStr"/>
      <c r="R34" s="8" t="inlineStr"/>
      <c r="S34" s="8" t="inlineStr"/>
      <c r="T34" s="8" t="inlineStr"/>
    </row>
    <row r="35">
      <c r="A35" s="9" t="inlineStr">
        <is>
          <t>c8-034</t>
        </is>
      </c>
      <c r="B35" s="9" t="inlineStr">
        <is>
          <t>10h57</t>
        </is>
      </c>
      <c r="C35" s="9" t="inlineStr">
        <is>
          <t>A Auditora</t>
        </is>
      </c>
      <c r="D35" s="9" t="inlineStr">
        <is>
          <t>todos</t>
        </is>
      </c>
      <c r="E35" s="9" t="inlineStr">
        <is>
          <t>presencial</t>
        </is>
      </c>
      <c r="F35" s="9" t="inlineStr">
        <is>
          <t>indireta</t>
        </is>
      </c>
      <c r="G35" s="9" t="inlineStr">
        <is>
          <t>Para a ata: [a função de quem trocou o malote] responderá pela custódia violada, pelo uso indevido de credencial, pela sabotagem da câmera, pela ordem falsa e pela exposição dos colegas…</t>
        </is>
      </c>
      <c r="H35" s="9" t="inlineStr">
        <is>
          <t>revelação</t>
        </is>
      </c>
      <c r="I35" s="9" t="inlineStr"/>
      <c r="J35" s="9" t="inlineStr"/>
      <c r="K35" s="9" t="inlineStr">
        <is>
          <t>Sem a palavra "impostor" (05/10). Variante G: o Gerente responde também pela destruição de evidência e pela saída daquela noite. Todas: o ajudante, pela assinatura sem contagem.</t>
        </is>
      </c>
      <c r="L35" s="9" t="inlineStr">
        <is>
          <t>toda casa</t>
        </is>
      </c>
      <c r="M35" s="9" t="inlineStr">
        <is>
          <t>não</t>
        </is>
      </c>
      <c r="N35" s="9" t="inlineStr"/>
      <c r="O35" s="9" t="inlineStr"/>
      <c r="P35" s="9" t="inlineStr"/>
      <c r="Q35" s="9" t="inlineStr"/>
      <c r="R35" s="9" t="inlineStr"/>
      <c r="S35" s="9" t="inlineStr"/>
      <c r="T35" s="9" t="inlineStr">
        <is>
          <t>Hora pelo quadro (11h05); no texto vem antes da contagem das 10h58. Usa a palavra "impostor" (vocabulário do guia, vetado no texto público). Não inclui o ajudante que assinou sem contar.</t>
        </is>
      </c>
    </row>
    <row r="36">
      <c r="A36" s="8" t="inlineStr">
        <is>
          <t>c8-035</t>
        </is>
      </c>
      <c r="B36" s="8" t="inlineStr">
        <is>
          <t>10h58</t>
        </is>
      </c>
      <c r="C36" s="8" t="inlineStr">
        <is>
          <t>O Operador de Rádio</t>
        </is>
      </c>
      <c r="D36" s="8" t="inlineStr">
        <is>
          <t>auditora</t>
        </is>
      </c>
      <c r="E36" s="8" t="inlineStr">
        <is>
          <t>rádio</t>
        </is>
      </c>
      <c r="F36" s="8" t="inlineStr">
        <is>
          <t>indireta</t>
        </is>
      </c>
      <c r="G36" s="8" t="inlineStr">
        <is>
          <t>A base confirma a contagem final.</t>
        </is>
      </c>
      <c r="H36" s="8" t="inlineStr">
        <is>
          <t>prova</t>
        </is>
      </c>
      <c r="I36" s="8" t="inlineStr">
        <is>
          <t>Peso de 7,0 kg e composição</t>
        </is>
      </c>
      <c r="J36" s="8" t="inlineStr"/>
      <c r="K36" s="8" t="inlineStr"/>
      <c r="L36" s="8" t="inlineStr">
        <is>
          <t>toda casa</t>
        </is>
      </c>
      <c r="M36" s="8" t="inlineStr">
        <is>
          <t>não</t>
        </is>
      </c>
      <c r="N36" s="8" t="inlineStr"/>
      <c r="O36" s="8" t="inlineStr"/>
      <c r="P36" s="8" t="inlineStr"/>
      <c r="Q36" s="8" t="inlineStr"/>
      <c r="R36" s="8" t="inlineStr"/>
      <c r="S36" s="8" t="inlineStr"/>
      <c r="T36" s="8" t="inlineStr">
        <is>
          <t>O texto diz só "a base confirmou a contagem final"; o cânone fixa R$ 480.000, composição idêntica à guia, cédulas verdadeiras. Atribuída ao Operador de Rádio (base); em casa sem ele, registro da base.</t>
        </is>
      </c>
    </row>
    <row r="37">
      <c r="A37" s="12" t="inlineStr">
        <is>
          <t>c8-036</t>
        </is>
      </c>
      <c r="B37" s="12" t="inlineStr">
        <is>
          <t>dia seguinte ~10h00</t>
        </is>
      </c>
      <c r="C37" s="12" t="inlineStr">
        <is>
          <t>O Caixa Veterano</t>
        </is>
      </c>
      <c r="D37" s="12" t="inlineStr">
        <is>
          <t>caixa_novato</t>
        </is>
      </c>
      <c r="E37" s="12" t="inlineStr">
        <is>
          <t>presencial</t>
        </is>
      </c>
      <c r="F37" s="12" t="inlineStr">
        <is>
          <t>direta</t>
        </is>
      </c>
      <c r="G37" s="12" t="inlineStr">
        <is>
          <t>Não é magia. É atenção.</t>
        </is>
      </c>
      <c r="H37" s="12" t="inlineStr">
        <is>
          <t>ambiente</t>
        </is>
      </c>
      <c r="I37" s="12" t="inlineStr"/>
      <c r="J37" s="12" t="inlineStr">
        <is>
          <t>A10</t>
        </is>
      </c>
      <c r="K37" s="12" t="inlineStr">
        <is>
          <t>Variante G: igual. | Variante V (jogo, 05/10): o Subgerente ensina; o Caixa Novato diz a frase, repetindo quem lhe ensinara primeiro.</t>
        </is>
      </c>
      <c r="L37" s="12" t="inlineStr">
        <is>
          <t>toda casa</t>
        </is>
      </c>
      <c r="M37" s="12" t="inlineStr">
        <is>
          <t>não</t>
        </is>
      </c>
      <c r="N37" s="12" t="inlineStr"/>
      <c r="O37" s="12" t="inlineStr"/>
      <c r="P37" s="12" t="inlineStr"/>
      <c r="Q37" s="12" t="inlineStr"/>
      <c r="R37" s="12" t="inlineStr"/>
      <c r="S37" s="12" t="inlineStr"/>
      <c r="T37" s="12" t="inlineStr">
        <is>
          <t>Epílogo. Na V o Subgerente (bloco 1) não está na casa de 6: a cena do ensino precisa de outro par.</t>
        </is>
      </c>
    </row>
    <row r="38">
      <c r="A38" s="8" t="inlineStr">
        <is>
          <t>c8-037</t>
        </is>
      </c>
      <c r="B38" s="8" t="inlineStr">
        <is>
          <t>dia seguinte 8h10</t>
        </is>
      </c>
      <c r="C38" s="8" t="inlineStr">
        <is>
          <t>O Monitor Remoto</t>
        </is>
      </c>
      <c r="D38" s="8" t="inlineStr">
        <is>
          <t>operadora</t>
        </is>
      </c>
      <c r="E38" s="8" t="inlineStr">
        <is>
          <t>mensagem sem origem</t>
        </is>
      </c>
      <c r="F38" s="8" t="inlineStr">
        <is>
          <t>direta</t>
        </is>
      </c>
      <c r="G38" s="8" t="inlineStr">
        <is>
          <t>Onze dias atrás. Dezenove e vinte. Alarme de fechamento sem contagem. Posto vazio. Silenciado depois. Por isso a auditoria.</t>
        </is>
      </c>
      <c r="H38" s="8" t="inlineStr">
        <is>
          <t>revelação</t>
        </is>
      </c>
      <c r="I38" s="8" t="inlineStr"/>
      <c r="J38" s="8" t="inlineStr"/>
      <c r="K38" s="8" t="inlineStr"/>
      <c r="L38" s="8" t="inlineStr">
        <is>
          <t>toda casa</t>
        </is>
      </c>
      <c r="M38" s="8" t="inlineStr">
        <is>
          <t>não</t>
        </is>
      </c>
      <c r="N38" s="8" t="inlineStr"/>
      <c r="O38" s="8" t="inlineStr"/>
      <c r="P38" s="8" t="inlineStr"/>
      <c r="Q38" s="8" t="inlineStr"/>
      <c r="R38" s="8" t="inlineStr"/>
      <c r="S38" s="8" t="inlineStr"/>
      <c r="T38" s="8" t="inlineStr">
        <is>
          <t>Última mensagem do oculto, no terminal da Central; a Operadora registra na ocorrência e não apaga. Hora 8h10 da manhã seguinte, mas o texto diz que a agência abriu às dez: a cena das 8h10 aparece depois da abertura na ordem do texto.</t>
        </is>
      </c>
    </row>
    <row r="39">
      <c r="A39" s="9" t="inlineStr">
        <is>
          <t>c8-038</t>
        </is>
      </c>
      <c r="B39" s="9" t="inlineStr">
        <is>
          <t>dia seguinte</t>
        </is>
      </c>
      <c r="C39" s="9" t="inlineStr">
        <is>
          <t>A Auditora</t>
        </is>
      </c>
      <c r="D39" s="9" t="inlineStr">
        <is>
          <t>todos</t>
        </is>
      </c>
      <c r="E39" s="9" t="inlineStr">
        <is>
          <t>registro</t>
        </is>
      </c>
      <c r="F39" s="9" t="inlineStr">
        <is>
          <t>direta</t>
        </is>
      </c>
      <c r="G39" s="9" t="inlineStr">
        <is>
          <t>Quando alguém sacrifica o que é seu para corrigir em segredo um erro que não o enriqueceu, o que deve pesar mais: a intenção de reparar, os meios escolhidos ou o risco imposto aos outros?</t>
        </is>
      </c>
      <c r="H39" s="9" t="inlineStr">
        <is>
          <t>ambiente</t>
        </is>
      </c>
      <c r="I39" s="9" t="inlineStr"/>
      <c r="J39" s="9" t="inlineStr"/>
      <c r="K39" s="9" t="inlineStr"/>
      <c r="L39" s="9" t="inlineStr">
        <is>
          <t>toda casa</t>
        </is>
      </c>
      <c r="M39" s="9" t="inlineStr">
        <is>
          <t>não</t>
        </is>
      </c>
      <c r="N39" s="9" t="inlineStr"/>
      <c r="O39" s="9" t="inlineStr"/>
      <c r="P39" s="9" t="inlineStr"/>
      <c r="Q39" s="9" t="inlineStr"/>
      <c r="R39" s="9" t="inlineStr"/>
      <c r="S39" s="9" t="inlineStr"/>
      <c r="T39" s="9" t="inlineStr">
        <is>
          <t>Pergunta de valor escrita no relatório (não dita).</t>
        </is>
      </c>
    </row>
  </sheetData>
  <autoFilter ref="A1:T3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8" customWidth="1" min="3" max="3"/>
    <col width="70" customWidth="1" min="4" max="4"/>
    <col width="40" customWidth="1" min="5" max="5"/>
    <col width="40" customWidth="1" min="6" max="6"/>
    <col width="40" customWidth="1" min="7" max="7"/>
  </cols>
  <sheetData>
    <row r="1">
      <c r="A1" s="7" t="inlineStr">
        <is>
          <t>Partida</t>
        </is>
      </c>
      <c r="B1" s="7" t="inlineStr">
        <is>
          <t>Impostor</t>
        </is>
      </c>
      <c r="C1" s="7" t="inlineStr">
        <is>
          <t>Ajudante</t>
        </is>
      </c>
      <c r="D1" s="7" t="inlineStr">
        <is>
          <t>Confissão</t>
        </is>
      </c>
      <c r="E1" s="7" t="inlineStr">
        <is>
          <t>Saída (A10)</t>
        </is>
      </c>
      <c r="F1" s="7" t="inlineStr">
        <is>
          <t>Mudanças na acusação</t>
        </is>
      </c>
      <c r="G1" s="7" t="inlineStr">
        <is>
          <t>Mudanças no epílogo</t>
        </is>
      </c>
    </row>
    <row r="2">
      <c r="A2" s="8" t="inlineStr">
        <is>
          <t>S</t>
        </is>
      </c>
      <c r="B2" s="8" t="inlineStr">
        <is>
          <t>O Subgerente</t>
        </is>
      </c>
      <c r="C2" s="8" t="inlineStr">
        <is>
          <t>O Caixa Veterano</t>
        </is>
      </c>
      <c r="D2" s="8" t="inlineStr">
        <is>
          <t>Eu descobri três dias depois. Se comunicasse, viria a regional. Meu reprocessamento, a assinatura dele, a saída do Gerente, a trava do Técnico. Seria uma fila de gente. Empenhei as joias da minha mãe. Agendei o saque. Fechei o malote curto porque não tinha o dinheiro às quinze e cinquenta, e ia pôr o que faltava antes de ele sair. Auditoria surpresa costuma chegar com a abertura, às oito. Antecipei a coleta para as sete e cinquenta. Vocês chegaram às sete e quarenta e sete. [Auditora: E a voz no rádio?] Eu precisava do corredor sem ninguém. [Auditora: E a câmera?] Para que ninguém visse dinheiro entrando e achasse que era dinheiro saindo.</t>
        </is>
      </c>
      <c r="E2" s="8" t="inlineStr">
        <is>
          <t>O Subgerente saiu acompanhado e deixou sobre o balcão o rolo de fita que trazia no bolso.</t>
        </is>
      </c>
      <c r="F2" s="8" t="inlineStr">
        <is>
          <t>Referência: o Subgerente diz que desconfiou de todos, porque era o seu trabalho; o Gerente repete o Técnico sem convicção; o Caixa Veterano não diz nome; a Cliente aponta o Gerente pela frase de ontem.</t>
        </is>
      </c>
      <c r="G2" s="8" t="inlineStr">
        <is>
          <t>Texto público: o Caixa Veterano pendura a fotografia de volta, ensina o Novato a ouvir o Cofre e diz "Não é magia. É atenção."; o Gerente trabalha com a porta aberta, sem o anel.</t>
        </is>
      </c>
    </row>
    <row r="3">
      <c r="A3" s="9" t="inlineStr">
        <is>
          <t>G</t>
        </is>
      </c>
      <c r="B3" s="9" t="inlineStr">
        <is>
          <t>O Gerente</t>
        </is>
      </c>
      <c r="C3" s="9" t="inlineStr">
        <is>
          <t>O Subgerente</t>
        </is>
      </c>
      <c r="D3" s="9" t="inlineStr">
        <is>
          <t>Eu saí às sete naquela noite porque um homem ia me denunciar. Quando vi o número, entendi que a minha saída estava dentro dele. Se a regional viesse, viria por tudo: pela saída, pelo crédito, por mim. Resgatei a previdência. Fechei o malote curto e ia completar antes da coleta. Queimei o cabo porque o arquivo dizia 'G sai'. Eu mesmo escrevi isso, para não esquecer quem eu tinha sido naquela noite.</t>
        </is>
      </c>
      <c r="E3" s="9" t="inlineStr">
        <is>
          <t>Tira o anel, deixa o crachá sobre a mesa e sai acompanhado. A frase "Sem o anel, a mão parecia menor" passa para a cena de saída.</t>
        </is>
      </c>
      <c r="F3" s="9" t="inlineStr">
        <is>
          <t>O Gerente aponta o Técnico com mais força; a Cliente do Cofre mantém a desconfiança dele. Jogo (05/10): "Alguém falou em fraude" (no lugar do Gerente); "o cabo queimado das oito e trinta e um não era outra coisa: era o mesmo plano, agora escondendo a si mesmo"; na separação dos atos, o Gerente responde também pela destruição de evidência e pela saída daquela noite.</t>
        </is>
      </c>
      <c r="G3" s="9" t="inlineStr">
        <is>
          <t>A sala do Gerente fica com a porta aberta e sem ninguém; sai do epílogo o Gerente trabalhando o dia inteiro.</t>
        </is>
      </c>
    </row>
    <row r="4">
      <c r="A4" s="8" t="inlineStr">
        <is>
          <t>V</t>
        </is>
      </c>
      <c r="B4" s="8" t="inlineStr">
        <is>
          <t>O Caixa Veterano</t>
        </is>
      </c>
      <c r="C4" s="8" t="inlineStr">
        <is>
          <t>O Subgerente</t>
        </is>
      </c>
      <c r="D4" s="8" t="inlineStr">
        <is>
          <t>Eu assinei sem contar para ir enterrar um amigo. Vinte e sete anos sem uma diferença, e a primeira foi minha. Tirei o dinheiro da aposentadoria. Não era para ninguém pagar por isso, nem eu, nem o nome desta agência. Fechei o malote curto porque às quinze e cinquenta eu ainda não tinha o dinheiro. Pensei que ninguém nunca saberia que eu tinha errado.</t>
        </is>
      </c>
      <c r="E4" s="8" t="inlineStr">
        <is>
          <t>Pendura a fotografia de volta na parede e sai acompanhado.</t>
        </is>
      </c>
      <c r="F4" s="8" t="inlineStr">
        <is>
          <t>Docx: o Caixa Veterano diz o próprio nome em voz baixa antes de a Auditora terminar. Jogo (05/10): na acusação não diz nome, como na S; diz "Fui eu", em voz baixa, durante a reconstrução, antes de a Auditora terminar.</t>
        </is>
      </c>
      <c r="G4" s="8" t="inlineStr">
        <is>
          <t>O Caixa Novato aprende a ouvir o Cofre com o Subgerente; a fala "Não é magia. É atenção" fica como lembrança do Veterano, dita pelo Novato. Sai do epílogo o Veterano pendurando a fotografia antes de ir (passa para a saída). Jogo (05/10): o Caixa Novato diz "Não é magia. É atenção.", repetindo quem lhe ensinara primeiro.</t>
        </is>
      </c>
    </row>
  </sheetData>
  <autoFilter ref="A1:G4"/>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60" customWidth="1" min="4" max="4"/>
    <col width="60" customWidth="1" min="5" max="5"/>
    <col width="24" customWidth="1" min="6" max="6"/>
  </cols>
  <sheetData>
    <row r="1">
      <c r="A1" s="7" t="inlineStr">
        <is>
          <t>Prioridade</t>
        </is>
      </c>
      <c r="B1" s="7" t="inlineStr">
        <is>
          <t>Tema</t>
        </is>
      </c>
      <c r="C1" s="7" t="inlineStr">
        <is>
          <t>Onde</t>
        </is>
      </c>
      <c r="D1" s="7" t="inlineStr">
        <is>
          <t>Problema</t>
        </is>
      </c>
      <c r="E1" s="7" t="inlineStr">
        <is>
          <t>Proposta</t>
        </is>
      </c>
      <c r="F1" s="7" t="inlineStr">
        <is>
          <t>Decisão (Mario)</t>
        </is>
      </c>
    </row>
    <row r="2">
      <c r="A2" s="14" t="inlineStr">
        <is>
          <t>Alta</t>
        </is>
      </c>
      <c r="B2" s="14" t="inlineStr">
        <is>
          <t>Ajudante fora da casa de 6 (G e V)</t>
        </is>
      </c>
      <c r="C2" s="14" t="inlineStr">
        <is>
          <t>Cânone, Pontos de ajuste A2; Cap. 7; pergunta final "quem ajudou"</t>
        </is>
      </c>
      <c r="D2" s="14" t="inlineStr">
        <is>
          <t>Nas partidas G e V o ajudante (cossignatário A2) é o Subgerente, do 1º bloco. Na casa de 6 ele não existe: some a confissão "assinei sem contar" e a pergunta final "quem o ajudou?" fica sem resposta possível.</t>
        </is>
      </c>
      <c r="E2" s="14" t="inlineStr">
        <is>
          <t>Opção 1: casa mínima de G e V passa a 8 (as três partidas ficam com casa 8). Opção 2: em G e V o cossignatário é o Caixa Veterano/Gerente (núcleo) — exige revisar A2. Opção 3: a pergunta final do ajudante aceita o Segurança Interno (apoio, sempre presente).</t>
        </is>
      </c>
      <c r="F2" s="14" t="inlineStr">
        <is>
          <t>DECIDIDO 05/10 (opção 1): G e V passam a casa mínima 8, como a S.</t>
        </is>
      </c>
    </row>
    <row r="3">
      <c r="A3" s="14" t="inlineStr">
        <is>
          <t>Alta</t>
        </is>
      </c>
      <c r="B3" s="14" t="inlineStr">
        <is>
          <t>Fita no dedo × luva rasgada</t>
        </is>
      </c>
      <c r="C3" s="14" t="inlineStr">
        <is>
          <t>A3 (Caps. 2, 7, 8); luva do Cap. 6</t>
        </is>
      </c>
      <c r="D3" s="14" t="inlineStr">
        <is>
          <t>A luva tem o rasgo e o sangue no INDICADOR, mas a fita do impostor está no POLEGAR (S e V; a tabela A3 também diz polegar para G, enquanto a Variante G diz indicador).</t>
        </is>
      </c>
      <c r="E3" s="14" t="inlineStr">
        <is>
          <t>Unificar: corte e fita no mesmo dedo nas três partidas (ou rasgo no polegar, ou fita no indicador). Lembrar que o Caixa Novato usa fita larga no indicador — o contraste largura 1,2 × 2,5 cm continua a pista.</t>
        </is>
      </c>
      <c r="F3" s="14" t="inlineStr">
        <is>
          <t>DECIDIDO 05/10: fita estreita no INDICADOR do impostor nas três partidas (mesmo dedo do rasgo da luva).</t>
        </is>
      </c>
    </row>
    <row r="4">
      <c r="A4" s="14" t="inlineStr">
        <is>
          <t>Alta</t>
        </is>
      </c>
      <c r="B4" s="14" t="inlineStr">
        <is>
          <t>Segundo raspado da parede</t>
        </is>
      </c>
      <c r="C4" s="14" t="inlineStr">
        <is>
          <t>Caps. 4 e 5 (Caixa Novato)</t>
        </is>
      </c>
      <c r="D4" s="14" t="inlineStr">
        <is>
          <t>Pela rota, o impostor volta à Gerência às 7h59:54 (+109 s), depois de a câmera voltar (7h59:39). O Novato diz "quase dois minutos depois, logo depois de a imagem voltar" (Cap. 4) e "logo depois de a imagem voltar" (Cap. 5).</t>
        </is>
      </c>
      <c r="E4" s="14" t="inlineStr">
        <is>
          <t>Mudar a fala para "quase dois minutos depois" / "logo depois de a imagem voltar", ou o raspado vir do fundo do Rack ao reentrar (7h59:39). A grade da janela precisa fechar antes da narração.</t>
        </is>
      </c>
      <c r="F4" s="14" t="inlineStr">
        <is>
          <t>DECIDIDO 05/10: "quase dois minutos depois, logo depois de a imagem voltar" (Caps. 4 e 5).</t>
        </is>
      </c>
    </row>
    <row r="5">
      <c r="A5" s="14" t="inlineStr">
        <is>
          <t>Alta</t>
        </is>
      </c>
      <c r="B5" s="14" t="inlineStr">
        <is>
          <t>Oculto e vigia: bloco "Completa" × "sempre presentes"</t>
        </is>
      </c>
      <c r="C5" s="14" t="inlineStr">
        <is>
          <t>Tabela "As quinze funções"</t>
        </is>
      </c>
      <c r="D5" s="14" t="inlineStr">
        <is>
          <t>A tabela põe o Monitor Remoto e o Operador de Rádio no bloco "Completa", mas o Guia (4.3) e a própria cobertura os tratam como presentes em toda casa (mensagem 8h10, reimpressão, 6h52, 8h29, 9h31, 9h56).</t>
        </is>
      </c>
      <c r="E5" s="14" t="inlineStr">
        <is>
          <t>Corrigir a tabela: "Completa" só para o Transportador; oculto e vigia "Sempre" (do sistema, nunca humanos). A matriz já segue assim.</t>
        </is>
      </c>
      <c r="F5" s="14" t="inlineStr">
        <is>
          <t>APLICADO 05/10: oculto e vigia sempre presentes, do sistema.</t>
        </is>
      </c>
    </row>
    <row r="6">
      <c r="A6" s="14" t="inlineStr">
        <is>
          <t>Média</t>
        </is>
      </c>
      <c r="B6" s="14" t="inlineStr">
        <is>
          <t>Faixa administrativa lida só pela Estagiária</t>
        </is>
      </c>
      <c r="C6" s="14" t="inlineStr">
        <is>
          <t>Cap. 2</t>
        </is>
      </c>
      <c r="D6" s="14" t="inlineStr">
        <is>
          <t>O histórico do rádio (pareamento 7h57:55) e a lista de quem tem cartão na faixa só são ditos pela Estagiária (3º bloco). Na casa de 6, a pergunta secundária do Cap. 2 fica sem fonte.</t>
        </is>
      </c>
      <c r="E6" s="14" t="inlineStr">
        <is>
          <t>A Operadora lê o histórico em toda casa; a Estagiária fica como reforço (ela já está na Central).</t>
        </is>
      </c>
      <c r="F6" s="14" t="inlineStr">
        <is>
          <t>APLICADO 05/10 (Cap. 2): sem a Estagiária, a Operadora lê.</t>
        </is>
      </c>
    </row>
    <row r="7">
      <c r="A7" s="14" t="inlineStr">
        <is>
          <t>Média</t>
        </is>
      </c>
      <c r="B7" s="14" t="inlineStr">
        <is>
          <t>Quem tem chave da porta lateral, na casa de 6</t>
        </is>
      </c>
      <c r="C7" s="14" t="inlineStr">
        <is>
          <t>Cap. 5</t>
        </is>
      </c>
      <c r="D7" s="14" t="inlineStr">
        <is>
          <t>A lista da escala é dita pelo Subgerente e o "Eu" pela Limpeza (1º bloco). Na casa de 6 só o Técnico responde.</t>
        </is>
      </c>
      <c r="E7" s="14" t="inlineStr">
        <is>
          <t>Na ausência do Subgerente, a lista da escala sai do Gerente ou do Caixa Veterano; a chave da Limpeza vem do registro de chaves (Operadora).</t>
        </is>
      </c>
      <c r="F7" s="14" t="inlineStr">
        <is>
          <t>RESOLVIDO 05/10 pela casa mínima 8: o Subgerente e a Limpeza estão sempre na casa. A chave da Limpeza também consta no registro de chaves (Operadora).</t>
        </is>
      </c>
    </row>
    <row r="8">
      <c r="A8" s="14" t="inlineStr">
        <is>
          <t>Média</t>
        </is>
      </c>
      <c r="B8" s="14" t="inlineStr">
        <is>
          <t>Plantação da fita estreita no Cap. 2</t>
        </is>
      </c>
      <c r="C8" s="14" t="inlineStr">
        <is>
          <t>Cap. 2 (Farmacêutica)</t>
        </is>
      </c>
      <c r="D8" s="14" t="inlineStr">
        <is>
          <t>A observação das duas fitas (larga no Novato, estreita no impostor) só existe pela Farmacêutica (3º bloco). Nas casas de 6 a 10 a pista do Cap. 7 não tem plantação.</t>
        </is>
      </c>
      <c r="E8" s="14" t="inlineStr">
        <is>
          <t>Passar a observação à Auditora ou à Cliente do Cofre (que repara em detalhes) nas casas sem a Farmacêutica.</t>
        </is>
      </c>
      <c r="F8" s="14" t="inlineStr">
        <is>
          <t>APLICADO 05/10 (Cap. 2): sem a Farmacêutica, a Auditora vê.</t>
        </is>
      </c>
    </row>
    <row r="9">
      <c r="A9" s="14" t="inlineStr">
        <is>
          <t>Média</t>
        </is>
      </c>
      <c r="B9" s="14" t="inlineStr">
        <is>
          <t>Falas fixas do Cap. 8 que contradizem a partida G</t>
        </is>
      </c>
      <c r="C9" s="14" t="inlineStr">
        <is>
          <t>Cap. 8 (narração da Auditora); Cap. 7 ("Não toquei no malote")</t>
        </is>
      </c>
      <c r="D9" s="14" t="inlineStr">
        <is>
          <t>"O Gerente tinha um cabo queimado… mas era outra coisa" e "O Gerente quis falar de fraude" não servem quando o Gerente é o impostor. "Não toquei no malote" é mentira essencial em G — precisa ser desmontada.</t>
        </is>
      </c>
      <c r="E9" s="14" t="inlineStr">
        <is>
          <t>Marcar esses trechos como pontos de ajuste (A9/A11) com variante G.</t>
        </is>
      </c>
      <c r="F9" s="14" t="inlineStr">
        <is>
          <t>APLICADO 05/10 (jogo, Cap. 8): na G, "Alguém falou em fraude" e "o cabo queimado das oito e trinta e um não era outra coisa: era o mesmo plano, agora escondendo a si mesmo". Cap. 7, "Não toquei no malote": mantido; na G é mentira do próprio impostor (permitida). Falta aplicar no docx (aba Mudanças no docx).</t>
        </is>
      </c>
    </row>
    <row r="10">
      <c r="A10" s="14" t="inlineStr">
        <is>
          <t>Média</t>
        </is>
      </c>
      <c r="B10" s="14" t="inlineStr">
        <is>
          <t>Palavra "impostor" no texto público</t>
        </is>
      </c>
      <c r="C10" s="14" t="inlineStr">
        <is>
          <t>Cap. 8 (separação dos atos)</t>
        </is>
      </c>
      <c r="D10" s="14" t="inlineStr">
        <is>
          <t>"O impostor responderia pela custódia violada…" usa vocabulário do guia no texto público.</t>
        </is>
      </c>
      <c r="E10" s="14" t="inlineStr">
        <is>
          <t>Trocar por "Quem trocou o malote responderia…" ou pela função.</t>
        </is>
      </c>
      <c r="F10" s="14" t="inlineStr">
        <is>
          <t>APLICADO 05/10 (jogo, Cap. 8): a função entra no lugar ("O Subgerente responderia…"). Falta aplicar no docx.</t>
        </is>
      </c>
    </row>
    <row r="11">
      <c r="A11" s="14" t="inlineStr">
        <is>
          <t>Média</t>
        </is>
      </c>
      <c r="B11" s="14" t="inlineStr">
        <is>
          <t>Respostas que perdem o par quando o Subgerente sai</t>
        </is>
      </c>
      <c r="C11" s="14" t="inlineStr">
        <is>
          <t>Caps. 2 e 4</t>
        </is>
      </c>
      <c r="D11" s="14" t="inlineStr">
        <is>
          <t>"Possível. Com equipamento." (Técnico) responde a "Talvez tenham clonado algum"; "Duas respostas para uma única conversa" depende do "Pessoal".</t>
        </is>
      </c>
      <c r="E11" s="14" t="inlineStr">
        <is>
          <t>Nas casas sem Subgerente: a sugestão do clone passa ao Caixa Veterano; a resposta dupla vira silêncio do Gerente + versão da Operadora.</t>
        </is>
      </c>
      <c r="F11" s="14" t="inlineStr">
        <is>
          <t>APLICADO 05/10 (Cap. 2): clone com o Caixa Veterano; só o Gerente responde "Manutenção".</t>
        </is>
      </c>
    </row>
    <row r="12">
      <c r="A12" s="14" t="inlineStr">
        <is>
          <t>Média</t>
        </is>
      </c>
      <c r="B12" s="14" t="inlineStr">
        <is>
          <t>Perguntas do núcleo a personagens de bloco</t>
        </is>
      </c>
      <c r="C12" s="14" t="inlineStr">
        <is>
          <t>Cap. 1 (Gerente → Limpeza; Auditora → Segurança do Veículo)</t>
        </is>
      </c>
      <c r="D12" s="14" t="inlineStr">
        <is>
          <t>Sem a Limpeza ou o Segurança do Veículo, as perguntas ficam sem resposta e a mentira da chave não acontece.</t>
        </is>
      </c>
      <c r="E12" s="14" t="inlineStr">
        <is>
          <t>Na casa sem o personagem, a pergunta sai do roteiro (condição de presença na coluna "Condição").</t>
        </is>
      </c>
      <c r="F12" s="14" t="inlineStr">
        <is>
          <t>APLICADO 05/10 (jogo, Cap. 1): a Limpeza está sempre na casa (casa mínima 8); sem o Segurança do Veículo, a pergunta da Auditora sai do roteiro.</t>
        </is>
      </c>
    </row>
    <row r="13">
      <c r="A13" s="14" t="inlineStr">
        <is>
          <t>Média</t>
        </is>
      </c>
      <c r="B13" s="14" t="inlineStr">
        <is>
          <t>Figura das 6h28 só pelo Padeiro</t>
        </is>
      </c>
      <c r="C13" s="14" t="inlineStr">
        <is>
          <t>Caps. 4 e 5</t>
        </is>
      </c>
      <c r="D13" s="14" t="inlineStr">
        <is>
          <t>Sem o Padeiro (casas de 6 e 8), some a falsa pista do guarda-chuva da Auditora e a pergunta "a sacola ficou lá dentro. Onde?".</t>
        </is>
      </c>
      <c r="E13" s="14" t="inlineStr">
        <is>
          <t>O sensor (6h36) e a caixa de 1998 continuam fechando o ponto; a falsa pista do guarda-chuva vira exclusiva das casas de 10+.</t>
        </is>
      </c>
      <c r="F13" s="14" t="inlineStr">
        <is>
          <t>APLICADO 05/10 (Cap. 4): sem o Padeiro, sai a cena do guarda-chuva.</t>
        </is>
      </c>
    </row>
    <row r="14">
      <c r="A14" s="8" t="inlineStr">
        <is>
          <t>Baixa</t>
        </is>
      </c>
      <c r="B14" s="8" t="inlineStr">
        <is>
          <t>Quadros internos com nome trocado</t>
        </is>
      </c>
      <c r="C14" s="8" t="inlineStr">
        <is>
          <t>Quadro do Cap. 4 (8h51) e do Cap. 6 (10h04)</t>
        </is>
      </c>
      <c r="D14" s="8" t="inlineStr">
        <is>
          <t>O quadro diz "Estagiária no terminal"; na narrativa é a Operadora.</t>
        </is>
      </c>
      <c r="E14" s="8" t="inlineStr">
        <is>
          <t>Corrigir os quadros.</t>
        </is>
      </c>
      <c r="F14" s="8" t="inlineStr">
        <is>
          <t>PARA O DOCX: trocar "Estagiária no terminal" por "Operadora no terminal" (aba Mudanças no docx). O jogo já segue a narrativa.</t>
        </is>
      </c>
    </row>
    <row r="15">
      <c r="A15" s="9" t="inlineStr">
        <is>
          <t>Baixa</t>
        </is>
      </c>
      <c r="B15" s="9" t="inlineStr">
        <is>
          <t>Quadro do Cap. 5</t>
        </is>
      </c>
      <c r="C15" s="9" t="inlineStr">
        <is>
          <t>Quadro e ficha do Cap. 5</t>
        </is>
      </c>
      <c r="D15" s="9" t="inlineStr">
        <is>
          <t>"Duas aberturas por chave mecânica" (7h06 foi pela barra); ficha diz que a Limpeza encontra a cinta (no texto é o Caixa Veterano).</t>
        </is>
      </c>
      <c r="E15" s="9" t="inlineStr">
        <is>
          <t>Corrigir a direção interna.</t>
        </is>
      </c>
      <c r="F15" s="9" t="inlineStr">
        <is>
          <t>PARA O DOCX: "6h36 aberta por chave mecânica; 7h06 aberta pela barra, por dentro"; a cinta é achada pelo Caixa Veterano (aba Mudanças no docx).</t>
        </is>
      </c>
    </row>
    <row r="16">
      <c r="A16" s="14" t="inlineStr">
        <is>
          <t>Baixa</t>
        </is>
      </c>
      <c r="B16" s="14" t="inlineStr">
        <is>
          <t>Hora do checksum</t>
        </is>
      </c>
      <c r="C16" s="14" t="inlineStr">
        <is>
          <t>Cap. 7 e Quadro final</t>
        </is>
      </c>
      <c r="D16" s="14" t="inlineStr">
        <is>
          <t>Texto: pareamento chega "quase no mesmo minuto" que a regional (10h41); ficha: 10h46. Quadro final dá 11h05 à separação dos atos, que no texto vem antes das 10h58.</t>
        </is>
      </c>
      <c r="E16" s="14" t="inlineStr">
        <is>
          <t>Alinhar as âncoras.</t>
        </is>
      </c>
      <c r="F16" s="14" t="inlineStr">
        <is>
          <t>APLICADO 05/10 (jogo): âncoras 10h41 (titular) e 10h46 (checksum), com "Cinco minutos depois" no lugar de "quase no mesmo minuto"; no Cap. 8: 10h52 acusação, 10h54 a Auditora retoma, 10h57 separação dos atos, 10h58 contagem final, 11h12 a porta. Falta aplicar no docx.</t>
        </is>
      </c>
    </row>
    <row r="17">
      <c r="A17" s="14" t="inlineStr">
        <is>
          <t>Baixa</t>
        </is>
      </c>
      <c r="B17" s="14" t="inlineStr">
        <is>
          <t>"Eu vi às oito e vinte" (Farmacêutica)</t>
        </is>
      </c>
      <c r="C17" s="14" t="inlineStr">
        <is>
          <t>Cap. 7</t>
        </is>
      </c>
      <c r="D17" s="14" t="inlineStr">
        <is>
          <t>Não diz o que ela viu. Se for a fita no dedo do impostor, é ponto de ajuste.</t>
        </is>
      </c>
      <c r="E17" s="14" t="inlineStr">
        <is>
          <t>Explicitar e marcar A3.</t>
        </is>
      </c>
      <c r="F17" s="14" t="inlineStr">
        <is>
          <t>APLICADO 05/10 (jogo, Cap. 7): "Eu vi a fita estreita às oito e vinte." Marcar A3 no docx.</t>
        </is>
      </c>
    </row>
    <row r="18">
      <c r="A18" s="14" t="inlineStr">
        <is>
          <t>Baixa</t>
        </is>
      </c>
      <c r="B18" s="14" t="inlineStr">
        <is>
          <t>"Não imprimi nada" (Caixa Veterano, Cap. 1)</t>
        </is>
      </c>
      <c r="C18" s="14" t="inlineStr">
        <is>
          <t>Cap. 1</t>
        </is>
      </c>
      <c r="D18" s="14" t="inlineStr">
        <is>
          <t>Na partida V ele é o impostor e agendou a impressão às 6h58. Literalmente verdade (ninguém imprimiu às 7h53), mas convém conferir a voz.</t>
        </is>
      </c>
      <c r="E18" s="14" t="inlineStr">
        <is>
          <t>Manter; registrar como mentira por omissão permitida.</t>
        </is>
      </c>
      <c r="F18" s="14" t="inlineStr">
        <is>
          <t>MANTIDO 05/10: mentira por omissão permitida na partida V (ninguém imprimiu às 7h53; a impressão foi agendada às 6h58).</t>
        </is>
      </c>
    </row>
    <row r="19">
      <c r="A19" s="9" t="inlineStr">
        <is>
          <t>Decisão</t>
        </is>
      </c>
      <c r="B19" s="9" t="inlineStr">
        <is>
          <t>Personalidades (6 versões por fala)</t>
        </is>
      </c>
      <c r="C19" s="9" t="inlineStr">
        <is>
          <t>Todas as abas de falas</t>
        </is>
      </c>
      <c r="D19" s="9" t="inlineStr">
        <is>
          <t>As colunas Explosivo…Burocrata estão vazias: é a próxima passada, como na Matriz de falas da Casa da Costa.</t>
        </is>
      </c>
      <c r="E19" s="9" t="inlineStr">
        <is>
          <t>Escrever as 6 versões depois de fechar as pendências acima (a fala original pode mudar).</t>
        </is>
      </c>
      <c r="F19" s="9" t="inlineStr"/>
    </row>
    <row r="20">
      <c r="A20" s="15" t="inlineStr">
        <is>
          <t>Decisão</t>
        </is>
      </c>
      <c r="B20" s="15" t="inlineStr">
        <is>
          <t>Gerente humano</t>
        </is>
      </c>
      <c r="C20" s="15" t="inlineStr">
        <is>
          <t>Elenco; Caps. 4, 6, 7</t>
        </is>
      </c>
      <c r="D20" s="15" t="inlineStr">
        <is>
          <t>O Gerente faz o encobrimento das 8h31 em toda partida.</t>
        </is>
      </c>
      <c r="E20" s="15" t="inlineStr">
        <is>
          <t>DECIDIDO 05/10: o Gerente é sempre do sistema (como o ajudante consciente).</t>
        </is>
      </c>
      <c r="F20" s="15" t="inlineStr">
        <is>
          <t>DECIDIDO 05/10</t>
        </is>
      </c>
    </row>
    <row r="21">
      <c r="A21" s="15" t="inlineStr">
        <is>
          <t>Decisão</t>
        </is>
      </c>
      <c r="B21" s="15" t="inlineStr">
        <is>
          <t>Pegadas sem a Limpeza</t>
        </is>
      </c>
      <c r="C21" s="15" t="inlineStr">
        <is>
          <t>Cap. 4</t>
        </is>
      </c>
      <c r="D21" s="15" t="inlineStr">
        <is>
          <t>Sem o Funcionário da Limpeza, ninguém descreve as pegadas.</t>
        </is>
      </c>
      <c r="E21" s="15" t="inlineStr">
        <is>
          <t>A Auditora diz a frase.</t>
        </is>
      </c>
      <c r="F21" s="15" t="inlineStr">
        <is>
          <t>APLICADO 05/10</t>
        </is>
      </c>
    </row>
    <row r="22">
      <c r="A22" s="14" t="inlineStr">
        <is>
          <t>Média</t>
        </is>
      </c>
      <c r="B22" s="14" t="inlineStr">
        <is>
          <t>Caixa Veterano se denuncia antes das perguntas (V)</t>
        </is>
      </c>
      <c r="C22" s="14" t="inlineStr">
        <is>
          <t>Cap. 8, acusação (Variante V)</t>
        </is>
      </c>
      <c r="D22" s="14" t="inlineStr">
        <is>
          <t>Na Variante V, o Caixa Veterano diz o próprio nome na rodada da acusação, antes da pergunta final "Quem é o impostor?": entregaria a resposta.</t>
        </is>
      </c>
      <c r="E22" s="14" t="inlineStr">
        <is>
          <t>Na rodada da acusação ele não diz nome (como na S); diz "Fui eu", em voz baixa, durante a reconstrução da Auditora, "antes de a Auditora terminar".</t>
        </is>
      </c>
      <c r="F22" s="14" t="inlineStr">
        <is>
          <t>APLICADO 05/10 (jogo, Cap. 8). Falta aplicar no docx.</t>
        </is>
      </c>
    </row>
    <row r="23">
      <c r="A23" s="14" t="inlineStr">
        <is>
          <t>Baixa</t>
        </is>
      </c>
      <c r="B23" s="14" t="inlineStr">
        <is>
          <t>"Não é magia. É atenção." na partida V</t>
        </is>
      </c>
      <c r="C23" s="14" t="inlineStr">
        <is>
          <t>Cap. 8, epílogo</t>
        </is>
      </c>
      <c r="D23" s="14" t="inlineStr">
        <is>
          <t>Na V o Caixa Veterano já saiu; a fala precisa de outro dono.</t>
        </is>
      </c>
      <c r="E23" s="14" t="inlineStr">
        <is>
          <t>O Subgerente ensina o Novato a ouvir o Cofre; o Caixa Novato diz a frase, repetindo quem lhe ensinara primeiro.</t>
        </is>
      </c>
      <c r="F23" s="14" t="inlineStr">
        <is>
          <t>APLICADO 05/10 (jogo, Cap. 8).</t>
        </is>
      </c>
    </row>
    <row r="24">
      <c r="A24" s="14" t="inlineStr">
        <is>
          <t>Baixa</t>
        </is>
      </c>
      <c r="B24" s="14" t="inlineStr">
        <is>
          <t>Pergunta secundária S2 do Cap. 6</t>
        </is>
      </c>
      <c r="C24" s="14" t="inlineStr">
        <is>
          <t>Aba Perguntas; Cap. 6</t>
        </is>
      </c>
      <c r="D24" s="14" t="inlineStr">
        <is>
          <t>"Quem assinou sem contagem?" não tinha resposta completa no texto do capítulo.</t>
        </is>
      </c>
      <c r="E24" s="14" t="inlineStr">
        <is>
          <t>Trocar por "O que aconteceu às 19h03?" (a trava).</t>
        </is>
      </c>
      <c r="F24" s="14" t="inlineStr">
        <is>
          <t>APLICADO 05/10 (jogo, Cap. 6).</t>
        </is>
      </c>
    </row>
    <row r="25">
      <c r="A25" s="14" t="inlineStr">
        <is>
          <t>Baixa</t>
        </is>
      </c>
      <c r="B25" s="14" t="inlineStr">
        <is>
          <t>Substituições por ausência (casas de 8 a 12)</t>
        </is>
      </c>
      <c r="C25" s="14" t="inlineStr">
        <is>
          <t>Caps. 1 a 8</t>
        </is>
      </c>
      <c r="D25" s="14" t="inlineStr">
        <is>
          <t>Falas que dependem de personagens de bloco somem nas casas menores.</t>
        </is>
      </c>
      <c r="E25" s="14" t="inlineStr">
        <is>
          <t>Regras de substituição usadas no jogo: rádio lido pela Operadora (sem a Estagiária); fitas vistas pela Auditora (sem a Farmacêutica); clone sugerido pelo Caixa Veterano (sem o Subgerente); pegadas ditas pela Auditora (sem a Limpeza); sem o Padeiro, sai a cena do guarda-chuva e a Auditora pergunta pela sacola; sem a Limpeza no Cap. 6, a Auditora deduz o saco pela tampa (7h59:24), o balde (8h01) e o saco (8h02); sem o Transportador, o Motorista repete "Ninguém tirou. Alguém pôs."</t>
        </is>
      </c>
      <c r="F25" s="14" t="inlineStr">
        <is>
          <t>APLICADO 05/10 (jogo). No docx, vale registrar na nota interna de cada capítulo.</t>
        </is>
      </c>
    </row>
    <row r="26">
      <c r="A26" s="14" t="inlineStr">
        <is>
          <t>Decisão</t>
        </is>
      </c>
      <c r="B26" s="14" t="inlineStr">
        <is>
          <t>Pontuação final</t>
        </is>
      </c>
      <c r="C26" s="14" t="inlineStr">
        <is>
          <t>Cap. 8; Guia técnico</t>
        </is>
      </c>
      <c r="D26" s="14" t="inlineStr">
        <is>
          <t>A pergunta final tem pesos diferentes.</t>
        </is>
      </c>
      <c r="E26" s="14" t="inlineStr">
        <is>
          <t>Impostor ×3, ajudante ×2, mecanismo e intenção ×1; secundária vale metade. Com certeza ±4; sem certeza +2/−1; não sei 0. Apostas por capítulo não pontuam: aparecem no placar.</t>
        </is>
      </c>
      <c r="F26" s="14" t="inlineStr">
        <is>
          <t>APLICADO 05/10 (jogo, placar).</t>
        </is>
      </c>
    </row>
  </sheetData>
  <autoFilter ref="A1:F1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6" customWidth="1" min="3" max="3"/>
    <col width="48" customWidth="1" min="4" max="4"/>
    <col width="52" customWidth="1" min="5" max="5"/>
    <col width="40" customWidth="1" min="6" max="6"/>
  </cols>
  <sheetData>
    <row r="1">
      <c r="A1" s="7" t="inlineStr">
        <is>
          <t>Nº</t>
        </is>
      </c>
      <c r="B1" s="7" t="inlineStr">
        <is>
          <t>Capítulo / seção</t>
        </is>
      </c>
      <c r="C1" s="7" t="inlineStr">
        <is>
          <t>Onde</t>
        </is>
      </c>
      <c r="D1" s="7" t="inlineStr">
        <is>
          <t>Texto atual (revisão 2)</t>
        </is>
      </c>
      <c r="E1" s="7" t="inlineStr">
        <is>
          <t>Texto novo (proposta para a revisão 3)</t>
        </is>
      </c>
      <c r="F1" s="7" t="inlineStr">
        <is>
          <t>Motivo / decisão</t>
        </is>
      </c>
    </row>
    <row r="2">
      <c r="A2" s="8" t="n">
        <v>1</v>
      </c>
      <c r="B2" s="8" t="inlineStr">
        <is>
          <t>Notas internas · Pontos de ajuste</t>
        </is>
      </c>
      <c r="C2" s="8" t="inlineStr">
        <is>
          <t>Tabela A3</t>
        </is>
      </c>
      <c r="D2" s="8" t="inlineStr">
        <is>
          <t>A3. O corte coberto por fita microporosa estreita (1,2 cm): No polegar do Subgerente | No polegar do Gerente | No polegar do Caixa Veterano</t>
        </is>
      </c>
      <c r="E2" s="8" t="inlineStr">
        <is>
          <t>… No indicador do Subgerente | No indicador do Gerente | No indicador do Caixa Veterano</t>
        </is>
      </c>
      <c r="F2" s="8" t="inlineStr">
        <is>
          <t>Decisão 05/10: fita no indicador nas três partidas (mesmo dedo do rasgo da luva).</t>
        </is>
      </c>
    </row>
    <row r="3">
      <c r="A3" s="8" t="n">
        <v>2</v>
      </c>
      <c r="B3" s="8" t="inlineStr">
        <is>
          <t>Notas internas · Quem nunca é o impostor</t>
        </is>
      </c>
      <c r="C3" s="8" t="inlineStr">
        <is>
          <t>Tabela "Nunca é o impostor"</t>
        </is>
      </c>
      <c r="D3" s="8" t="inlineStr">
        <is>
          <t>(sem linha para o Gerente humano)</t>
        </is>
      </c>
      <c r="E3" s="8" t="inlineStr">
        <is>
          <t>Acrescentar: "O Gerente (vestido por humano) · Nunca recebe humano: faz o encobrimento das 8h31 em toda partida, ato consciente que um jogador não pode ser obrigado a fazer."</t>
        </is>
      </c>
      <c r="F3" s="8" t="inlineStr">
        <is>
          <t>Decisão 05/10: o Gerente é sempre do sistema.</t>
        </is>
      </c>
    </row>
    <row r="4">
      <c r="A4" s="8" t="n">
        <v>3</v>
      </c>
      <c r="B4" s="8" t="inlineStr">
        <is>
          <t>Notas internas · As quinze funções</t>
        </is>
      </c>
      <c r="C4" s="8" t="inlineStr">
        <is>
          <t>Tabela das funções e blocos</t>
        </is>
      </c>
      <c r="D4" s="8" t="inlineStr">
        <is>
          <t>Completa · O oculto · O Monitor Remoto / Completa · O vigia de fora · O Operador de Rádio</t>
        </is>
      </c>
      <c r="E4" s="8" t="inlineStr">
        <is>
          <t>Sempre (do sistema) · O oculto · O Monitor Remoto / Sempre (do sistema) · O vigia de fora · O Operador de Rádio. "Completa" fica só para o Transportador.</t>
        </is>
      </c>
      <c r="F4" s="8" t="inlineStr">
        <is>
          <t>Aplicado 05/10: oculto e vigia presentes em toda casa.</t>
        </is>
      </c>
    </row>
    <row r="5">
      <c r="A5" s="8" t="n">
        <v>4</v>
      </c>
      <c r="B5" s="8" t="inlineStr">
        <is>
          <t>Notas internas · Casa mínima por partida</t>
        </is>
      </c>
      <c r="C5" s="8" t="inlineStr">
        <is>
          <t>Parágrafo "Casa mínima por partida"</t>
        </is>
      </c>
      <c r="D5" s="8" t="inlineStr">
        <is>
          <t>Partida G (Gerente) e partida V (Caixa Veterano): casa de 6. Partida S (Subgerente): casa de 8, a primeira que o inclui; […] Nas casas em que o Subgerente não está, as ações fixas dele […] saem.</t>
        </is>
      </c>
      <c r="E5" s="8" t="inlineStr">
        <is>
          <t>As três partidas têm casa mínima de 8: o Subgerente é o impostor na S e o ajudante (cossignatário A2) na G e na V, e por isso precisa estar na casa. Na casa de 8 entram também o Funcionário da Limpeza. (Apagar a frase sobre as casas sem o Subgerente.)</t>
        </is>
      </c>
      <c r="F5" s="8" t="inlineStr">
        <is>
          <t>Decisão 05/10 (opção 1).</t>
        </is>
      </c>
    </row>
    <row r="6">
      <c r="A6" s="8" t="n">
        <v>5</v>
      </c>
      <c r="B6" s="8" t="inlineStr">
        <is>
          <t>Notas internas · A conta do caso</t>
        </is>
      </c>
      <c r="C6" s="8" t="inlineStr">
        <is>
          <t>Parágrafo "A conta do caso"</t>
        </is>
      </c>
      <c r="D6" s="8" t="inlineStr">
        <is>
          <t>Mesas: de 1 a 5 humanos na casa de 6 (G e V), e assim por diante pelos blocos; o impostor nunca recebe humano.</t>
        </is>
      </c>
      <c r="E6" s="8" t="inlineStr">
        <is>
          <t>Mesas: a partir da casa de 8, com 1 a 6 humanos nas partidas S e V e 1 a 7 na G, e assim por diante pelos blocos; o impostor e o Gerente nunca recebem humano.</t>
        </is>
      </c>
      <c r="F6" s="8" t="inlineStr">
        <is>
          <t>Consequência da casa mínima 8 e do Gerente sempre do sistema.</t>
        </is>
      </c>
    </row>
    <row r="7">
      <c r="A7" s="8" t="n">
        <v>6</v>
      </c>
      <c r="B7" s="8" t="inlineStr">
        <is>
          <t>Cap. 2</t>
        </is>
      </c>
      <c r="C7" s="8" t="inlineStr">
        <is>
          <t>A Farmacêutica observa mãos</t>
        </is>
      </c>
      <c r="D7" s="8" t="inlineStr">
        <is>
          <t>uma tira estreita e limpa no polegar do Subgerente^A3^.</t>
        </is>
      </c>
      <c r="E7" s="8" t="inlineStr">
        <is>
          <t>uma tira estreita e limpa no indicador do Subgerente^A3^.</t>
        </is>
      </c>
      <c r="F7" s="8" t="inlineStr">
        <is>
          <t>Decisão 05/10 (A3).</t>
        </is>
      </c>
    </row>
    <row r="8">
      <c r="A8" s="8" t="n">
        <v>7</v>
      </c>
      <c r="B8" s="8" t="inlineStr">
        <is>
          <t>Cap. 4</t>
        </is>
      </c>
      <c r="C8" s="8" t="inlineStr">
        <is>
          <t>O Caixa Novato no banheiro</t>
        </is>
      </c>
      <c r="D8" s="8" t="inlineStr">
        <is>
          <t>— Como uma gaveta pesada. Uma vez logo que o rádio chamou. Outra quase um minuto e meio depois.</t>
        </is>
      </c>
      <c r="E8" s="8" t="inlineStr">
        <is>
          <t>— Como uma gaveta pesada. Uma vez logo que o rádio chamou. Outra quase dois minutos depois, logo depois de a imagem voltar.</t>
        </is>
      </c>
      <c r="F8" s="8" t="inlineStr">
        <is>
          <t>Decisão 05/10: pela rota, o impostor volta à Gerência às 7h59:54, depois de a câmera voltar (7h59:39).</t>
        </is>
      </c>
    </row>
    <row r="9">
      <c r="A9" s="8" t="n">
        <v>8</v>
      </c>
      <c r="B9" s="8" t="inlineStr">
        <is>
          <t>Cap. 4</t>
        </is>
      </c>
      <c r="C9" s="8" t="inlineStr">
        <is>
          <t>Quadro interno, 8h51</t>
        </is>
      </c>
      <c r="D9" s="8" t="inlineStr">
        <is>
          <t>Estagiária no terminal; Técnico corre ao Rack</t>
        </is>
      </c>
      <c r="E9" s="8" t="inlineStr">
        <is>
          <t>Operadora no terminal; Técnico corre ao Rack</t>
        </is>
      </c>
      <c r="F9" s="8" t="inlineStr">
        <is>
          <t>Na narrativa é a Operadora.</t>
        </is>
      </c>
    </row>
    <row r="10">
      <c r="A10" s="8" t="n">
        <v>9</v>
      </c>
      <c r="B10" s="8" t="inlineStr">
        <is>
          <t>Cap. 5</t>
        </is>
      </c>
      <c r="C10" s="8" t="inlineStr">
        <is>
          <t>O Caixa Novato conta nos dedos</t>
        </is>
      </c>
      <c r="D10" s="8" t="inlineStr">
        <is>
          <t>O primeiro raspado viera logo depois da ordem. O segundo, pouco antes de a imagem voltar.</t>
        </is>
      </c>
      <c r="E10" s="8" t="inlineStr">
        <is>
          <t>O primeiro raspado viera logo depois da ordem. O segundo, logo depois de a imagem voltar.</t>
        </is>
      </c>
      <c r="F10" s="8" t="inlineStr">
        <is>
          <t>Decisão 05/10 (mesma correção do Cap. 4).</t>
        </is>
      </c>
    </row>
    <row r="11">
      <c r="A11" s="8" t="n">
        <v>10</v>
      </c>
      <c r="B11" s="8" t="inlineStr">
        <is>
          <t>Cap. 5</t>
        </is>
      </c>
      <c r="C11" s="8" t="inlineStr">
        <is>
          <t>Quadro interno, 6h36 e 7h06</t>
        </is>
      </c>
      <c r="D11" s="8" t="inlineStr">
        <is>
          <t>Duas aberturas por chave mecânica</t>
        </is>
      </c>
      <c r="E11" s="8" t="inlineStr">
        <is>
          <t>6h36: aberta por chave mecânica; 7h06: aberta pela barra, por dentro</t>
        </is>
      </c>
      <c r="F11" s="8" t="inlineStr">
        <is>
          <t>O registro do sensor (Cap. 5) diz que às 7h06 a porta foi aberta pela barra.</t>
        </is>
      </c>
    </row>
    <row r="12">
      <c r="A12" s="8" t="n">
        <v>11</v>
      </c>
      <c r="B12" s="8" t="inlineStr">
        <is>
          <t>Cap. 5</t>
        </is>
      </c>
      <c r="C12" s="8" t="inlineStr">
        <is>
          <t>Ficha, "Subtrama que avança"</t>
        </is>
      </c>
      <c r="D12" s="8" t="inlineStr">
        <is>
          <t>O Técnico admite a atualização; a Limpeza encontra a cinta na caixa</t>
        </is>
      </c>
      <c r="E12" s="8" t="inlineStr">
        <is>
          <t>O Técnico admite a atualização; o Caixa Veterano encontra a cinta na caixa de 1998 (a Limpeza conta que a empurrara de volta às 7h46)</t>
        </is>
      </c>
      <c r="F12" s="8" t="inlineStr">
        <is>
          <t>No texto, quem puxa a caixa e lê a cinta é o Caixa Veterano.</t>
        </is>
      </c>
    </row>
    <row r="13">
      <c r="A13" s="8" t="n">
        <v>12</v>
      </c>
      <c r="B13" s="8" t="inlineStr">
        <is>
          <t>Cap. 6</t>
        </is>
      </c>
      <c r="C13" s="8" t="inlineStr">
        <is>
          <t>Quadro interno, 10h04</t>
        </is>
      </c>
      <c r="D13" s="8" t="inlineStr">
        <is>
          <t>Estagiária no terminal; todos no Saguão</t>
        </is>
      </c>
      <c r="E13" s="8" t="inlineStr">
        <is>
          <t>Operadora no terminal; todos no Saguão</t>
        </is>
      </c>
      <c r="F13" s="8" t="inlineStr">
        <is>
          <t>Na narrativa é a Operadora.</t>
        </is>
      </c>
    </row>
    <row r="14">
      <c r="A14" s="8" t="n">
        <v>13</v>
      </c>
      <c r="B14" s="8" t="inlineStr">
        <is>
          <t>Cap. 7</t>
        </is>
      </c>
      <c r="C14" s="8" t="inlineStr">
        <is>
          <t>A Auditora compara as fitas</t>
        </is>
      </c>
      <c r="D14" s="8" t="inlineStr">
        <is>
          <t>Ela olhou para a tira estreita no polegar do Subgerente^A3^.</t>
        </is>
      </c>
      <c r="E14" s="8" t="inlineStr">
        <is>
          <t>Ela olhou para a tira estreita no indicador do Subgerente^A3^.</t>
        </is>
      </c>
      <c r="F14" s="8" t="inlineStr">
        <is>
          <t>Decisão 05/10 (A3).</t>
        </is>
      </c>
    </row>
    <row r="15">
      <c r="A15" s="8" t="n">
        <v>14</v>
      </c>
      <c r="B15" s="8" t="inlineStr">
        <is>
          <t>Cap. 7</t>
        </is>
      </c>
      <c r="C15" s="8" t="inlineStr">
        <is>
          <t>A Farmacêutica</t>
        </is>
      </c>
      <c r="D15" s="8" t="inlineStr">
        <is>
          <t>— Eu vi às oito e vinte. Não disse porque teria de contar o resto.</t>
        </is>
      </c>
      <c r="E15" s="8" t="inlineStr">
        <is>
          <t>— Eu vi a fita estreita às oito e vinte.^A3^ Não disse porque teria de contar o resto.</t>
        </is>
      </c>
      <c r="F15" s="8" t="inlineStr">
        <is>
          <t>Explicitar o que ela viu; é ponto de ajuste (a mão muda por partida).</t>
        </is>
      </c>
    </row>
    <row r="16">
      <c r="A16" s="8" t="n">
        <v>15</v>
      </c>
      <c r="B16" s="8" t="inlineStr">
        <is>
          <t>Cap. 7</t>
        </is>
      </c>
      <c r="C16" s="8" t="inlineStr">
        <is>
          <t>O retorno do fornecedor do rádio</t>
        </is>
      </c>
      <c r="D16" s="8" t="inlineStr">
        <is>
          <t>A Operadora recebeu, quase no mesmo minuto, o retorno do fornecedor do rádio […]</t>
        </is>
      </c>
      <c r="E16" s="8" t="inlineStr">
        <is>
          <t>Cinco minutos depois, a Operadora recebeu o retorno do fornecedor do rádio […]</t>
        </is>
      </c>
      <c r="F16" s="8" t="inlineStr">
        <is>
          <t>Alinha o texto à âncora do checksum (10h46) e ao titular (10h41).</t>
        </is>
      </c>
    </row>
    <row r="17">
      <c r="A17" s="8" t="n">
        <v>16</v>
      </c>
      <c r="B17" s="8" t="inlineStr">
        <is>
          <t>Cap. 8</t>
        </is>
      </c>
      <c r="C17" s="8" t="inlineStr">
        <is>
          <t>"O que o registro desmente"</t>
        </is>
      </c>
      <c r="D17" s="8" t="inlineStr">
        <is>
          <t>[…] a fita da farmácia no polegar^A3^ e a luva rasgada no cesto.</t>
        </is>
      </c>
      <c r="E17" s="8" t="inlineStr">
        <is>
          <t>[…] a farinha da padaria na barra da calça^A6^; a fita da farmácia no indicador^A3^ e a luva rasgada no cesto.</t>
        </is>
      </c>
      <c r="F17" s="8" t="inlineStr">
        <is>
          <t>Decisão 05/10 (A3); a farinha (A6) entra na lista porque já foi provada no Cap. 7.</t>
        </is>
      </c>
    </row>
    <row r="18">
      <c r="A18" s="8" t="n">
        <v>17</v>
      </c>
      <c r="B18" s="8" t="inlineStr">
        <is>
          <t>Cap. 8</t>
        </is>
      </c>
      <c r="C18" s="8" t="inlineStr">
        <is>
          <t>Separação dos atos</t>
        </is>
      </c>
      <c r="D18" s="8" t="inlineStr">
        <is>
          <t>Ela separou os atos em voz alta, para a ata. O impostor responderia pela custódia violada […]</t>
        </is>
      </c>
      <c r="E18" s="8" t="inlineStr">
        <is>
          <t>Ela separou os atos em voz alta, para a ata. O Subgerente^A9^ responderia pela custódia violada […]</t>
        </is>
      </c>
      <c r="F18" s="8" t="inlineStr">
        <is>
          <t>A palavra "impostor" é do guia, não do texto público. Na G e na V entra a função da partida.</t>
        </is>
      </c>
    </row>
    <row r="19">
      <c r="A19" s="8" t="n">
        <v>18</v>
      </c>
      <c r="B19" s="8" t="inlineStr">
        <is>
          <t>Cap. 8</t>
        </is>
      </c>
      <c r="C19" s="8" t="inlineStr">
        <is>
          <t>Quadro final, 11h05</t>
        </is>
      </c>
      <c r="D19" s="8" t="inlineStr">
        <is>
          <t>11h05 · Auditora com a ata; todos no Saguão · Os atos são separados</t>
        </is>
      </c>
      <c r="E19" s="8" t="inlineStr">
        <is>
          <t>10h57 · Auditora com a ata; todos no Saguão · Os atos são separados (antes da contagem final das 10h58)</t>
        </is>
      </c>
      <c r="F19" s="8" t="inlineStr">
        <is>
          <t>No texto, a separação dos atos vem antes da contagem final. Âncoras usadas no jogo: 10h52 acusação, 10h54 a Auditora retoma, 10h57 atos, 10h58 contagem, 11h12 a porta.</t>
        </is>
      </c>
    </row>
    <row r="20">
      <c r="A20" s="8" t="n">
        <v>19</v>
      </c>
      <c r="B20" s="8" t="inlineStr">
        <is>
          <t>Cap. 8 · Variante G</t>
        </is>
      </c>
      <c r="C20" s="8" t="inlineStr">
        <is>
          <t>Parágrafo da Variante G (acrescentar)</t>
        </is>
      </c>
      <c r="D20" s="8" t="inlineStr">
        <is>
          <t>(não trata da narração da Auditora)</t>
        </is>
      </c>
      <c r="E20" s="8" t="inlineStr">
        <is>
          <t>Acrescentar: "Na narração da Auditora, 'O Gerente tinha um cabo queimado, que era seu de fato, mas era outra coisa' vira 'E o cabo queimado das oito e trinta e um não era outra coisa: era o mesmo plano, agora escondendo a si mesmo'; 'O Gerente quis falar de fraude' vira 'Alguém falou em fraude'. Na separação dos atos, o Gerente responde também pela destruição de evidência e pela saída daquela noite."</t>
        </is>
      </c>
      <c r="F20" s="8" t="inlineStr">
        <is>
          <t>Pendência "Falas fixas do Cap. 8 que contradizem a partida G".</t>
        </is>
      </c>
    </row>
    <row r="21">
      <c r="A21" s="8" t="n">
        <v>20</v>
      </c>
      <c r="B21" s="8" t="inlineStr">
        <is>
          <t>Cap. 8 · Variante V</t>
        </is>
      </c>
      <c r="C21" s="8" t="inlineStr">
        <is>
          <t>Parágrafo da Variante V</t>
        </is>
      </c>
      <c r="D21" s="8" t="inlineStr">
        <is>
          <t>A3, A6, A7, A8: a fita na base do polegar, a farinha na barra […]</t>
        </is>
      </c>
      <c r="E21" s="8" t="inlineStr">
        <is>
          <t>A3, A6, A7, A8: a fita no indicador, a farinha na barra […]</t>
        </is>
      </c>
      <c r="F21" s="8" t="inlineStr">
        <is>
          <t>Decisão 05/10 (A3).</t>
        </is>
      </c>
    </row>
    <row r="22">
      <c r="A22" s="8" t="n">
        <v>21</v>
      </c>
      <c r="B22" s="8" t="inlineStr">
        <is>
          <t>Cap. 8 · Variante V</t>
        </is>
      </c>
      <c r="C22" s="8" t="inlineStr">
        <is>
          <t>Parágrafo da Variante V</t>
        </is>
      </c>
      <c r="D22" s="8" t="inlineStr">
        <is>
          <t>Na acusação, o Caixa Veterano diz o próprio nome em voz baixa antes da Auditora terminar.</t>
        </is>
      </c>
      <c r="E22" s="8" t="inlineStr">
        <is>
          <t>Na acusação, o Caixa Veterano não diz nome, como na referência. Durante a reconstrução, antes de a Auditora terminar, ele diz em voz baixa: "Fui eu."</t>
        </is>
      </c>
      <c r="F22" s="8" t="inlineStr">
        <is>
          <t>Na acusação, ele se entregaria antes da pergunta final do jogador.</t>
        </is>
      </c>
    </row>
    <row r="23">
      <c r="A23" s="8" t="n">
        <v>22</v>
      </c>
      <c r="B23" s="8" t="inlineStr">
        <is>
          <t>Todos os capítulos</t>
        </is>
      </c>
      <c r="C23" s="8" t="inlineStr">
        <is>
          <t>Nota interna de cada capítulo</t>
        </is>
      </c>
      <c r="D23" s="8" t="inlineStr">
        <is>
          <t>(sem regras de ausência)</t>
        </is>
      </c>
      <c r="E23" s="8" t="inlineStr">
        <is>
          <t>Registrar as substituições por ausência usadas no jogo (aba Pendências, linha "Substituições por ausência").</t>
        </is>
      </c>
      <c r="F23" s="8" t="inlineStr">
        <is>
          <t>Para que o docx e o jogo digam a mesma coisa nas casas de 8 a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2026-10-05T20:38:20Z</dcterms:created>
  <dcterms:modified xmlns:dcterms="http://purl.org/dc/terms/" xmlns:xsi="http://www.w3.org/2001/XMLSchema-instance" xsi:type="dcterms:W3CDTF">2026-10-06T00:29:47Z</dcterms:modified>
</cp:coreProperties>
</file>